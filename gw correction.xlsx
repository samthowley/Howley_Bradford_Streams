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Howley_Bradford_Streams\Howley_Bradford_Streams\"/>
    </mc:Choice>
  </mc:AlternateContent>
  <xr:revisionPtr revIDLastSave="0" documentId="13_ncr:1_{72D0BEB0-A665-4178-A09E-3E3317FB6488}" xr6:coauthVersionLast="47" xr6:coauthVersionMax="47" xr10:uidLastSave="{00000000-0000-0000-0000-000000000000}"/>
  <bookViews>
    <workbookView xWindow="-28920" yWindow="2220" windowWidth="29040" windowHeight="15720" xr2:uid="{00000000-000D-0000-FFFF-FFFF00000000}"/>
  </bookViews>
  <sheets>
    <sheet name="5" sheetId="1" r:id="rId1"/>
    <sheet name="Sheet1" sheetId="4" r:id="rId2"/>
    <sheet name="6" sheetId="2" r:id="rId3"/>
    <sheet name="Sheet2" sheetId="5" r:id="rId4"/>
    <sheet name="9" sheetId="3" r:id="rId5"/>
    <sheet name="Sheet3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1" l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2" i="1"/>
  <c r="V2" i="1" s="1"/>
  <c r="D4" i="6"/>
  <c r="D5" i="6"/>
  <c r="D6" i="6"/>
  <c r="D3" i="6"/>
  <c r="C5" i="6"/>
  <c r="C4" i="6"/>
  <c r="C6" i="6"/>
  <c r="C3" i="6"/>
  <c r="D3" i="5"/>
  <c r="D4" i="5"/>
  <c r="D5" i="5"/>
  <c r="D6" i="5"/>
  <c r="D7" i="5"/>
  <c r="D2" i="5"/>
  <c r="C3" i="5"/>
  <c r="C4" i="5"/>
  <c r="C5" i="5"/>
  <c r="C6" i="5"/>
  <c r="C7" i="5"/>
  <c r="C2" i="5"/>
  <c r="C6" i="4"/>
  <c r="D6" i="4" s="1"/>
  <c r="D5" i="4"/>
  <c r="C5" i="4"/>
  <c r="C4" i="4"/>
  <c r="D4" i="4" s="1"/>
  <c r="C3" i="4"/>
  <c r="D3" i="4" s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2" i="1"/>
  <c r="Q2" i="1" l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2" i="1" l="1"/>
  <c r="R2" i="1" s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R16" i="1" s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R33" i="1" s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R56" i="1" s="1"/>
  <c r="Q57" i="1"/>
  <c r="R57" i="1" s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R80" i="1" s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R120" i="1" s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R139" i="1" s="1"/>
  <c r="Q140" i="1"/>
  <c r="Q141" i="1"/>
  <c r="Q142" i="1"/>
  <c r="Q143" i="1"/>
  <c r="Q144" i="1"/>
  <c r="R144" i="1" s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R184" i="1" s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R203" i="1" s="1"/>
  <c r="Q204" i="1"/>
  <c r="Q205" i="1"/>
  <c r="Q206" i="1"/>
  <c r="Q207" i="1"/>
  <c r="Q208" i="1"/>
  <c r="R208" i="1" s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R225" i="1" s="1"/>
  <c r="Q226" i="1"/>
  <c r="Q227" i="1"/>
  <c r="R227" i="1" s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R289" i="1" s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R313" i="1" s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R374" i="1" s="1"/>
  <c r="Q375" i="1"/>
  <c r="Q376" i="1"/>
  <c r="R376" i="1" s="1"/>
  <c r="Q377" i="1"/>
  <c r="Q378" i="1"/>
  <c r="Q379" i="1"/>
  <c r="Q380" i="1"/>
  <c r="Q381" i="1"/>
  <c r="Q382" i="1"/>
  <c r="R382" i="1" s="1"/>
  <c r="Q383" i="1"/>
  <c r="Q384" i="1"/>
  <c r="Q385" i="1"/>
  <c r="Q386" i="1"/>
  <c r="Q387" i="1"/>
  <c r="Q388" i="1"/>
  <c r="Q389" i="1"/>
  <c r="Q390" i="1"/>
  <c r="R390" i="1" s="1"/>
  <c r="Q391" i="1"/>
  <c r="Q392" i="1"/>
  <c r="Q393" i="1"/>
  <c r="Q394" i="1"/>
  <c r="Q395" i="1"/>
  <c r="R395" i="1" s="1"/>
  <c r="Q396" i="1"/>
  <c r="Q397" i="1"/>
  <c r="Q398" i="1"/>
  <c r="R398" i="1" s="1"/>
  <c r="Q399" i="1"/>
  <c r="Q400" i="1"/>
  <c r="Q401" i="1"/>
  <c r="Q402" i="1"/>
  <c r="Q403" i="1"/>
  <c r="Q404" i="1"/>
  <c r="Q405" i="1"/>
  <c r="Q406" i="1"/>
  <c r="R406" i="1" s="1"/>
  <c r="Q407" i="1"/>
  <c r="Q408" i="1"/>
  <c r="Q409" i="1"/>
  <c r="Q410" i="1"/>
  <c r="Q411" i="1"/>
  <c r="Q412" i="1"/>
  <c r="Q413" i="1"/>
  <c r="Q414" i="1"/>
  <c r="Q415" i="1"/>
  <c r="Q416" i="1"/>
  <c r="R248" i="1"/>
  <c r="R272" i="1"/>
  <c r="R312" i="1"/>
  <c r="R400" i="1"/>
  <c r="Y354" i="1" l="1"/>
  <c r="Z354" i="1" s="1"/>
  <c r="Y346" i="1"/>
  <c r="Z346" i="1" s="1"/>
  <c r="Y290" i="1"/>
  <c r="Z290" i="1" s="1"/>
  <c r="Y282" i="1"/>
  <c r="Z282" i="1" s="1"/>
  <c r="Y226" i="1"/>
  <c r="Z226" i="1" s="1"/>
  <c r="Y218" i="1"/>
  <c r="Z218" i="1" s="1"/>
  <c r="Y162" i="1"/>
  <c r="Z162" i="1" s="1"/>
  <c r="Y154" i="1"/>
  <c r="Z154" i="1" s="1"/>
  <c r="R403" i="1"/>
  <c r="R355" i="1"/>
  <c r="R339" i="1"/>
  <c r="R331" i="1"/>
  <c r="R291" i="1"/>
  <c r="R275" i="1"/>
  <c r="R267" i="1"/>
  <c r="R211" i="1"/>
  <c r="R163" i="1"/>
  <c r="R147" i="1"/>
  <c r="R99" i="1"/>
  <c r="R83" i="1"/>
  <c r="R75" i="1"/>
  <c r="R35" i="1"/>
  <c r="R19" i="1"/>
  <c r="R11" i="1"/>
  <c r="R393" i="1"/>
  <c r="R385" i="1"/>
  <c r="R377" i="1"/>
  <c r="R369" i="1"/>
  <c r="R361" i="1"/>
  <c r="R353" i="1"/>
  <c r="R345" i="1"/>
  <c r="R337" i="1"/>
  <c r="R329" i="1"/>
  <c r="R321" i="1"/>
  <c r="R305" i="1"/>
  <c r="R297" i="1"/>
  <c r="R281" i="1"/>
  <c r="R273" i="1"/>
  <c r="R265" i="1"/>
  <c r="R257" i="1"/>
  <c r="R249" i="1"/>
  <c r="R241" i="1"/>
  <c r="R233" i="1"/>
  <c r="R217" i="1"/>
  <c r="R209" i="1"/>
  <c r="R201" i="1"/>
  <c r="R193" i="1"/>
  <c r="R185" i="1"/>
  <c r="R177" i="1"/>
  <c r="R169" i="1"/>
  <c r="R161" i="1"/>
  <c r="R153" i="1"/>
  <c r="R145" i="1"/>
  <c r="R137" i="1"/>
  <c r="R129" i="1"/>
  <c r="R121" i="1"/>
  <c r="R113" i="1"/>
  <c r="R105" i="1"/>
  <c r="R97" i="1"/>
  <c r="R89" i="1"/>
  <c r="R81" i="1"/>
  <c r="R73" i="1"/>
  <c r="R65" i="1"/>
  <c r="R49" i="1"/>
  <c r="R41" i="1"/>
  <c r="R25" i="1"/>
  <c r="R17" i="1"/>
  <c r="R9" i="1"/>
  <c r="R336" i="1"/>
  <c r="R240" i="1"/>
  <c r="R232" i="1"/>
  <c r="R224" i="1"/>
  <c r="R216" i="1"/>
  <c r="R200" i="1"/>
  <c r="R192" i="1"/>
  <c r="R176" i="1"/>
  <c r="R168" i="1"/>
  <c r="R160" i="1"/>
  <c r="R152" i="1"/>
  <c r="R136" i="1"/>
  <c r="R128" i="1"/>
  <c r="R112" i="1"/>
  <c r="R104" i="1"/>
  <c r="R96" i="1"/>
  <c r="R88" i="1"/>
  <c r="R72" i="1"/>
  <c r="R64" i="1"/>
  <c r="R48" i="1"/>
  <c r="R40" i="1"/>
  <c r="R32" i="1"/>
  <c r="R24" i="1"/>
  <c r="R8" i="1"/>
  <c r="Y404" i="1"/>
  <c r="Z404" i="1" s="1"/>
  <c r="Y396" i="1"/>
  <c r="Z396" i="1" s="1"/>
  <c r="Y388" i="1"/>
  <c r="Z388" i="1" s="1"/>
  <c r="Y380" i="1"/>
  <c r="Z380" i="1" s="1"/>
  <c r="Y372" i="1"/>
  <c r="Z372" i="1" s="1"/>
  <c r="Y364" i="1"/>
  <c r="Z364" i="1" s="1"/>
  <c r="Y356" i="1"/>
  <c r="Z356" i="1" s="1"/>
  <c r="Y348" i="1"/>
  <c r="Z348" i="1" s="1"/>
  <c r="Y340" i="1"/>
  <c r="Z340" i="1" s="1"/>
  <c r="Y332" i="1"/>
  <c r="Z332" i="1" s="1"/>
  <c r="Y324" i="1"/>
  <c r="Z324" i="1" s="1"/>
  <c r="Y316" i="1"/>
  <c r="Z316" i="1" s="1"/>
  <c r="Y308" i="1"/>
  <c r="Z308" i="1" s="1"/>
  <c r="Y300" i="1"/>
  <c r="Z300" i="1" s="1"/>
  <c r="Y292" i="1"/>
  <c r="Z292" i="1" s="1"/>
  <c r="Y284" i="1"/>
  <c r="Z284" i="1" s="1"/>
  <c r="Y276" i="1"/>
  <c r="Z276" i="1" s="1"/>
  <c r="Y268" i="1"/>
  <c r="Z268" i="1" s="1"/>
  <c r="Y260" i="1"/>
  <c r="Z260" i="1" s="1"/>
  <c r="Y252" i="1"/>
  <c r="Z252" i="1" s="1"/>
  <c r="Y244" i="1"/>
  <c r="Z244" i="1" s="1"/>
  <c r="Y236" i="1"/>
  <c r="Z236" i="1" s="1"/>
  <c r="Y228" i="1"/>
  <c r="Z228" i="1" s="1"/>
  <c r="Y220" i="1"/>
  <c r="Z220" i="1" s="1"/>
  <c r="Y212" i="1"/>
  <c r="Z212" i="1" s="1"/>
  <c r="Y204" i="1"/>
  <c r="Z204" i="1" s="1"/>
  <c r="Y196" i="1"/>
  <c r="Z196" i="1" s="1"/>
  <c r="Y188" i="1"/>
  <c r="Z188" i="1" s="1"/>
  <c r="Y180" i="1"/>
  <c r="Z180" i="1" s="1"/>
  <c r="Y172" i="1"/>
  <c r="Z172" i="1" s="1"/>
  <c r="Y164" i="1"/>
  <c r="Z164" i="1" s="1"/>
  <c r="Y156" i="1"/>
  <c r="Z156" i="1" s="1"/>
  <c r="Y148" i="1"/>
  <c r="Z148" i="1" s="1"/>
  <c r="Y140" i="1"/>
  <c r="Z140" i="1" s="1"/>
  <c r="Y411" i="1"/>
  <c r="Z411" i="1" s="1"/>
  <c r="Y403" i="1"/>
  <c r="Z403" i="1" s="1"/>
  <c r="Y387" i="1"/>
  <c r="Z387" i="1" s="1"/>
  <c r="Y371" i="1"/>
  <c r="Z371" i="1" s="1"/>
  <c r="Y363" i="1"/>
  <c r="Z363" i="1" s="1"/>
  <c r="Y323" i="1"/>
  <c r="Z323" i="1" s="1"/>
  <c r="Y315" i="1"/>
  <c r="Z315" i="1" s="1"/>
  <c r="Y299" i="1"/>
  <c r="Z299" i="1" s="1"/>
  <c r="Y291" i="1"/>
  <c r="Z291" i="1" s="1"/>
  <c r="Y283" i="1"/>
  <c r="Z283" i="1" s="1"/>
  <c r="Y235" i="1"/>
  <c r="Z235" i="1" s="1"/>
  <c r="Y203" i="1"/>
  <c r="Z203" i="1" s="1"/>
  <c r="Y187" i="1"/>
  <c r="Z187" i="1" s="1"/>
  <c r="Y163" i="1"/>
  <c r="Z163" i="1" s="1"/>
  <c r="Y155" i="1"/>
  <c r="Z155" i="1" s="1"/>
  <c r="Y107" i="1"/>
  <c r="Z107" i="1" s="1"/>
  <c r="Y91" i="1"/>
  <c r="Z91" i="1" s="1"/>
  <c r="Y83" i="1"/>
  <c r="Z83" i="1" s="1"/>
  <c r="Y75" i="1"/>
  <c r="Z75" i="1" s="1"/>
  <c r="Y59" i="1"/>
  <c r="Z59" i="1" s="1"/>
  <c r="Y43" i="1"/>
  <c r="Z43" i="1" s="1"/>
  <c r="R366" i="1"/>
  <c r="R358" i="1"/>
  <c r="R350" i="1"/>
  <c r="R342" i="1"/>
  <c r="R334" i="1"/>
  <c r="R318" i="1"/>
  <c r="R310" i="1"/>
  <c r="R294" i="1"/>
  <c r="R286" i="1"/>
  <c r="R278" i="1"/>
  <c r="R262" i="1"/>
  <c r="R254" i="1"/>
  <c r="R246" i="1"/>
  <c r="R230" i="1"/>
  <c r="R222" i="1"/>
  <c r="R214" i="1"/>
  <c r="R198" i="1"/>
  <c r="R190" i="1"/>
  <c r="R182" i="1"/>
  <c r="R166" i="1"/>
  <c r="R158" i="1"/>
  <c r="R150" i="1"/>
  <c r="R134" i="1"/>
  <c r="R126" i="1"/>
  <c r="R118" i="1"/>
  <c r="R102" i="1"/>
  <c r="R94" i="1"/>
  <c r="R70" i="1"/>
  <c r="R62" i="1"/>
  <c r="R38" i="1"/>
  <c r="R30" i="1"/>
  <c r="R14" i="1"/>
  <c r="R6" i="1"/>
  <c r="Y106" i="1"/>
  <c r="Z106" i="1" s="1"/>
  <c r="Y98" i="1"/>
  <c r="Z98" i="1" s="1"/>
  <c r="Y82" i="1"/>
  <c r="Z82" i="1" s="1"/>
  <c r="Y18" i="1"/>
  <c r="Z18" i="1" s="1"/>
  <c r="R411" i="1"/>
  <c r="R387" i="1"/>
  <c r="R379" i="1"/>
  <c r="R371" i="1"/>
  <c r="R363" i="1"/>
  <c r="R347" i="1"/>
  <c r="R323" i="1"/>
  <c r="R315" i="1"/>
  <c r="R307" i="1"/>
  <c r="R299" i="1"/>
  <c r="R283" i="1"/>
  <c r="R259" i="1"/>
  <c r="R251" i="1"/>
  <c r="R243" i="1"/>
  <c r="R235" i="1"/>
  <c r="R219" i="1"/>
  <c r="R195" i="1"/>
  <c r="R187" i="1"/>
  <c r="R179" i="1"/>
  <c r="R171" i="1"/>
  <c r="R155" i="1"/>
  <c r="R131" i="1"/>
  <c r="R123" i="1"/>
  <c r="R115" i="1"/>
  <c r="R107" i="1"/>
  <c r="R91" i="1"/>
  <c r="R67" i="1"/>
  <c r="R59" i="1"/>
  <c r="R51" i="1"/>
  <c r="R43" i="1"/>
  <c r="R27" i="1"/>
  <c r="R3" i="1"/>
  <c r="R409" i="1"/>
  <c r="R401" i="1"/>
  <c r="Y405" i="1"/>
  <c r="Z405" i="1" s="1"/>
  <c r="Y397" i="1"/>
  <c r="Z397" i="1" s="1"/>
  <c r="Y389" i="1"/>
  <c r="Z389" i="1" s="1"/>
  <c r="Y381" i="1"/>
  <c r="Z381" i="1" s="1"/>
  <c r="Y373" i="1"/>
  <c r="Z373" i="1" s="1"/>
  <c r="Y416" i="1"/>
  <c r="Z416" i="1" s="1"/>
  <c r="R416" i="1"/>
  <c r="R408" i="1"/>
  <c r="R392" i="1"/>
  <c r="R384" i="1"/>
  <c r="R368" i="1"/>
  <c r="R360" i="1"/>
  <c r="R352" i="1"/>
  <c r="R344" i="1"/>
  <c r="R328" i="1"/>
  <c r="R320" i="1"/>
  <c r="R304" i="1"/>
  <c r="R296" i="1"/>
  <c r="R288" i="1"/>
  <c r="R280" i="1"/>
  <c r="R264" i="1"/>
  <c r="R256" i="1"/>
  <c r="Y415" i="1"/>
  <c r="Z415" i="1" s="1"/>
  <c r="R415" i="1"/>
  <c r="R407" i="1"/>
  <c r="R399" i="1"/>
  <c r="R391" i="1"/>
  <c r="R383" i="1"/>
  <c r="R375" i="1"/>
  <c r="R367" i="1"/>
  <c r="R359" i="1"/>
  <c r="R351" i="1"/>
  <c r="R343" i="1"/>
  <c r="R335" i="1"/>
  <c r="R327" i="1"/>
  <c r="R319" i="1"/>
  <c r="R311" i="1"/>
  <c r="R303" i="1"/>
  <c r="R295" i="1"/>
  <c r="R287" i="1"/>
  <c r="R279" i="1"/>
  <c r="R271" i="1"/>
  <c r="R263" i="1"/>
  <c r="R255" i="1"/>
  <c r="R247" i="1"/>
  <c r="R239" i="1"/>
  <c r="R231" i="1"/>
  <c r="R223" i="1"/>
  <c r="R215" i="1"/>
  <c r="R207" i="1"/>
  <c r="R199" i="1"/>
  <c r="R191" i="1"/>
  <c r="R183" i="1"/>
  <c r="R175" i="1"/>
  <c r="R167" i="1"/>
  <c r="R159" i="1"/>
  <c r="R151" i="1"/>
  <c r="R143" i="1"/>
  <c r="R135" i="1"/>
  <c r="R127" i="1"/>
  <c r="R119" i="1"/>
  <c r="R111" i="1"/>
  <c r="R103" i="1"/>
  <c r="R95" i="1"/>
  <c r="R87" i="1"/>
  <c r="R79" i="1"/>
  <c r="R71" i="1"/>
  <c r="R63" i="1"/>
  <c r="R55" i="1"/>
  <c r="R47" i="1"/>
  <c r="R39" i="1"/>
  <c r="R31" i="1"/>
  <c r="R23" i="1"/>
  <c r="R15" i="1"/>
  <c r="R7" i="1"/>
  <c r="Y395" i="1"/>
  <c r="Z395" i="1" s="1"/>
  <c r="Y379" i="1"/>
  <c r="Z379" i="1" s="1"/>
  <c r="Y347" i="1"/>
  <c r="Z347" i="1" s="1"/>
  <c r="Y339" i="1"/>
  <c r="Z339" i="1" s="1"/>
  <c r="Y267" i="1"/>
  <c r="Z267" i="1" s="1"/>
  <c r="Y259" i="1"/>
  <c r="Z259" i="1" s="1"/>
  <c r="Y251" i="1"/>
  <c r="Z251" i="1" s="1"/>
  <c r="Y227" i="1"/>
  <c r="Z227" i="1" s="1"/>
  <c r="Y219" i="1"/>
  <c r="Z219" i="1" s="1"/>
  <c r="Y195" i="1"/>
  <c r="Z195" i="1" s="1"/>
  <c r="Y171" i="1"/>
  <c r="Z171" i="1" s="1"/>
  <c r="Y139" i="1"/>
  <c r="Z139" i="1" s="1"/>
  <c r="Y131" i="1"/>
  <c r="Z131" i="1" s="1"/>
  <c r="Y123" i="1"/>
  <c r="Z123" i="1" s="1"/>
  <c r="Y99" i="1"/>
  <c r="Z99" i="1" s="1"/>
  <c r="Y67" i="1"/>
  <c r="Z67" i="1" s="1"/>
  <c r="Y414" i="1"/>
  <c r="Z414" i="1" s="1"/>
  <c r="R414" i="1"/>
  <c r="R326" i="1"/>
  <c r="R302" i="1"/>
  <c r="R270" i="1"/>
  <c r="R238" i="1"/>
  <c r="R206" i="1"/>
  <c r="R174" i="1"/>
  <c r="R142" i="1"/>
  <c r="R110" i="1"/>
  <c r="R86" i="1"/>
  <c r="R78" i="1"/>
  <c r="R54" i="1"/>
  <c r="R46" i="1"/>
  <c r="R22" i="1"/>
  <c r="R413" i="1"/>
  <c r="R405" i="1"/>
  <c r="R397" i="1"/>
  <c r="R389" i="1"/>
  <c r="R381" i="1"/>
  <c r="R373" i="1"/>
  <c r="R365" i="1"/>
  <c r="R357" i="1"/>
  <c r="R349" i="1"/>
  <c r="R341" i="1"/>
  <c r="R333" i="1"/>
  <c r="R325" i="1"/>
  <c r="R317" i="1"/>
  <c r="R309" i="1"/>
  <c r="R301" i="1"/>
  <c r="R293" i="1"/>
  <c r="R285" i="1"/>
  <c r="R277" i="1"/>
  <c r="R269" i="1"/>
  <c r="R261" i="1"/>
  <c r="R253" i="1"/>
  <c r="R245" i="1"/>
  <c r="R237" i="1"/>
  <c r="R229" i="1"/>
  <c r="R221" i="1"/>
  <c r="R213" i="1"/>
  <c r="R205" i="1"/>
  <c r="R197" i="1"/>
  <c r="R189" i="1"/>
  <c r="R181" i="1"/>
  <c r="R173" i="1"/>
  <c r="R165" i="1"/>
  <c r="R157" i="1"/>
  <c r="R149" i="1"/>
  <c r="R141" i="1"/>
  <c r="R133" i="1"/>
  <c r="R125" i="1"/>
  <c r="R117" i="1"/>
  <c r="R109" i="1"/>
  <c r="Y365" i="1"/>
  <c r="Z365" i="1" s="1"/>
  <c r="Y357" i="1"/>
  <c r="Z357" i="1" s="1"/>
  <c r="Y341" i="1"/>
  <c r="Z341" i="1" s="1"/>
  <c r="Y333" i="1"/>
  <c r="Z333" i="1" s="1"/>
  <c r="Y325" i="1"/>
  <c r="Z325" i="1" s="1"/>
  <c r="Y317" i="1"/>
  <c r="Z317" i="1" s="1"/>
  <c r="Y309" i="1"/>
  <c r="Z309" i="1" s="1"/>
  <c r="Y301" i="1"/>
  <c r="Z301" i="1" s="1"/>
  <c r="Y285" i="1"/>
  <c r="Z285" i="1" s="1"/>
  <c r="Y269" i="1"/>
  <c r="Z269" i="1" s="1"/>
  <c r="Y261" i="1"/>
  <c r="Z261" i="1" s="1"/>
  <c r="Y253" i="1"/>
  <c r="Z253" i="1" s="1"/>
  <c r="Y412" i="1"/>
  <c r="Z412" i="1" s="1"/>
  <c r="Y132" i="1"/>
  <c r="Z132" i="1" s="1"/>
  <c r="Y124" i="1"/>
  <c r="Z124" i="1" s="1"/>
  <c r="Y116" i="1"/>
  <c r="Z116" i="1" s="1"/>
  <c r="Y108" i="1"/>
  <c r="Z108" i="1" s="1"/>
  <c r="Y100" i="1"/>
  <c r="Z100" i="1" s="1"/>
  <c r="Y92" i="1"/>
  <c r="Z92" i="1" s="1"/>
  <c r="Y84" i="1"/>
  <c r="Z84" i="1" s="1"/>
  <c r="Y76" i="1"/>
  <c r="Z76" i="1" s="1"/>
  <c r="Y68" i="1"/>
  <c r="Z68" i="1" s="1"/>
  <c r="Y60" i="1"/>
  <c r="Z60" i="1" s="1"/>
  <c r="Y52" i="1"/>
  <c r="Z52" i="1" s="1"/>
  <c r="Y44" i="1"/>
  <c r="Z44" i="1" s="1"/>
  <c r="Y36" i="1"/>
  <c r="Z36" i="1" s="1"/>
  <c r="Y28" i="1"/>
  <c r="Z28" i="1" s="1"/>
  <c r="Y20" i="1"/>
  <c r="Z20" i="1" s="1"/>
  <c r="Y12" i="1"/>
  <c r="Z12" i="1" s="1"/>
  <c r="Y4" i="1"/>
  <c r="Z4" i="1" s="1"/>
  <c r="R101" i="1"/>
  <c r="R93" i="1"/>
  <c r="R85" i="1"/>
  <c r="R77" i="1"/>
  <c r="R69" i="1"/>
  <c r="R61" i="1"/>
  <c r="R53" i="1"/>
  <c r="R45" i="1"/>
  <c r="R37" i="1"/>
  <c r="R29" i="1"/>
  <c r="R21" i="1"/>
  <c r="R13" i="1"/>
  <c r="R5" i="1"/>
  <c r="Y409" i="1"/>
  <c r="Z409" i="1" s="1"/>
  <c r="Y401" i="1"/>
  <c r="Z401" i="1" s="1"/>
  <c r="Y393" i="1"/>
  <c r="Z393" i="1" s="1"/>
  <c r="Y385" i="1"/>
  <c r="Z385" i="1" s="1"/>
  <c r="Y377" i="1"/>
  <c r="Z377" i="1" s="1"/>
  <c r="Y369" i="1"/>
  <c r="Z369" i="1" s="1"/>
  <c r="Y361" i="1"/>
  <c r="Z361" i="1" s="1"/>
  <c r="Y353" i="1"/>
  <c r="Z353" i="1" s="1"/>
  <c r="Y345" i="1"/>
  <c r="Z345" i="1" s="1"/>
  <c r="Y337" i="1"/>
  <c r="Z337" i="1" s="1"/>
  <c r="Y329" i="1"/>
  <c r="Z329" i="1" s="1"/>
  <c r="Y321" i="1"/>
  <c r="Z321" i="1" s="1"/>
  <c r="Y313" i="1"/>
  <c r="Z313" i="1" s="1"/>
  <c r="Y305" i="1"/>
  <c r="Z305" i="1" s="1"/>
  <c r="Y297" i="1"/>
  <c r="Z297" i="1" s="1"/>
  <c r="Y289" i="1"/>
  <c r="Z289" i="1" s="1"/>
  <c r="Y281" i="1"/>
  <c r="Z281" i="1" s="1"/>
  <c r="Y273" i="1"/>
  <c r="Z273" i="1" s="1"/>
  <c r="Y265" i="1"/>
  <c r="Z265" i="1" s="1"/>
  <c r="Y257" i="1"/>
  <c r="Z257" i="1" s="1"/>
  <c r="Y249" i="1"/>
  <c r="Z249" i="1" s="1"/>
  <c r="Y241" i="1"/>
  <c r="Z241" i="1" s="1"/>
  <c r="Y233" i="1"/>
  <c r="Z233" i="1" s="1"/>
  <c r="Y225" i="1"/>
  <c r="Z225" i="1" s="1"/>
  <c r="Y217" i="1"/>
  <c r="Z217" i="1" s="1"/>
  <c r="Y209" i="1"/>
  <c r="Z209" i="1" s="1"/>
  <c r="Y201" i="1"/>
  <c r="Z201" i="1" s="1"/>
  <c r="Y193" i="1"/>
  <c r="Z193" i="1" s="1"/>
  <c r="Y185" i="1"/>
  <c r="Z185" i="1" s="1"/>
  <c r="Y177" i="1"/>
  <c r="Z177" i="1" s="1"/>
  <c r="Y169" i="1"/>
  <c r="Z169" i="1" s="1"/>
  <c r="Y161" i="1"/>
  <c r="Z161" i="1" s="1"/>
  <c r="Y153" i="1"/>
  <c r="Z153" i="1" s="1"/>
  <c r="Y145" i="1"/>
  <c r="Z145" i="1" s="1"/>
  <c r="Y137" i="1"/>
  <c r="Z137" i="1" s="1"/>
  <c r="Y129" i="1"/>
  <c r="Z129" i="1" s="1"/>
  <c r="Y121" i="1"/>
  <c r="Z121" i="1" s="1"/>
  <c r="Y113" i="1"/>
  <c r="Z113" i="1" s="1"/>
  <c r="Y105" i="1"/>
  <c r="Z105" i="1" s="1"/>
  <c r="Y97" i="1"/>
  <c r="Z97" i="1" s="1"/>
  <c r="Y89" i="1"/>
  <c r="Z89" i="1" s="1"/>
  <c r="Y81" i="1"/>
  <c r="Z81" i="1" s="1"/>
  <c r="Y73" i="1"/>
  <c r="Z73" i="1" s="1"/>
  <c r="Y65" i="1"/>
  <c r="Z65" i="1" s="1"/>
  <c r="Y57" i="1"/>
  <c r="Z57" i="1" s="1"/>
  <c r="Y49" i="1"/>
  <c r="Z49" i="1" s="1"/>
  <c r="Y41" i="1"/>
  <c r="Z41" i="1" s="1"/>
  <c r="Y33" i="1"/>
  <c r="Z33" i="1" s="1"/>
  <c r="Y25" i="1"/>
  <c r="Z25" i="1" s="1"/>
  <c r="Y17" i="1"/>
  <c r="Z17" i="1" s="1"/>
  <c r="Y9" i="1"/>
  <c r="Z9" i="1" s="1"/>
  <c r="R412" i="1"/>
  <c r="R404" i="1"/>
  <c r="R396" i="1"/>
  <c r="R388" i="1"/>
  <c r="R380" i="1"/>
  <c r="R372" i="1"/>
  <c r="R364" i="1"/>
  <c r="R356" i="1"/>
  <c r="R348" i="1"/>
  <c r="R340" i="1"/>
  <c r="R332" i="1"/>
  <c r="R324" i="1"/>
  <c r="R316" i="1"/>
  <c r="R308" i="1"/>
  <c r="R300" i="1"/>
  <c r="R292" i="1"/>
  <c r="R284" i="1"/>
  <c r="R276" i="1"/>
  <c r="R268" i="1"/>
  <c r="R260" i="1"/>
  <c r="R252" i="1"/>
  <c r="R244" i="1"/>
  <c r="R236" i="1"/>
  <c r="R228" i="1"/>
  <c r="R220" i="1"/>
  <c r="R212" i="1"/>
  <c r="R204" i="1"/>
  <c r="R196" i="1"/>
  <c r="R188" i="1"/>
  <c r="R180" i="1"/>
  <c r="R172" i="1"/>
  <c r="R164" i="1"/>
  <c r="R156" i="1"/>
  <c r="R148" i="1"/>
  <c r="R140" i="1"/>
  <c r="R132" i="1"/>
  <c r="R124" i="1"/>
  <c r="R116" i="1"/>
  <c r="R108" i="1"/>
  <c r="R100" i="1"/>
  <c r="R92" i="1"/>
  <c r="R84" i="1"/>
  <c r="R76" i="1"/>
  <c r="R68" i="1"/>
  <c r="R60" i="1"/>
  <c r="R52" i="1"/>
  <c r="R44" i="1"/>
  <c r="R36" i="1"/>
  <c r="R28" i="1"/>
  <c r="R20" i="1"/>
  <c r="R12" i="1"/>
  <c r="R4" i="1"/>
  <c r="Y408" i="1"/>
  <c r="Z408" i="1" s="1"/>
  <c r="Y400" i="1"/>
  <c r="Z400" i="1" s="1"/>
  <c r="Y392" i="1"/>
  <c r="Z392" i="1" s="1"/>
  <c r="Y384" i="1"/>
  <c r="Z384" i="1" s="1"/>
  <c r="Y376" i="1"/>
  <c r="Z376" i="1" s="1"/>
  <c r="Y368" i="1"/>
  <c r="Z368" i="1" s="1"/>
  <c r="Y360" i="1"/>
  <c r="Z360" i="1" s="1"/>
  <c r="Y352" i="1"/>
  <c r="Z352" i="1" s="1"/>
  <c r="Y344" i="1"/>
  <c r="Z344" i="1" s="1"/>
  <c r="Y336" i="1"/>
  <c r="Z336" i="1" s="1"/>
  <c r="Y328" i="1"/>
  <c r="Z328" i="1" s="1"/>
  <c r="Y320" i="1"/>
  <c r="Z320" i="1" s="1"/>
  <c r="Y312" i="1"/>
  <c r="Z312" i="1" s="1"/>
  <c r="Y304" i="1"/>
  <c r="Z304" i="1" s="1"/>
  <c r="Y296" i="1"/>
  <c r="Z296" i="1" s="1"/>
  <c r="Y288" i="1"/>
  <c r="Z288" i="1" s="1"/>
  <c r="Y280" i="1"/>
  <c r="Z280" i="1" s="1"/>
  <c r="Y272" i="1"/>
  <c r="Z272" i="1" s="1"/>
  <c r="Y264" i="1"/>
  <c r="Z264" i="1" s="1"/>
  <c r="Y256" i="1"/>
  <c r="Z256" i="1" s="1"/>
  <c r="Y248" i="1"/>
  <c r="Z248" i="1" s="1"/>
  <c r="Y407" i="1"/>
  <c r="Z407" i="1" s="1"/>
  <c r="Y399" i="1"/>
  <c r="Z399" i="1" s="1"/>
  <c r="Y391" i="1"/>
  <c r="Z391" i="1" s="1"/>
  <c r="Y383" i="1"/>
  <c r="Z383" i="1" s="1"/>
  <c r="Y375" i="1"/>
  <c r="Z375" i="1" s="1"/>
  <c r="Y367" i="1"/>
  <c r="Z367" i="1" s="1"/>
  <c r="Y359" i="1"/>
  <c r="Z359" i="1" s="1"/>
  <c r="Y351" i="1"/>
  <c r="Z351" i="1" s="1"/>
  <c r="Y343" i="1"/>
  <c r="Z343" i="1" s="1"/>
  <c r="Y335" i="1"/>
  <c r="Z335" i="1" s="1"/>
  <c r="Y327" i="1"/>
  <c r="Z327" i="1" s="1"/>
  <c r="Y319" i="1"/>
  <c r="Z319" i="1" s="1"/>
  <c r="Y311" i="1"/>
  <c r="Z311" i="1" s="1"/>
  <c r="Y303" i="1"/>
  <c r="Z303" i="1" s="1"/>
  <c r="Y295" i="1"/>
  <c r="Z295" i="1" s="1"/>
  <c r="Y287" i="1"/>
  <c r="Z287" i="1" s="1"/>
  <c r="Y279" i="1"/>
  <c r="Z279" i="1" s="1"/>
  <c r="Y271" i="1"/>
  <c r="Z271" i="1" s="1"/>
  <c r="Y263" i="1"/>
  <c r="Z263" i="1" s="1"/>
  <c r="Y255" i="1"/>
  <c r="Z255" i="1" s="1"/>
  <c r="Y247" i="1"/>
  <c r="Z247" i="1" s="1"/>
  <c r="R410" i="1"/>
  <c r="R402" i="1"/>
  <c r="R394" i="1"/>
  <c r="R386" i="1"/>
  <c r="R378" i="1"/>
  <c r="R370" i="1"/>
  <c r="R362" i="1"/>
  <c r="R354" i="1"/>
  <c r="R346" i="1"/>
  <c r="R338" i="1"/>
  <c r="R330" i="1"/>
  <c r="R322" i="1"/>
  <c r="R314" i="1"/>
  <c r="R306" i="1"/>
  <c r="R298" i="1"/>
  <c r="R290" i="1"/>
  <c r="R282" i="1"/>
  <c r="R274" i="1"/>
  <c r="R266" i="1"/>
  <c r="R258" i="1"/>
  <c r="R250" i="1"/>
  <c r="R242" i="1"/>
  <c r="R234" i="1"/>
  <c r="R226" i="1"/>
  <c r="R218" i="1"/>
  <c r="R210" i="1"/>
  <c r="R202" i="1"/>
  <c r="R194" i="1"/>
  <c r="R186" i="1"/>
  <c r="R178" i="1"/>
  <c r="R170" i="1"/>
  <c r="R162" i="1"/>
  <c r="R154" i="1"/>
  <c r="R146" i="1"/>
  <c r="R138" i="1"/>
  <c r="R130" i="1"/>
  <c r="R122" i="1"/>
  <c r="R114" i="1"/>
  <c r="R106" i="1"/>
  <c r="R98" i="1"/>
  <c r="R90" i="1"/>
  <c r="R82" i="1"/>
  <c r="R74" i="1"/>
  <c r="R66" i="1"/>
  <c r="R58" i="1"/>
  <c r="R50" i="1"/>
  <c r="R42" i="1"/>
  <c r="R34" i="1"/>
  <c r="R26" i="1"/>
  <c r="R18" i="1"/>
  <c r="R10" i="1"/>
  <c r="Y406" i="1"/>
  <c r="Z406" i="1" s="1"/>
  <c r="Y398" i="1"/>
  <c r="Z398" i="1" s="1"/>
  <c r="Y390" i="1"/>
  <c r="Z390" i="1" s="1"/>
  <c r="Y382" i="1"/>
  <c r="Z382" i="1" s="1"/>
  <c r="Y374" i="1"/>
  <c r="Z374" i="1" s="1"/>
  <c r="Y366" i="1"/>
  <c r="Z366" i="1" s="1"/>
  <c r="Y358" i="1"/>
  <c r="Z358" i="1" s="1"/>
  <c r="Y350" i="1"/>
  <c r="Z350" i="1" s="1"/>
  <c r="Y342" i="1"/>
  <c r="Z342" i="1" s="1"/>
  <c r="Y334" i="1"/>
  <c r="Z334" i="1" s="1"/>
  <c r="Y326" i="1"/>
  <c r="Z326" i="1" s="1"/>
  <c r="Y318" i="1"/>
  <c r="Z318" i="1" s="1"/>
  <c r="Y310" i="1"/>
  <c r="Z310" i="1" s="1"/>
  <c r="Y302" i="1"/>
  <c r="Z302" i="1" s="1"/>
  <c r="Y294" i="1"/>
  <c r="Z294" i="1" s="1"/>
  <c r="Y286" i="1"/>
  <c r="Z286" i="1" s="1"/>
  <c r="Y278" i="1"/>
  <c r="Z278" i="1" s="1"/>
  <c r="Y270" i="1"/>
  <c r="Z270" i="1" s="1"/>
  <c r="Y262" i="1"/>
  <c r="Z262" i="1" s="1"/>
  <c r="Y254" i="1"/>
  <c r="Z254" i="1" s="1"/>
  <c r="Y246" i="1"/>
  <c r="Z246" i="1" s="1"/>
  <c r="Y35" i="1"/>
  <c r="Z35" i="1" s="1"/>
  <c r="Y27" i="1"/>
  <c r="Z27" i="1" s="1"/>
  <c r="Y19" i="1"/>
  <c r="Z19" i="1" s="1"/>
  <c r="Y11" i="1"/>
  <c r="Z11" i="1" s="1"/>
  <c r="Y3" i="1"/>
  <c r="Z3" i="1" s="1"/>
  <c r="Y240" i="1"/>
  <c r="Z240" i="1" s="1"/>
  <c r="Y232" i="1"/>
  <c r="Z232" i="1" s="1"/>
  <c r="Y224" i="1"/>
  <c r="Z224" i="1" s="1"/>
  <c r="Y216" i="1"/>
  <c r="Z216" i="1" s="1"/>
  <c r="Y208" i="1"/>
  <c r="Z208" i="1" s="1"/>
  <c r="Y200" i="1"/>
  <c r="Z200" i="1" s="1"/>
  <c r="Y192" i="1"/>
  <c r="Z192" i="1" s="1"/>
  <c r="Y184" i="1"/>
  <c r="Z184" i="1" s="1"/>
  <c r="Y176" i="1"/>
  <c r="Z176" i="1" s="1"/>
  <c r="Y168" i="1"/>
  <c r="Z168" i="1" s="1"/>
  <c r="Y160" i="1"/>
  <c r="Z160" i="1" s="1"/>
  <c r="Y152" i="1"/>
  <c r="Z152" i="1" s="1"/>
  <c r="Y144" i="1"/>
  <c r="Z144" i="1" s="1"/>
  <c r="Y136" i="1"/>
  <c r="Z136" i="1" s="1"/>
  <c r="Y128" i="1"/>
  <c r="Z128" i="1" s="1"/>
  <c r="Y120" i="1"/>
  <c r="Z120" i="1" s="1"/>
  <c r="Y112" i="1"/>
  <c r="Z112" i="1" s="1"/>
  <c r="Y104" i="1"/>
  <c r="Z104" i="1" s="1"/>
  <c r="Y96" i="1"/>
  <c r="Z96" i="1" s="1"/>
  <c r="Y88" i="1"/>
  <c r="Z88" i="1" s="1"/>
  <c r="Y80" i="1"/>
  <c r="Z80" i="1" s="1"/>
  <c r="Y72" i="1"/>
  <c r="Z72" i="1" s="1"/>
  <c r="Y64" i="1"/>
  <c r="Z64" i="1" s="1"/>
  <c r="Y56" i="1"/>
  <c r="Z56" i="1" s="1"/>
  <c r="Y48" i="1"/>
  <c r="Z48" i="1" s="1"/>
  <c r="Y40" i="1"/>
  <c r="Z40" i="1" s="1"/>
  <c r="Y32" i="1"/>
  <c r="Z32" i="1" s="1"/>
  <c r="Y24" i="1"/>
  <c r="Z24" i="1" s="1"/>
  <c r="Y16" i="1"/>
  <c r="Z16" i="1" s="1"/>
  <c r="Y8" i="1"/>
  <c r="Z8" i="1" s="1"/>
  <c r="Y239" i="1"/>
  <c r="Z239" i="1" s="1"/>
  <c r="Y231" i="1"/>
  <c r="Z231" i="1" s="1"/>
  <c r="Y223" i="1"/>
  <c r="Z223" i="1" s="1"/>
  <c r="Y215" i="1"/>
  <c r="Z215" i="1" s="1"/>
  <c r="Y207" i="1"/>
  <c r="Z207" i="1" s="1"/>
  <c r="Y199" i="1"/>
  <c r="Z199" i="1" s="1"/>
  <c r="Y191" i="1"/>
  <c r="Z191" i="1" s="1"/>
  <c r="Y183" i="1"/>
  <c r="Z183" i="1" s="1"/>
  <c r="Y175" i="1"/>
  <c r="Z175" i="1" s="1"/>
  <c r="Y167" i="1"/>
  <c r="Z167" i="1" s="1"/>
  <c r="Y159" i="1"/>
  <c r="Z159" i="1" s="1"/>
  <c r="Y151" i="1"/>
  <c r="Z151" i="1" s="1"/>
  <c r="Y143" i="1"/>
  <c r="Z143" i="1" s="1"/>
  <c r="Y135" i="1"/>
  <c r="Z135" i="1" s="1"/>
  <c r="Y127" i="1"/>
  <c r="Z127" i="1" s="1"/>
  <c r="Y119" i="1"/>
  <c r="Z119" i="1" s="1"/>
  <c r="Y111" i="1"/>
  <c r="Z111" i="1" s="1"/>
  <c r="Y103" i="1"/>
  <c r="Z103" i="1" s="1"/>
  <c r="Y95" i="1"/>
  <c r="Z95" i="1" s="1"/>
  <c r="Y87" i="1"/>
  <c r="Z87" i="1" s="1"/>
  <c r="Y79" i="1"/>
  <c r="Z79" i="1" s="1"/>
  <c r="Y71" i="1"/>
  <c r="Z71" i="1" s="1"/>
  <c r="Y63" i="1"/>
  <c r="Z63" i="1" s="1"/>
  <c r="Y55" i="1"/>
  <c r="Z55" i="1" s="1"/>
  <c r="Y47" i="1"/>
  <c r="Z47" i="1" s="1"/>
  <c r="Y39" i="1"/>
  <c r="Z39" i="1" s="1"/>
  <c r="Y31" i="1"/>
  <c r="Z31" i="1" s="1"/>
  <c r="Y23" i="1"/>
  <c r="Z23" i="1" s="1"/>
  <c r="Y15" i="1"/>
  <c r="Z15" i="1" s="1"/>
  <c r="Y7" i="1"/>
  <c r="Z7" i="1" s="1"/>
  <c r="Y238" i="1"/>
  <c r="Z238" i="1" s="1"/>
  <c r="Y230" i="1"/>
  <c r="Z230" i="1" s="1"/>
  <c r="Y222" i="1"/>
  <c r="Z222" i="1" s="1"/>
  <c r="Y214" i="1"/>
  <c r="Z214" i="1" s="1"/>
  <c r="Y206" i="1"/>
  <c r="Z206" i="1" s="1"/>
  <c r="Y198" i="1"/>
  <c r="Z198" i="1" s="1"/>
  <c r="Y190" i="1"/>
  <c r="Z190" i="1" s="1"/>
  <c r="Y182" i="1"/>
  <c r="Z182" i="1" s="1"/>
  <c r="Y174" i="1"/>
  <c r="Z174" i="1" s="1"/>
  <c r="Y166" i="1"/>
  <c r="Z166" i="1" s="1"/>
  <c r="Y158" i="1"/>
  <c r="Z158" i="1" s="1"/>
  <c r="Y150" i="1"/>
  <c r="Z150" i="1" s="1"/>
  <c r="Y142" i="1"/>
  <c r="Z142" i="1" s="1"/>
  <c r="Y134" i="1"/>
  <c r="Z134" i="1" s="1"/>
  <c r="Y126" i="1"/>
  <c r="Z126" i="1" s="1"/>
  <c r="Y118" i="1"/>
  <c r="Z118" i="1" s="1"/>
  <c r="Y110" i="1"/>
  <c r="Z110" i="1" s="1"/>
  <c r="Y102" i="1"/>
  <c r="Z102" i="1" s="1"/>
  <c r="Y94" i="1"/>
  <c r="Z94" i="1" s="1"/>
  <c r="Y86" i="1"/>
  <c r="Z86" i="1" s="1"/>
  <c r="Y78" i="1"/>
  <c r="Z78" i="1" s="1"/>
  <c r="Y70" i="1"/>
  <c r="Z70" i="1" s="1"/>
  <c r="Y62" i="1"/>
  <c r="Z62" i="1" s="1"/>
  <c r="Y54" i="1"/>
  <c r="Z54" i="1" s="1"/>
  <c r="Y46" i="1"/>
  <c r="Z46" i="1" s="1"/>
  <c r="Y38" i="1"/>
  <c r="Z38" i="1" s="1"/>
  <c r="Y30" i="1"/>
  <c r="Z30" i="1" s="1"/>
  <c r="Y22" i="1"/>
  <c r="Z22" i="1" s="1"/>
  <c r="Y14" i="1"/>
  <c r="Z14" i="1" s="1"/>
  <c r="Y6" i="1"/>
  <c r="Z6" i="1" s="1"/>
  <c r="Y245" i="1"/>
  <c r="Z245" i="1" s="1"/>
  <c r="Y237" i="1"/>
  <c r="Z237" i="1" s="1"/>
  <c r="Y229" i="1"/>
  <c r="Z229" i="1" s="1"/>
  <c r="Y221" i="1"/>
  <c r="Z221" i="1" s="1"/>
  <c r="Y213" i="1"/>
  <c r="Z213" i="1" s="1"/>
  <c r="Y205" i="1"/>
  <c r="Z205" i="1" s="1"/>
  <c r="Y197" i="1"/>
  <c r="Z197" i="1" s="1"/>
  <c r="Y189" i="1"/>
  <c r="Z189" i="1" s="1"/>
  <c r="Y181" i="1"/>
  <c r="Z181" i="1" s="1"/>
  <c r="Y173" i="1"/>
  <c r="Z173" i="1" s="1"/>
  <c r="Y165" i="1"/>
  <c r="Z165" i="1" s="1"/>
  <c r="Y157" i="1"/>
  <c r="Z157" i="1" s="1"/>
  <c r="Y149" i="1"/>
  <c r="Z149" i="1" s="1"/>
  <c r="Y141" i="1"/>
  <c r="Z141" i="1" s="1"/>
  <c r="Y133" i="1"/>
  <c r="Z133" i="1" s="1"/>
  <c r="Y125" i="1"/>
  <c r="Z125" i="1" s="1"/>
  <c r="Y117" i="1"/>
  <c r="Z117" i="1" s="1"/>
  <c r="Y93" i="1"/>
  <c r="Z93" i="1" s="1"/>
  <c r="Y85" i="1"/>
  <c r="Z85" i="1" s="1"/>
  <c r="Y77" i="1"/>
  <c r="Z77" i="1" s="1"/>
  <c r="Y69" i="1"/>
  <c r="Z69" i="1" s="1"/>
  <c r="Y61" i="1"/>
  <c r="Z61" i="1" s="1"/>
  <c r="Y53" i="1"/>
  <c r="Z53" i="1" s="1"/>
  <c r="Y45" i="1"/>
  <c r="Z45" i="1" s="1"/>
  <c r="Y37" i="1"/>
  <c r="Z37" i="1" s="1"/>
  <c r="Y29" i="1"/>
  <c r="Z29" i="1" s="1"/>
  <c r="Y21" i="1"/>
  <c r="Z21" i="1" s="1"/>
  <c r="Y13" i="1"/>
  <c r="Z13" i="1" s="1"/>
  <c r="Y5" i="1"/>
  <c r="Z5" i="1" s="1"/>
  <c r="Y322" i="1"/>
  <c r="Z322" i="1" s="1"/>
  <c r="Y413" i="1"/>
  <c r="Z413" i="1" s="1"/>
  <c r="Y349" i="1"/>
  <c r="Z349" i="1" s="1"/>
  <c r="Y293" i="1"/>
  <c r="Z293" i="1" s="1"/>
  <c r="Y277" i="1"/>
  <c r="Z277" i="1" s="1"/>
  <c r="Y109" i="1"/>
  <c r="Z109" i="1" s="1"/>
  <c r="Y101" i="1"/>
  <c r="Z101" i="1" s="1"/>
  <c r="Y355" i="1"/>
  <c r="Z355" i="1" s="1"/>
  <c r="Y331" i="1"/>
  <c r="Z331" i="1" s="1"/>
  <c r="Y307" i="1"/>
  <c r="Z307" i="1" s="1"/>
  <c r="Y275" i="1"/>
  <c r="Z275" i="1" s="1"/>
  <c r="Y243" i="1"/>
  <c r="Z243" i="1" s="1"/>
  <c r="Y211" i="1"/>
  <c r="Z211" i="1" s="1"/>
  <c r="Y179" i="1"/>
  <c r="Z179" i="1" s="1"/>
  <c r="Y147" i="1"/>
  <c r="Z147" i="1" s="1"/>
  <c r="Y115" i="1"/>
  <c r="Z115" i="1" s="1"/>
  <c r="Y51" i="1"/>
  <c r="Z51" i="1" s="1"/>
  <c r="Y410" i="1"/>
  <c r="Z410" i="1" s="1"/>
  <c r="Y402" i="1"/>
  <c r="Z402" i="1" s="1"/>
  <c r="Y394" i="1"/>
  <c r="Z394" i="1" s="1"/>
  <c r="Y386" i="1"/>
  <c r="Z386" i="1" s="1"/>
  <c r="Y378" i="1"/>
  <c r="Z378" i="1" s="1"/>
  <c r="Y370" i="1"/>
  <c r="Z370" i="1" s="1"/>
  <c r="Y362" i="1"/>
  <c r="Z362" i="1" s="1"/>
  <c r="Y338" i="1"/>
  <c r="Z338" i="1" s="1"/>
  <c r="Y330" i="1"/>
  <c r="Z330" i="1" s="1"/>
  <c r="Y314" i="1"/>
  <c r="Z314" i="1" s="1"/>
  <c r="Y306" i="1"/>
  <c r="Z306" i="1" s="1"/>
  <c r="Y298" i="1"/>
  <c r="Z298" i="1" s="1"/>
  <c r="Y242" i="1"/>
  <c r="Z242" i="1" s="1"/>
  <c r="Y234" i="1"/>
  <c r="Z234" i="1" s="1"/>
  <c r="Y210" i="1"/>
  <c r="Z210" i="1" s="1"/>
  <c r="Y130" i="1"/>
  <c r="Z130" i="1" s="1"/>
  <c r="Y90" i="1"/>
  <c r="Z90" i="1" s="1"/>
  <c r="Y58" i="1"/>
  <c r="Z58" i="1" s="1"/>
  <c r="Y50" i="1"/>
  <c r="Z50" i="1" s="1"/>
  <c r="Y26" i="1"/>
  <c r="Z26" i="1" s="1"/>
  <c r="Y266" i="1"/>
  <c r="Z266" i="1" s="1"/>
  <c r="Y186" i="1"/>
  <c r="Z186" i="1" s="1"/>
  <c r="Y146" i="1"/>
  <c r="Z146" i="1" s="1"/>
  <c r="Y74" i="1"/>
  <c r="Z74" i="1" s="1"/>
  <c r="Y10" i="1"/>
  <c r="Z10" i="1" s="1"/>
  <c r="Y34" i="1"/>
  <c r="Z34" i="1" s="1"/>
  <c r="Y114" i="1"/>
  <c r="Z114" i="1" s="1"/>
  <c r="Y258" i="1"/>
  <c r="Z258" i="1" s="1"/>
  <c r="Y194" i="1"/>
  <c r="Z194" i="1" s="1"/>
  <c r="Y274" i="1"/>
  <c r="Z274" i="1" s="1"/>
  <c r="Y250" i="1"/>
  <c r="Z250" i="1" s="1"/>
  <c r="Y202" i="1"/>
  <c r="Z202" i="1" s="1"/>
  <c r="Y178" i="1"/>
  <c r="Z178" i="1" s="1"/>
  <c r="Y170" i="1"/>
  <c r="Z170" i="1" s="1"/>
  <c r="Y138" i="1"/>
  <c r="Z138" i="1" s="1"/>
  <c r="Y122" i="1"/>
  <c r="Z122" i="1" s="1"/>
  <c r="Y66" i="1"/>
  <c r="Z66" i="1" s="1"/>
  <c r="Y42" i="1"/>
  <c r="Z42" i="1" s="1"/>
  <c r="Y2" i="1" l="1"/>
  <c r="Z2" i="1" s="1"/>
  <c r="W2" i="1"/>
  <c r="V3" i="1"/>
  <c r="W3" i="1" s="1"/>
  <c r="V4" i="1"/>
  <c r="W4" i="1" s="1"/>
  <c r="V5" i="1"/>
  <c r="W5" i="1" s="1"/>
  <c r="V6" i="1"/>
  <c r="W6" i="1" s="1"/>
  <c r="V7" i="1"/>
  <c r="W7" i="1" s="1"/>
  <c r="V8" i="1"/>
  <c r="W8" i="1" s="1"/>
  <c r="V9" i="1"/>
  <c r="W9" i="1" s="1"/>
  <c r="V10" i="1"/>
  <c r="W10" i="1" s="1"/>
  <c r="V11" i="1"/>
  <c r="W11" i="1" s="1"/>
  <c r="V12" i="1"/>
  <c r="W12" i="1" s="1"/>
  <c r="V13" i="1"/>
  <c r="W13" i="1" s="1"/>
  <c r="V14" i="1"/>
  <c r="W14" i="1" s="1"/>
  <c r="V15" i="1"/>
  <c r="W15" i="1" s="1"/>
  <c r="V16" i="1"/>
  <c r="W16" i="1" s="1"/>
  <c r="V17" i="1"/>
  <c r="W17" i="1" s="1"/>
  <c r="V18" i="1"/>
  <c r="W18" i="1" s="1"/>
  <c r="V19" i="1"/>
  <c r="W19" i="1" s="1"/>
  <c r="V20" i="1"/>
  <c r="W20" i="1" s="1"/>
  <c r="V21" i="1"/>
  <c r="W21" i="1" s="1"/>
  <c r="V22" i="1"/>
  <c r="W22" i="1" s="1"/>
  <c r="V23" i="1"/>
  <c r="W23" i="1" s="1"/>
  <c r="V24" i="1"/>
  <c r="W24" i="1" s="1"/>
  <c r="V25" i="1"/>
  <c r="W25" i="1" s="1"/>
  <c r="V26" i="1"/>
  <c r="W26" i="1" s="1"/>
  <c r="V27" i="1"/>
  <c r="W27" i="1" s="1"/>
  <c r="V28" i="1"/>
  <c r="W28" i="1" s="1"/>
  <c r="V29" i="1"/>
  <c r="W29" i="1" s="1"/>
  <c r="V30" i="1"/>
  <c r="W30" i="1" s="1"/>
  <c r="V31" i="1"/>
  <c r="W31" i="1" s="1"/>
  <c r="V32" i="1"/>
  <c r="W32" i="1" s="1"/>
  <c r="V33" i="1"/>
  <c r="W33" i="1" s="1"/>
  <c r="V34" i="1"/>
  <c r="W34" i="1" s="1"/>
  <c r="V35" i="1"/>
  <c r="W35" i="1" s="1"/>
  <c r="V36" i="1"/>
  <c r="W36" i="1" s="1"/>
  <c r="V37" i="1"/>
  <c r="W37" i="1" s="1"/>
  <c r="V38" i="1"/>
  <c r="W38" i="1" s="1"/>
  <c r="V39" i="1"/>
  <c r="W39" i="1" s="1"/>
  <c r="V40" i="1"/>
  <c r="W40" i="1" s="1"/>
  <c r="V41" i="1"/>
  <c r="W41" i="1" s="1"/>
  <c r="V42" i="1"/>
  <c r="W42" i="1" s="1"/>
  <c r="V43" i="1"/>
  <c r="W43" i="1" s="1"/>
  <c r="V44" i="1"/>
  <c r="W44" i="1" s="1"/>
  <c r="V45" i="1"/>
  <c r="W45" i="1" s="1"/>
  <c r="V46" i="1"/>
  <c r="W46" i="1" s="1"/>
  <c r="V47" i="1"/>
  <c r="W47" i="1" s="1"/>
  <c r="V48" i="1"/>
  <c r="W48" i="1" s="1"/>
  <c r="V49" i="1"/>
  <c r="W49" i="1" s="1"/>
  <c r="V50" i="1"/>
  <c r="W50" i="1" s="1"/>
  <c r="V51" i="1"/>
  <c r="W51" i="1" s="1"/>
  <c r="V52" i="1"/>
  <c r="W52" i="1" s="1"/>
  <c r="V53" i="1"/>
  <c r="W53" i="1" s="1"/>
  <c r="V54" i="1"/>
  <c r="W54" i="1" s="1"/>
  <c r="V55" i="1"/>
  <c r="W55" i="1" s="1"/>
  <c r="V56" i="1"/>
  <c r="W56" i="1" s="1"/>
  <c r="V57" i="1"/>
  <c r="W57" i="1" s="1"/>
  <c r="V58" i="1"/>
  <c r="W58" i="1" s="1"/>
  <c r="V59" i="1"/>
  <c r="W59" i="1" s="1"/>
  <c r="V60" i="1"/>
  <c r="W60" i="1" s="1"/>
  <c r="V61" i="1"/>
  <c r="W61" i="1" s="1"/>
  <c r="V62" i="1"/>
  <c r="W62" i="1" s="1"/>
  <c r="V63" i="1"/>
  <c r="W63" i="1" s="1"/>
  <c r="V64" i="1"/>
  <c r="W64" i="1" s="1"/>
  <c r="V65" i="1"/>
  <c r="W65" i="1" s="1"/>
  <c r="V66" i="1"/>
  <c r="W66" i="1" s="1"/>
  <c r="V67" i="1"/>
  <c r="W67" i="1" s="1"/>
  <c r="V68" i="1"/>
  <c r="W68" i="1" s="1"/>
  <c r="V69" i="1"/>
  <c r="W69" i="1" s="1"/>
  <c r="V70" i="1"/>
  <c r="W70" i="1" s="1"/>
  <c r="V71" i="1"/>
  <c r="W71" i="1" s="1"/>
  <c r="V72" i="1"/>
  <c r="W72" i="1" s="1"/>
  <c r="V73" i="1"/>
  <c r="W73" i="1" s="1"/>
  <c r="V74" i="1"/>
  <c r="W74" i="1" s="1"/>
  <c r="V75" i="1"/>
  <c r="W75" i="1" s="1"/>
  <c r="V76" i="1"/>
  <c r="W76" i="1" s="1"/>
  <c r="V77" i="1"/>
  <c r="W77" i="1" s="1"/>
  <c r="V78" i="1"/>
  <c r="W78" i="1" s="1"/>
  <c r="V79" i="1"/>
  <c r="W79" i="1" s="1"/>
  <c r="V80" i="1"/>
  <c r="W80" i="1" s="1"/>
  <c r="V81" i="1"/>
  <c r="W81" i="1" s="1"/>
  <c r="V82" i="1"/>
  <c r="W82" i="1" s="1"/>
  <c r="V83" i="1"/>
  <c r="W83" i="1" s="1"/>
  <c r="V84" i="1"/>
  <c r="W84" i="1" s="1"/>
  <c r="V85" i="1"/>
  <c r="W85" i="1" s="1"/>
  <c r="V86" i="1"/>
  <c r="W86" i="1" s="1"/>
  <c r="V87" i="1"/>
  <c r="W87" i="1" s="1"/>
  <c r="V88" i="1"/>
  <c r="W88" i="1" s="1"/>
  <c r="V89" i="1"/>
  <c r="W89" i="1" s="1"/>
  <c r="V90" i="1"/>
  <c r="W90" i="1" s="1"/>
  <c r="V91" i="1"/>
  <c r="W91" i="1" s="1"/>
  <c r="V92" i="1"/>
  <c r="W92" i="1" s="1"/>
  <c r="V93" i="1"/>
  <c r="W93" i="1" s="1"/>
  <c r="V94" i="1"/>
  <c r="W94" i="1" s="1"/>
  <c r="V95" i="1"/>
  <c r="W95" i="1" s="1"/>
  <c r="V96" i="1"/>
  <c r="W96" i="1" s="1"/>
  <c r="V97" i="1"/>
  <c r="W97" i="1" s="1"/>
  <c r="V98" i="1"/>
  <c r="W98" i="1" s="1"/>
  <c r="V99" i="1"/>
  <c r="W99" i="1" s="1"/>
  <c r="V100" i="1"/>
  <c r="W100" i="1" s="1"/>
  <c r="V101" i="1"/>
  <c r="W101" i="1" s="1"/>
  <c r="V102" i="1"/>
  <c r="W102" i="1" s="1"/>
  <c r="V103" i="1"/>
  <c r="W103" i="1" s="1"/>
  <c r="V104" i="1"/>
  <c r="W104" i="1" s="1"/>
  <c r="V105" i="1"/>
  <c r="W105" i="1" s="1"/>
  <c r="V106" i="1"/>
  <c r="W106" i="1" s="1"/>
  <c r="V107" i="1"/>
  <c r="W107" i="1" s="1"/>
  <c r="V108" i="1"/>
  <c r="W108" i="1" s="1"/>
  <c r="V109" i="1"/>
  <c r="W109" i="1" s="1"/>
  <c r="V110" i="1"/>
  <c r="W110" i="1" s="1"/>
  <c r="V111" i="1"/>
  <c r="W111" i="1" s="1"/>
  <c r="V112" i="1"/>
  <c r="W112" i="1" s="1"/>
  <c r="V113" i="1"/>
  <c r="W113" i="1" s="1"/>
  <c r="V114" i="1"/>
  <c r="W114" i="1" s="1"/>
  <c r="V115" i="1"/>
  <c r="W115" i="1" s="1"/>
  <c r="V116" i="1"/>
  <c r="W116" i="1" s="1"/>
  <c r="V117" i="1"/>
  <c r="W117" i="1" s="1"/>
  <c r="V118" i="1"/>
  <c r="W118" i="1" s="1"/>
  <c r="V119" i="1"/>
  <c r="W119" i="1" s="1"/>
  <c r="V120" i="1"/>
  <c r="W120" i="1" s="1"/>
  <c r="V121" i="1"/>
  <c r="W121" i="1" s="1"/>
  <c r="V122" i="1"/>
  <c r="W122" i="1" s="1"/>
  <c r="V123" i="1"/>
  <c r="W123" i="1" s="1"/>
  <c r="V124" i="1"/>
  <c r="W124" i="1" s="1"/>
  <c r="V125" i="1"/>
  <c r="W125" i="1" s="1"/>
  <c r="V126" i="1"/>
  <c r="W126" i="1" s="1"/>
  <c r="V127" i="1"/>
  <c r="W127" i="1" s="1"/>
  <c r="V128" i="1"/>
  <c r="W128" i="1" s="1"/>
  <c r="V129" i="1"/>
  <c r="W129" i="1" s="1"/>
  <c r="V130" i="1"/>
  <c r="W130" i="1" s="1"/>
  <c r="V131" i="1"/>
  <c r="W131" i="1" s="1"/>
  <c r="V132" i="1"/>
  <c r="W132" i="1" s="1"/>
  <c r="V133" i="1"/>
  <c r="W133" i="1" s="1"/>
  <c r="V134" i="1"/>
  <c r="W134" i="1" s="1"/>
  <c r="V135" i="1"/>
  <c r="W135" i="1" s="1"/>
  <c r="V136" i="1"/>
  <c r="W136" i="1" s="1"/>
  <c r="V137" i="1"/>
  <c r="W137" i="1" s="1"/>
  <c r="V138" i="1"/>
  <c r="W138" i="1" s="1"/>
  <c r="V139" i="1"/>
  <c r="W139" i="1" s="1"/>
  <c r="V140" i="1"/>
  <c r="W140" i="1" s="1"/>
  <c r="V141" i="1"/>
  <c r="W141" i="1" s="1"/>
  <c r="V142" i="1"/>
  <c r="W142" i="1" s="1"/>
  <c r="V143" i="1"/>
  <c r="W143" i="1" s="1"/>
  <c r="V144" i="1"/>
  <c r="W144" i="1" s="1"/>
  <c r="V145" i="1"/>
  <c r="W145" i="1" s="1"/>
  <c r="V146" i="1"/>
  <c r="W146" i="1" s="1"/>
  <c r="V147" i="1"/>
  <c r="W147" i="1" s="1"/>
  <c r="V148" i="1"/>
  <c r="W148" i="1" s="1"/>
  <c r="V149" i="1"/>
  <c r="W149" i="1" s="1"/>
  <c r="V150" i="1"/>
  <c r="W150" i="1" s="1"/>
  <c r="V151" i="1"/>
  <c r="W151" i="1" s="1"/>
  <c r="V152" i="1"/>
  <c r="W152" i="1" s="1"/>
  <c r="V153" i="1"/>
  <c r="W153" i="1" s="1"/>
  <c r="V154" i="1"/>
  <c r="W154" i="1" s="1"/>
  <c r="V155" i="1"/>
  <c r="W155" i="1" s="1"/>
  <c r="V156" i="1"/>
  <c r="W156" i="1" s="1"/>
  <c r="V157" i="1"/>
  <c r="W157" i="1" s="1"/>
  <c r="V158" i="1"/>
  <c r="W158" i="1" s="1"/>
  <c r="V159" i="1"/>
  <c r="W159" i="1" s="1"/>
  <c r="V160" i="1"/>
  <c r="W160" i="1" s="1"/>
  <c r="V161" i="1"/>
  <c r="W161" i="1" s="1"/>
  <c r="V162" i="1"/>
  <c r="W162" i="1" s="1"/>
  <c r="V163" i="1"/>
  <c r="W163" i="1" s="1"/>
  <c r="V164" i="1"/>
  <c r="W164" i="1" s="1"/>
  <c r="V165" i="1"/>
  <c r="W165" i="1" s="1"/>
  <c r="V166" i="1"/>
  <c r="W166" i="1" s="1"/>
  <c r="V167" i="1"/>
  <c r="W167" i="1" s="1"/>
  <c r="V168" i="1"/>
  <c r="W168" i="1" s="1"/>
  <c r="V169" i="1"/>
  <c r="W169" i="1" s="1"/>
  <c r="V170" i="1"/>
  <c r="W170" i="1" s="1"/>
  <c r="V171" i="1"/>
  <c r="W171" i="1" s="1"/>
  <c r="V172" i="1"/>
  <c r="W172" i="1" s="1"/>
  <c r="V173" i="1"/>
  <c r="W173" i="1" s="1"/>
  <c r="V174" i="1"/>
  <c r="W174" i="1" s="1"/>
  <c r="V175" i="1"/>
  <c r="W175" i="1" s="1"/>
  <c r="V176" i="1"/>
  <c r="W176" i="1" s="1"/>
  <c r="V177" i="1"/>
  <c r="W177" i="1" s="1"/>
  <c r="V178" i="1"/>
  <c r="W178" i="1" s="1"/>
  <c r="V179" i="1"/>
  <c r="W179" i="1" s="1"/>
  <c r="V180" i="1"/>
  <c r="W180" i="1" s="1"/>
  <c r="V181" i="1"/>
  <c r="W181" i="1" s="1"/>
  <c r="V182" i="1"/>
  <c r="W182" i="1" s="1"/>
  <c r="V183" i="1"/>
  <c r="W183" i="1" s="1"/>
  <c r="V184" i="1"/>
  <c r="W184" i="1" s="1"/>
  <c r="V185" i="1"/>
  <c r="W185" i="1" s="1"/>
  <c r="V186" i="1"/>
  <c r="W186" i="1" s="1"/>
  <c r="V187" i="1"/>
  <c r="W187" i="1" s="1"/>
  <c r="V188" i="1"/>
  <c r="W188" i="1" s="1"/>
  <c r="V189" i="1"/>
  <c r="W189" i="1" s="1"/>
  <c r="V190" i="1"/>
  <c r="W190" i="1" s="1"/>
  <c r="V191" i="1"/>
  <c r="W191" i="1" s="1"/>
  <c r="V192" i="1"/>
  <c r="W192" i="1" s="1"/>
  <c r="V193" i="1"/>
  <c r="W193" i="1" s="1"/>
  <c r="V194" i="1"/>
  <c r="W194" i="1" s="1"/>
  <c r="V195" i="1"/>
  <c r="W195" i="1" s="1"/>
  <c r="V196" i="1"/>
  <c r="W196" i="1" s="1"/>
  <c r="V197" i="1"/>
  <c r="W197" i="1" s="1"/>
  <c r="V198" i="1"/>
  <c r="W198" i="1" s="1"/>
  <c r="V199" i="1"/>
  <c r="W199" i="1" s="1"/>
  <c r="V200" i="1"/>
  <c r="W200" i="1" s="1"/>
  <c r="V201" i="1"/>
  <c r="W201" i="1" s="1"/>
  <c r="V202" i="1"/>
  <c r="W202" i="1" s="1"/>
  <c r="V203" i="1"/>
  <c r="W203" i="1" s="1"/>
  <c r="V204" i="1"/>
  <c r="W204" i="1" s="1"/>
  <c r="V205" i="1"/>
  <c r="W205" i="1" s="1"/>
  <c r="V206" i="1"/>
  <c r="W206" i="1" s="1"/>
  <c r="V207" i="1"/>
  <c r="W207" i="1" s="1"/>
  <c r="V208" i="1"/>
  <c r="W208" i="1" s="1"/>
  <c r="V209" i="1"/>
  <c r="W209" i="1" s="1"/>
  <c r="V210" i="1"/>
  <c r="W210" i="1" s="1"/>
  <c r="V211" i="1"/>
  <c r="W211" i="1" s="1"/>
  <c r="V212" i="1"/>
  <c r="W212" i="1" s="1"/>
  <c r="V213" i="1"/>
  <c r="W213" i="1" s="1"/>
  <c r="V214" i="1"/>
  <c r="W214" i="1" s="1"/>
  <c r="V215" i="1"/>
  <c r="W215" i="1" s="1"/>
  <c r="V216" i="1"/>
  <c r="W216" i="1" s="1"/>
  <c r="V217" i="1"/>
  <c r="W217" i="1" s="1"/>
  <c r="V218" i="1"/>
  <c r="W218" i="1" s="1"/>
  <c r="V219" i="1"/>
  <c r="W219" i="1" s="1"/>
  <c r="V220" i="1"/>
  <c r="W220" i="1" s="1"/>
  <c r="V221" i="1"/>
  <c r="W221" i="1" s="1"/>
  <c r="V222" i="1"/>
  <c r="W222" i="1" s="1"/>
  <c r="V223" i="1"/>
  <c r="W223" i="1" s="1"/>
  <c r="V224" i="1"/>
  <c r="W224" i="1" s="1"/>
  <c r="V225" i="1"/>
  <c r="W225" i="1" s="1"/>
  <c r="V226" i="1"/>
  <c r="W226" i="1" s="1"/>
  <c r="V227" i="1"/>
  <c r="W227" i="1" s="1"/>
  <c r="V228" i="1"/>
  <c r="W228" i="1" s="1"/>
  <c r="V229" i="1"/>
  <c r="W229" i="1" s="1"/>
  <c r="V230" i="1"/>
  <c r="W230" i="1" s="1"/>
  <c r="V231" i="1"/>
  <c r="W231" i="1" s="1"/>
  <c r="V232" i="1"/>
  <c r="W232" i="1" s="1"/>
  <c r="V233" i="1"/>
  <c r="W233" i="1" s="1"/>
  <c r="V234" i="1"/>
  <c r="W234" i="1" s="1"/>
  <c r="V235" i="1"/>
  <c r="W235" i="1" s="1"/>
  <c r="V236" i="1"/>
  <c r="W236" i="1" s="1"/>
  <c r="V237" i="1"/>
  <c r="W237" i="1" s="1"/>
  <c r="V238" i="1"/>
  <c r="W238" i="1" s="1"/>
  <c r="V239" i="1"/>
  <c r="W239" i="1" s="1"/>
  <c r="V240" i="1"/>
  <c r="W240" i="1" s="1"/>
  <c r="V241" i="1"/>
  <c r="W241" i="1" s="1"/>
  <c r="V242" i="1"/>
  <c r="W242" i="1" s="1"/>
  <c r="V243" i="1"/>
  <c r="W243" i="1" s="1"/>
  <c r="V244" i="1"/>
  <c r="W244" i="1" s="1"/>
  <c r="V245" i="1"/>
  <c r="W245" i="1" s="1"/>
  <c r="V246" i="1"/>
  <c r="W246" i="1" s="1"/>
  <c r="V247" i="1"/>
  <c r="W247" i="1" s="1"/>
  <c r="V248" i="1"/>
  <c r="W248" i="1" s="1"/>
  <c r="V249" i="1"/>
  <c r="W249" i="1" s="1"/>
  <c r="V250" i="1"/>
  <c r="W250" i="1" s="1"/>
  <c r="V251" i="1"/>
  <c r="W251" i="1" s="1"/>
  <c r="V252" i="1"/>
  <c r="W252" i="1" s="1"/>
  <c r="V253" i="1"/>
  <c r="W253" i="1" s="1"/>
  <c r="V254" i="1"/>
  <c r="W254" i="1" s="1"/>
  <c r="V255" i="1"/>
  <c r="W255" i="1" s="1"/>
  <c r="V256" i="1"/>
  <c r="W256" i="1" s="1"/>
  <c r="V257" i="1"/>
  <c r="W257" i="1" s="1"/>
  <c r="V258" i="1"/>
  <c r="W258" i="1" s="1"/>
  <c r="V259" i="1"/>
  <c r="W259" i="1" s="1"/>
  <c r="V260" i="1"/>
  <c r="W260" i="1" s="1"/>
  <c r="V261" i="1"/>
  <c r="W261" i="1" s="1"/>
  <c r="V262" i="1"/>
  <c r="W262" i="1" s="1"/>
  <c r="V263" i="1"/>
  <c r="W263" i="1" s="1"/>
  <c r="V264" i="1"/>
  <c r="W264" i="1" s="1"/>
  <c r="V265" i="1"/>
  <c r="W265" i="1" s="1"/>
  <c r="V266" i="1"/>
  <c r="W266" i="1" s="1"/>
  <c r="V267" i="1"/>
  <c r="W267" i="1" s="1"/>
  <c r="V268" i="1"/>
  <c r="W268" i="1" s="1"/>
  <c r="V269" i="1"/>
  <c r="W269" i="1" s="1"/>
  <c r="V270" i="1"/>
  <c r="W270" i="1" s="1"/>
  <c r="V271" i="1"/>
  <c r="W271" i="1" s="1"/>
  <c r="V272" i="1"/>
  <c r="W272" i="1" s="1"/>
  <c r="V273" i="1"/>
  <c r="W273" i="1" s="1"/>
  <c r="V274" i="1"/>
  <c r="W274" i="1" s="1"/>
  <c r="V275" i="1"/>
  <c r="W275" i="1" s="1"/>
  <c r="V276" i="1"/>
  <c r="W276" i="1" s="1"/>
  <c r="V277" i="1"/>
  <c r="W277" i="1" s="1"/>
  <c r="V278" i="1"/>
  <c r="W278" i="1" s="1"/>
  <c r="V279" i="1"/>
  <c r="W279" i="1" s="1"/>
  <c r="V280" i="1"/>
  <c r="W280" i="1" s="1"/>
  <c r="V281" i="1"/>
  <c r="W281" i="1" s="1"/>
  <c r="V282" i="1"/>
  <c r="W282" i="1" s="1"/>
  <c r="V283" i="1"/>
  <c r="W283" i="1" s="1"/>
  <c r="V284" i="1"/>
  <c r="W284" i="1" s="1"/>
  <c r="V285" i="1"/>
  <c r="W285" i="1" s="1"/>
  <c r="V286" i="1"/>
  <c r="W286" i="1" s="1"/>
  <c r="V287" i="1"/>
  <c r="W287" i="1" s="1"/>
  <c r="V288" i="1"/>
  <c r="W288" i="1" s="1"/>
  <c r="V289" i="1"/>
  <c r="W289" i="1" s="1"/>
  <c r="V290" i="1"/>
  <c r="W290" i="1" s="1"/>
  <c r="V291" i="1"/>
  <c r="W291" i="1" s="1"/>
  <c r="V292" i="1"/>
  <c r="W292" i="1" s="1"/>
  <c r="V293" i="1"/>
  <c r="W293" i="1" s="1"/>
  <c r="V294" i="1"/>
  <c r="W294" i="1" s="1"/>
  <c r="V295" i="1"/>
  <c r="W295" i="1" s="1"/>
  <c r="V296" i="1"/>
  <c r="W296" i="1" s="1"/>
  <c r="V297" i="1"/>
  <c r="W297" i="1" s="1"/>
  <c r="V298" i="1"/>
  <c r="W298" i="1" s="1"/>
  <c r="V299" i="1"/>
  <c r="W299" i="1" s="1"/>
  <c r="V300" i="1"/>
  <c r="W300" i="1" s="1"/>
  <c r="V301" i="1"/>
  <c r="W301" i="1" s="1"/>
  <c r="V302" i="1"/>
  <c r="W302" i="1" s="1"/>
  <c r="V303" i="1"/>
  <c r="W303" i="1" s="1"/>
  <c r="V304" i="1"/>
  <c r="W304" i="1" s="1"/>
  <c r="V305" i="1"/>
  <c r="W305" i="1" s="1"/>
  <c r="V306" i="1"/>
  <c r="W306" i="1" s="1"/>
  <c r="V307" i="1"/>
  <c r="W307" i="1" s="1"/>
  <c r="V308" i="1"/>
  <c r="W308" i="1" s="1"/>
  <c r="V309" i="1"/>
  <c r="W309" i="1" s="1"/>
  <c r="V310" i="1"/>
  <c r="W310" i="1" s="1"/>
  <c r="V311" i="1"/>
  <c r="W311" i="1" s="1"/>
  <c r="V312" i="1"/>
  <c r="W312" i="1" s="1"/>
  <c r="V313" i="1"/>
  <c r="W313" i="1" s="1"/>
  <c r="V314" i="1"/>
  <c r="W314" i="1" s="1"/>
  <c r="V315" i="1"/>
  <c r="W315" i="1" s="1"/>
  <c r="V316" i="1"/>
  <c r="W316" i="1" s="1"/>
  <c r="V317" i="1"/>
  <c r="W317" i="1" s="1"/>
  <c r="V318" i="1"/>
  <c r="W318" i="1" s="1"/>
  <c r="V319" i="1"/>
  <c r="W319" i="1" s="1"/>
  <c r="V320" i="1"/>
  <c r="W320" i="1" s="1"/>
  <c r="V321" i="1"/>
  <c r="W321" i="1" s="1"/>
  <c r="V322" i="1"/>
  <c r="W322" i="1" s="1"/>
  <c r="V323" i="1"/>
  <c r="W323" i="1" s="1"/>
  <c r="V324" i="1"/>
  <c r="W324" i="1" s="1"/>
  <c r="V325" i="1"/>
  <c r="W325" i="1" s="1"/>
  <c r="V326" i="1"/>
  <c r="W326" i="1" s="1"/>
  <c r="V327" i="1"/>
  <c r="W327" i="1" s="1"/>
  <c r="V328" i="1"/>
  <c r="W328" i="1" s="1"/>
  <c r="V329" i="1"/>
  <c r="W329" i="1" s="1"/>
  <c r="V330" i="1"/>
  <c r="W330" i="1" s="1"/>
  <c r="V331" i="1"/>
  <c r="W331" i="1" s="1"/>
  <c r="V332" i="1"/>
  <c r="W332" i="1" s="1"/>
  <c r="V333" i="1"/>
  <c r="W333" i="1" s="1"/>
  <c r="V334" i="1"/>
  <c r="W334" i="1" s="1"/>
  <c r="V335" i="1"/>
  <c r="W335" i="1" s="1"/>
  <c r="V336" i="1"/>
  <c r="W336" i="1" s="1"/>
  <c r="V337" i="1"/>
  <c r="W337" i="1" s="1"/>
  <c r="V338" i="1"/>
  <c r="W338" i="1" s="1"/>
  <c r="V339" i="1"/>
  <c r="W339" i="1" s="1"/>
  <c r="V340" i="1"/>
  <c r="W340" i="1" s="1"/>
  <c r="V341" i="1"/>
  <c r="W341" i="1" s="1"/>
  <c r="V342" i="1"/>
  <c r="W342" i="1" s="1"/>
  <c r="V343" i="1"/>
  <c r="W343" i="1" s="1"/>
  <c r="V344" i="1"/>
  <c r="W344" i="1" s="1"/>
  <c r="V345" i="1"/>
  <c r="W345" i="1" s="1"/>
  <c r="V346" i="1"/>
  <c r="W346" i="1" s="1"/>
  <c r="V347" i="1"/>
  <c r="W347" i="1" s="1"/>
  <c r="V348" i="1"/>
  <c r="W348" i="1" s="1"/>
  <c r="V349" i="1"/>
  <c r="W349" i="1" s="1"/>
  <c r="V350" i="1"/>
  <c r="W350" i="1" s="1"/>
  <c r="V351" i="1"/>
  <c r="W351" i="1" s="1"/>
  <c r="V352" i="1"/>
  <c r="W352" i="1" s="1"/>
  <c r="V353" i="1"/>
  <c r="W353" i="1" s="1"/>
  <c r="V354" i="1"/>
  <c r="W354" i="1" s="1"/>
  <c r="V355" i="1"/>
  <c r="W355" i="1" s="1"/>
  <c r="V356" i="1"/>
  <c r="W356" i="1" s="1"/>
  <c r="V357" i="1"/>
  <c r="W357" i="1" s="1"/>
  <c r="V358" i="1"/>
  <c r="W358" i="1" s="1"/>
  <c r="V359" i="1"/>
  <c r="W359" i="1" s="1"/>
  <c r="V360" i="1"/>
  <c r="W360" i="1" s="1"/>
  <c r="V361" i="1"/>
  <c r="W361" i="1" s="1"/>
  <c r="V362" i="1"/>
  <c r="W362" i="1" s="1"/>
  <c r="V363" i="1"/>
  <c r="W363" i="1" s="1"/>
  <c r="V364" i="1"/>
  <c r="W364" i="1" s="1"/>
  <c r="V365" i="1"/>
  <c r="W365" i="1" s="1"/>
  <c r="V366" i="1"/>
  <c r="W366" i="1" s="1"/>
  <c r="V367" i="1"/>
  <c r="W367" i="1" s="1"/>
  <c r="V368" i="1"/>
  <c r="W368" i="1" s="1"/>
  <c r="V369" i="1"/>
  <c r="W369" i="1" s="1"/>
  <c r="V370" i="1"/>
  <c r="W370" i="1" s="1"/>
  <c r="V371" i="1"/>
  <c r="W371" i="1" s="1"/>
  <c r="V372" i="1"/>
  <c r="W372" i="1" s="1"/>
  <c r="V373" i="1"/>
  <c r="W373" i="1" s="1"/>
  <c r="V374" i="1"/>
  <c r="W374" i="1" s="1"/>
  <c r="V375" i="1"/>
  <c r="W375" i="1" s="1"/>
  <c r="V376" i="1"/>
  <c r="W376" i="1" s="1"/>
  <c r="V377" i="1"/>
  <c r="W377" i="1" s="1"/>
  <c r="V378" i="1"/>
  <c r="W378" i="1" s="1"/>
  <c r="V379" i="1"/>
  <c r="W379" i="1" s="1"/>
  <c r="V380" i="1"/>
  <c r="W380" i="1" s="1"/>
  <c r="V381" i="1"/>
  <c r="W381" i="1" s="1"/>
  <c r="V382" i="1"/>
  <c r="W382" i="1" s="1"/>
  <c r="V383" i="1"/>
  <c r="W383" i="1" s="1"/>
  <c r="V384" i="1"/>
  <c r="W384" i="1" s="1"/>
  <c r="V385" i="1"/>
  <c r="W385" i="1" s="1"/>
  <c r="V386" i="1"/>
  <c r="W386" i="1" s="1"/>
  <c r="V387" i="1"/>
  <c r="W387" i="1" s="1"/>
  <c r="V388" i="1"/>
  <c r="W388" i="1" s="1"/>
  <c r="V389" i="1"/>
  <c r="W389" i="1" s="1"/>
  <c r="V390" i="1"/>
  <c r="W390" i="1" s="1"/>
  <c r="V391" i="1"/>
  <c r="W391" i="1" s="1"/>
  <c r="V392" i="1"/>
  <c r="W392" i="1" s="1"/>
  <c r="V393" i="1"/>
  <c r="W393" i="1" s="1"/>
  <c r="V394" i="1"/>
  <c r="W394" i="1" s="1"/>
  <c r="V395" i="1"/>
  <c r="W395" i="1" s="1"/>
  <c r="V396" i="1"/>
  <c r="W396" i="1" s="1"/>
  <c r="V397" i="1"/>
  <c r="W397" i="1" s="1"/>
  <c r="V398" i="1"/>
  <c r="W398" i="1" s="1"/>
  <c r="V399" i="1"/>
  <c r="W399" i="1" s="1"/>
  <c r="V400" i="1"/>
  <c r="W400" i="1" s="1"/>
  <c r="V401" i="1"/>
  <c r="W401" i="1" s="1"/>
  <c r="V402" i="1"/>
  <c r="W402" i="1" s="1"/>
  <c r="V403" i="1"/>
  <c r="W403" i="1" s="1"/>
  <c r="V404" i="1"/>
  <c r="W404" i="1" s="1"/>
  <c r="V405" i="1"/>
  <c r="W405" i="1" s="1"/>
  <c r="V406" i="1"/>
  <c r="W406" i="1" s="1"/>
  <c r="V407" i="1"/>
  <c r="W407" i="1" s="1"/>
  <c r="V408" i="1"/>
  <c r="W408" i="1" s="1"/>
  <c r="V409" i="1"/>
  <c r="W409" i="1" s="1"/>
  <c r="V410" i="1"/>
  <c r="W410" i="1" s="1"/>
  <c r="V411" i="1"/>
  <c r="W411" i="1" s="1"/>
  <c r="V412" i="1"/>
  <c r="W412" i="1" s="1"/>
  <c r="V413" i="1"/>
  <c r="W413" i="1" s="1"/>
  <c r="V414" i="1"/>
  <c r="W414" i="1" s="1"/>
  <c r="V415" i="1"/>
  <c r="W415" i="1" s="1"/>
  <c r="V416" i="1"/>
  <c r="W416" i="1" s="1"/>
</calcChain>
</file>

<file path=xl/sharedStrings.xml><?xml version="1.0" encoding="utf-8"?>
<sst xmlns="http://schemas.openxmlformats.org/spreadsheetml/2006/main" count="1402" uniqueCount="33">
  <si>
    <t>Date</t>
  </si>
  <si>
    <t>GPP</t>
  </si>
  <si>
    <t>ER</t>
  </si>
  <si>
    <t>K600</t>
  </si>
  <si>
    <t>ID</t>
  </si>
  <si>
    <t>NEP</t>
  </si>
  <si>
    <t>DO</t>
  </si>
  <si>
    <t>Temp_DO</t>
  </si>
  <si>
    <t>DO_night</t>
  </si>
  <si>
    <t>depth</t>
  </si>
  <si>
    <t>Q</t>
  </si>
  <si>
    <t>bf</t>
  </si>
  <si>
    <t>u</t>
  </si>
  <si>
    <t>Q_m3.day</t>
  </si>
  <si>
    <t>baseflow_m3.day</t>
  </si>
  <si>
    <t>u_m.day</t>
  </si>
  <si>
    <t>reach_m</t>
  </si>
  <si>
    <t>width_m</t>
  </si>
  <si>
    <t>area_m2</t>
  </si>
  <si>
    <t>5</t>
  </si>
  <si>
    <t>6</t>
  </si>
  <si>
    <t>9</t>
  </si>
  <si>
    <t>Cg-C (NEP Correct.)</t>
  </si>
  <si>
    <t>qL/w</t>
  </si>
  <si>
    <t>GW Correct (NEP Correct.)</t>
  </si>
  <si>
    <t>Cg-C (ER Correct.)</t>
  </si>
  <si>
    <t>ER Correct</t>
  </si>
  <si>
    <t>bf (L/s)</t>
  </si>
  <si>
    <t>Q (L/s)</t>
  </si>
  <si>
    <t>pixel</t>
  </si>
  <si>
    <t>cum_distance</t>
  </si>
  <si>
    <t>cum_pixel_diff</t>
  </si>
  <si>
    <t>frac_Q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</si>
</sst>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2" x14ac:knownFonts="1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frac_Q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2.1327646544181977E-3"/>
                  <c:y val="-0.1346759259259259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Sheet1!$B$2:$B$6</c:f>
              <c:numCache>
                <c:formatCode>General</c:formatCode>
                <c:ptCount val="5"/>
                <c:pt idx="0">
                  <c:v>0</c:v>
                </c:pt>
                <c:pt idx="1">
                  <c:v>1267.3699999999999</c:v>
                </c:pt>
                <c:pt idx="2">
                  <c:v>2467.91</c:v>
                </c:pt>
                <c:pt idx="3">
                  <c:v>4497.8599999999997</c:v>
                </c:pt>
                <c:pt idx="4">
                  <c:v>6130.37</c:v>
                </c:pt>
              </c:numCache>
            </c:numRef>
          </c:xVal>
          <c:yVal>
            <c:numRef>
              <c:f>Sheet1!$D$2:$D$6</c:f>
              <c:numCache>
                <c:formatCode>General</c:formatCode>
                <c:ptCount val="5"/>
                <c:pt idx="1">
                  <c:v>0.18409103680809216</c:v>
                </c:pt>
                <c:pt idx="2">
                  <c:v>0.42402922169148638</c:v>
                </c:pt>
                <c:pt idx="3">
                  <c:v>0.89815453779151444</c:v>
                </c:pt>
                <c:pt idx="4">
                  <c:v>0.9922239393087946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66-4400-8AE1-6E1357BC2F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3463887"/>
        <c:axId val="1063463407"/>
      </c:scatterChart>
      <c:valAx>
        <c:axId val="1063463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3463407"/>
        <c:crosses val="autoZero"/>
        <c:crossBetween val="midCat"/>
      </c:valAx>
      <c:valAx>
        <c:axId val="1063463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34638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Sheet2!$D$1</c:f>
              <c:strCache>
                <c:ptCount val="1"/>
                <c:pt idx="0">
                  <c:v>frac_Q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Sheet2!$B$2:$B$7</c:f>
              <c:numCache>
                <c:formatCode>General</c:formatCode>
                <c:ptCount val="6"/>
                <c:pt idx="0">
                  <c:v>9149.2199999999993</c:v>
                </c:pt>
                <c:pt idx="1">
                  <c:v>7836.22</c:v>
                </c:pt>
                <c:pt idx="2">
                  <c:v>5594.22</c:v>
                </c:pt>
                <c:pt idx="3">
                  <c:v>4518.92</c:v>
                </c:pt>
                <c:pt idx="4">
                  <c:v>390.63</c:v>
                </c:pt>
                <c:pt idx="5">
                  <c:v>0</c:v>
                </c:pt>
              </c:numCache>
            </c:numRef>
          </c:xVal>
          <c:yVal>
            <c:numRef>
              <c:f>Sheet2!$D$2:$D$7</c:f>
              <c:numCache>
                <c:formatCode>General</c:formatCode>
                <c:ptCount val="6"/>
                <c:pt idx="0">
                  <c:v>0.9996502494689522</c:v>
                </c:pt>
                <c:pt idx="1">
                  <c:v>0.94849121633689137</c:v>
                </c:pt>
                <c:pt idx="2">
                  <c:v>0.95669614187620411</c:v>
                </c:pt>
                <c:pt idx="3">
                  <c:v>0.88100273978849286</c:v>
                </c:pt>
                <c:pt idx="4">
                  <c:v>1.4819937756261423E-3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BB-4233-830C-3A505BD9E9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3356847"/>
        <c:axId val="1063340527"/>
      </c:scatterChart>
      <c:valAx>
        <c:axId val="10633568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3340527"/>
        <c:crosses val="autoZero"/>
        <c:crossBetween val="midCat"/>
      </c:valAx>
      <c:valAx>
        <c:axId val="1063340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33568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Sheet3!$D$1</c:f>
              <c:strCache>
                <c:ptCount val="1"/>
                <c:pt idx="0">
                  <c:v>frac_Q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Sheet3!$B$3:$B$8</c:f>
              <c:numCache>
                <c:formatCode>General</c:formatCode>
                <c:ptCount val="6"/>
                <c:pt idx="0">
                  <c:v>904.88</c:v>
                </c:pt>
                <c:pt idx="1">
                  <c:v>2002.8</c:v>
                </c:pt>
                <c:pt idx="2">
                  <c:v>3140.96</c:v>
                </c:pt>
                <c:pt idx="3">
                  <c:v>8475.9599999999991</c:v>
                </c:pt>
              </c:numCache>
            </c:numRef>
          </c:xVal>
          <c:yVal>
            <c:numRef>
              <c:f>Sheet3!$D$2:$D$8</c:f>
              <c:numCache>
                <c:formatCode>General</c:formatCode>
                <c:ptCount val="7"/>
                <c:pt idx="1">
                  <c:v>2.9998842132288903E-2</c:v>
                </c:pt>
                <c:pt idx="2">
                  <c:v>0.70694468916286168</c:v>
                </c:pt>
                <c:pt idx="3">
                  <c:v>0.90129127420824506</c:v>
                </c:pt>
                <c:pt idx="4">
                  <c:v>0.98680066048801607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2D7-460D-9B78-8C0E5B1A7F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3360687"/>
        <c:axId val="1063361167"/>
      </c:scatterChart>
      <c:valAx>
        <c:axId val="1063360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3361167"/>
        <c:crosses val="autoZero"/>
        <c:crossBetween val="midCat"/>
      </c:valAx>
      <c:valAx>
        <c:axId val="1063361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3360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533400</xdr:colOff>
      <xdr:row>11</xdr:row>
      <xdr:rowOff>52387</xdr:rowOff>
    </xdr:from>
    <xdr:to>
      <xdr:col>17</xdr:col>
      <xdr:colOff>228600</xdr:colOff>
      <xdr:row>25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0D8106-3DF2-9441-0F41-26F62177B8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395287</xdr:colOff>
      <xdr:row>11</xdr:row>
      <xdr:rowOff>52387</xdr:rowOff>
    </xdr:from>
    <xdr:to>
      <xdr:col>15</xdr:col>
      <xdr:colOff>90487</xdr:colOff>
      <xdr:row>25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A87C82-8239-93E3-158B-44595856E8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395287</xdr:colOff>
      <xdr:row>11</xdr:row>
      <xdr:rowOff>52387</xdr:rowOff>
    </xdr:from>
    <xdr:to>
      <xdr:col>16</xdr:col>
      <xdr:colOff>90487</xdr:colOff>
      <xdr:row>25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488F80-072A-697F-CBBE-AAC48217F9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16"/>
  <sheetViews>
    <sheetView tabSelected="1" topLeftCell="I1" zoomScale="120" zoomScaleNormal="120" workbookViewId="0">
      <selection activeCell="O24" sqref="O24"/>
    </sheetView>
  </sheetViews>
  <sheetFormatPr defaultColWidth="10.90625" defaultRowHeight="14.75" x14ac:dyDescent="0.75"/>
  <cols>
    <col min="14" max="14" width="15.86328125" bestFit="1" customWidth="1"/>
    <col min="20" max="20" width="16.54296875" bestFit="1" customWidth="1"/>
    <col min="25" max="25" width="16" bestFit="1" customWidth="1"/>
  </cols>
  <sheetData>
    <row r="1" spans="1:26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</v>
      </c>
      <c r="I1" t="s">
        <v>9</v>
      </c>
      <c r="J1" t="s">
        <v>28</v>
      </c>
      <c r="K1" t="s">
        <v>27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T1" t="s">
        <v>22</v>
      </c>
      <c r="U1" t="s">
        <v>23</v>
      </c>
      <c r="V1" t="s">
        <v>24</v>
      </c>
      <c r="Y1" t="s">
        <v>25</v>
      </c>
      <c r="Z1" t="s">
        <v>26</v>
      </c>
    </row>
    <row r="2" spans="1:26" x14ac:dyDescent="0.75">
      <c r="A2" s="1">
        <v>45267</v>
      </c>
      <c r="B2">
        <v>6.4130301205140502E-2</v>
      </c>
      <c r="C2">
        <v>-2.3558857570544798</v>
      </c>
      <c r="D2">
        <v>5.51176623865602</v>
      </c>
      <c r="E2" t="s">
        <v>19</v>
      </c>
      <c r="F2">
        <v>-2.2917554558493398</v>
      </c>
      <c r="G2">
        <v>7.5645833333333297</v>
      </c>
      <c r="H2">
        <v>7.49684210526316</v>
      </c>
      <c r="I2">
        <v>0.18753663173992999</v>
      </c>
      <c r="J2">
        <v>117.184586314821</v>
      </c>
      <c r="K2">
        <v>64.157949006730703</v>
      </c>
      <c r="L2">
        <v>0.27212628696399199</v>
      </c>
      <c r="M2">
        <v>10124.7482576005</v>
      </c>
      <c r="N2">
        <f>K2*86.4</f>
        <v>5543.246794181533</v>
      </c>
      <c r="O2">
        <v>23511.711193688901</v>
      </c>
      <c r="P2">
        <f>0.7*O2/D2</f>
        <v>2986.0115837560211</v>
      </c>
      <c r="Q2">
        <f>M2/(O2*I2)</f>
        <v>2.2962220533845974</v>
      </c>
      <c r="R2">
        <f>Q2*P2</f>
        <v>6856.5456502824445</v>
      </c>
      <c r="T2">
        <f>0.67-G2</f>
        <v>-6.8945833333333297</v>
      </c>
      <c r="U2">
        <f>(2*(10^-5)*N2)/Q2</f>
        <v>4.8281452449347131E-2</v>
      </c>
      <c r="V2">
        <f>T2*U2</f>
        <v>-0.33288049736639441</v>
      </c>
      <c r="W2">
        <f>F2-V2</f>
        <v>-1.9588749584829455</v>
      </c>
      <c r="Y2">
        <f>(1-H2)*U2</f>
        <v>-0.3136769731761796</v>
      </c>
      <c r="Z2">
        <f>C2-Y2</f>
        <v>-2.0422087838783001</v>
      </c>
    </row>
    <row r="3" spans="1:26" x14ac:dyDescent="0.75">
      <c r="A3" s="1">
        <v>45268</v>
      </c>
      <c r="B3">
        <v>5.8570351118496303E-2</v>
      </c>
      <c r="C3">
        <v>-1.5247930933376399</v>
      </c>
      <c r="D3">
        <v>2.6949505632077799</v>
      </c>
      <c r="E3" t="s">
        <v>19</v>
      </c>
      <c r="F3">
        <v>-1.4662227422191501</v>
      </c>
      <c r="G3">
        <v>7.2233333333333301</v>
      </c>
      <c r="H3">
        <v>7.1668421052631599</v>
      </c>
      <c r="I3">
        <v>0.18087866387854001</v>
      </c>
      <c r="J3">
        <v>112.97850122532</v>
      </c>
      <c r="K3">
        <v>64.528385587713203</v>
      </c>
      <c r="L3">
        <v>0.26715404848881802</v>
      </c>
      <c r="M3">
        <v>9761.3425058676094</v>
      </c>
      <c r="N3">
        <f t="shared" ref="N3:N66" si="0">K3*86.4</f>
        <v>5575.2525147784208</v>
      </c>
      <c r="O3">
        <v>23082.1097894339</v>
      </c>
      <c r="P3">
        <f t="shared" ref="P3:P66" si="1">0.7*O3/D3</f>
        <v>5995.4631721969708</v>
      </c>
      <c r="Q3">
        <f t="shared" ref="Q3:Q66" si="2">M3/(O3*I3)</f>
        <v>2.3380118492182937</v>
      </c>
      <c r="R3">
        <f t="shared" ref="R3:R66" si="3">Q3*P3</f>
        <v>14017.463938148418</v>
      </c>
      <c r="T3">
        <f t="shared" ref="T3:T66" si="4">0.67-G3</f>
        <v>-6.5533333333333301</v>
      </c>
      <c r="U3">
        <f t="shared" ref="U3:U66" si="5">(2*(10^-5)*N3)/Q3</f>
        <v>4.7692252001566952E-2</v>
      </c>
      <c r="V3">
        <f t="shared" ref="V3:V66" si="6">T3*U3</f>
        <v>-0.31254322478360191</v>
      </c>
      <c r="W3">
        <f>F3-V3</f>
        <v>-1.1536795174355481</v>
      </c>
      <c r="Y3">
        <f>(1-H3)*U3</f>
        <v>-0.29411058773808429</v>
      </c>
      <c r="Z3">
        <f>C3-Y3</f>
        <v>-1.2306825055995556</v>
      </c>
    </row>
    <row r="4" spans="1:26" x14ac:dyDescent="0.75">
      <c r="A4" s="1">
        <v>45269</v>
      </c>
      <c r="B4">
        <v>5.2262759831116098E-2</v>
      </c>
      <c r="C4">
        <v>-1.97211838014639</v>
      </c>
      <c r="D4">
        <v>2.8738728023921398</v>
      </c>
      <c r="E4" t="s">
        <v>19</v>
      </c>
      <c r="F4">
        <v>-1.9198556203152799</v>
      </c>
      <c r="G4">
        <v>6.335</v>
      </c>
      <c r="H4">
        <v>6.2852631578947404</v>
      </c>
      <c r="I4">
        <v>0.178263033647279</v>
      </c>
      <c r="J4">
        <v>111.326608456595</v>
      </c>
      <c r="K4">
        <v>64.8866071909097</v>
      </c>
      <c r="L4">
        <v>0.26517478443182002</v>
      </c>
      <c r="M4">
        <v>9618.6189706498008</v>
      </c>
      <c r="N4">
        <f t="shared" si="0"/>
        <v>5606.2028612945987</v>
      </c>
      <c r="O4">
        <v>22911.101374909202</v>
      </c>
      <c r="P4">
        <f t="shared" si="1"/>
        <v>5580.5430738225441</v>
      </c>
      <c r="Q4">
        <f t="shared" si="2"/>
        <v>2.3550788980328594</v>
      </c>
      <c r="R4">
        <f t="shared" si="3"/>
        <v>13142.619232722904</v>
      </c>
      <c r="T4">
        <f t="shared" si="4"/>
        <v>-5.665</v>
      </c>
      <c r="U4">
        <f t="shared" si="5"/>
        <v>4.7609469610358494E-2</v>
      </c>
      <c r="V4">
        <f t="shared" si="6"/>
        <v>-0.26970764534268088</v>
      </c>
      <c r="W4">
        <f>F4-V4</f>
        <v>-1.6501479749725991</v>
      </c>
      <c r="Y4">
        <f>(1-H4)*U4</f>
        <v>-0.25162857569853703</v>
      </c>
      <c r="Z4">
        <f>C4-Y4</f>
        <v>-1.7204898044478529</v>
      </c>
    </row>
    <row r="5" spans="1:26" x14ac:dyDescent="0.75">
      <c r="A5" s="1">
        <v>45271</v>
      </c>
      <c r="B5">
        <v>6.6492048014164695E-2</v>
      </c>
      <c r="C5">
        <v>-2.1499218036939798</v>
      </c>
      <c r="D5">
        <v>2.9693655546149098</v>
      </c>
      <c r="E5" t="s">
        <v>19</v>
      </c>
      <c r="F5">
        <v>-2.0834297556798198</v>
      </c>
      <c r="G5">
        <v>6.2829166666666696</v>
      </c>
      <c r="H5">
        <v>6.2363157894736796</v>
      </c>
      <c r="I5">
        <v>0.26099738472204198</v>
      </c>
      <c r="J5">
        <v>163.69042659374</v>
      </c>
      <c r="K5">
        <v>65.337244821644106</v>
      </c>
      <c r="L5">
        <v>0.32220386010709501</v>
      </c>
      <c r="M5">
        <v>14142.852857699099</v>
      </c>
      <c r="N5">
        <f t="shared" si="0"/>
        <v>5645.1379525900511</v>
      </c>
      <c r="O5">
        <v>27838.413513252999</v>
      </c>
      <c r="P5">
        <f t="shared" si="1"/>
        <v>6562.6441409314148</v>
      </c>
      <c r="Q5">
        <f t="shared" si="2"/>
        <v>1.9465088643493844</v>
      </c>
      <c r="R5">
        <f t="shared" si="3"/>
        <v>12774.24499389355</v>
      </c>
      <c r="T5">
        <f t="shared" si="4"/>
        <v>-5.6129166666666697</v>
      </c>
      <c r="U5">
        <f t="shared" si="5"/>
        <v>5.8002694526407148E-2</v>
      </c>
      <c r="V5">
        <f t="shared" si="6"/>
        <v>-0.3255642908188463</v>
      </c>
      <c r="W5">
        <f>F5-V5</f>
        <v>-1.7578654648609735</v>
      </c>
      <c r="Y5">
        <f>(1-H5)*U5</f>
        <v>-0.30372042518064429</v>
      </c>
      <c r="Z5">
        <f>C5-Y5</f>
        <v>-1.8462013785133355</v>
      </c>
    </row>
    <row r="6" spans="1:26" x14ac:dyDescent="0.75">
      <c r="A6" s="1">
        <v>45272</v>
      </c>
      <c r="B6">
        <v>0.282045153261054</v>
      </c>
      <c r="C6">
        <v>-9.67763830983818</v>
      </c>
      <c r="D6">
        <v>16.495575876589498</v>
      </c>
      <c r="E6" t="s">
        <v>19</v>
      </c>
      <c r="F6">
        <v>-9.3955931565771298</v>
      </c>
      <c r="G6">
        <v>7.34791666666667</v>
      </c>
      <c r="H6">
        <v>7.2752631578947398</v>
      </c>
      <c r="I6">
        <v>0.24583494909414</v>
      </c>
      <c r="J6">
        <v>154.078556489015</v>
      </c>
      <c r="K6">
        <v>65.376713065592</v>
      </c>
      <c r="L6">
        <v>0.31247176870082499</v>
      </c>
      <c r="M6">
        <v>13312.387280650901</v>
      </c>
      <c r="N6">
        <f t="shared" si="0"/>
        <v>5648.5480088671493</v>
      </c>
      <c r="O6">
        <v>26997.560815751302</v>
      </c>
      <c r="P6">
        <f t="shared" si="1"/>
        <v>1145.6582487578592</v>
      </c>
      <c r="Q6">
        <f t="shared" si="2"/>
        <v>2.0058007575630432</v>
      </c>
      <c r="R6">
        <f t="shared" si="3"/>
        <v>2297.9621832668631</v>
      </c>
      <c r="T6">
        <f t="shared" si="4"/>
        <v>-6.6779166666666701</v>
      </c>
      <c r="U6">
        <f t="shared" si="5"/>
        <v>5.632212459357009E-2</v>
      </c>
      <c r="V6">
        <f t="shared" si="6"/>
        <v>-0.37611445452547848</v>
      </c>
      <c r="W6">
        <f>F6-V6</f>
        <v>-9.0194787020516518</v>
      </c>
      <c r="Y6">
        <f>(1-H6)*U6</f>
        <v>-0.35343615343638762</v>
      </c>
      <c r="Z6">
        <f>C6-Y6</f>
        <v>-9.3242021564017925</v>
      </c>
    </row>
    <row r="7" spans="1:26" x14ac:dyDescent="0.75">
      <c r="A7" s="1">
        <v>45273</v>
      </c>
      <c r="B7">
        <v>0.22577208788195599</v>
      </c>
      <c r="C7">
        <v>-15.169882304804901</v>
      </c>
      <c r="D7">
        <v>26.8628160589884</v>
      </c>
      <c r="E7" t="s">
        <v>19</v>
      </c>
      <c r="F7">
        <v>-14.944110216923001</v>
      </c>
      <c r="G7">
        <v>7.3391666666666699</v>
      </c>
      <c r="H7">
        <v>7.30842105263158</v>
      </c>
      <c r="I7">
        <v>0.228074496906569</v>
      </c>
      <c r="J7">
        <v>142.827063998753</v>
      </c>
      <c r="K7">
        <v>65.281318677530606</v>
      </c>
      <c r="L7">
        <v>0.300741794928365</v>
      </c>
      <c r="M7">
        <v>12340.258329492301</v>
      </c>
      <c r="N7">
        <f t="shared" si="0"/>
        <v>5640.3059337386449</v>
      </c>
      <c r="O7">
        <v>25984.0910818107</v>
      </c>
      <c r="P7">
        <f t="shared" si="1"/>
        <v>677.10189867385202</v>
      </c>
      <c r="Q7">
        <f t="shared" si="2"/>
        <v>2.0822841617658487</v>
      </c>
      <c r="R7">
        <f t="shared" si="3"/>
        <v>1409.9185595101467</v>
      </c>
      <c r="T7">
        <f t="shared" si="4"/>
        <v>-6.66916666666667</v>
      </c>
      <c r="U7">
        <f t="shared" si="5"/>
        <v>5.4174219228133313E-2</v>
      </c>
      <c r="V7">
        <f t="shared" si="6"/>
        <v>-0.36129689706895929</v>
      </c>
      <c r="W7">
        <f>F7-V7</f>
        <v>-14.582813319854042</v>
      </c>
      <c r="Y7">
        <f>(1-H7)*U7</f>
        <v>-0.34175378508863474</v>
      </c>
      <c r="Z7">
        <f>C7-Y7</f>
        <v>-14.828128519716266</v>
      </c>
    </row>
    <row r="8" spans="1:26" x14ac:dyDescent="0.75">
      <c r="A8" s="1">
        <v>45274</v>
      </c>
      <c r="B8">
        <v>0.16534851341215501</v>
      </c>
      <c r="C8">
        <v>-5.22235623286333</v>
      </c>
      <c r="D8">
        <v>8.9102872237484299</v>
      </c>
      <c r="E8" t="s">
        <v>19</v>
      </c>
      <c r="F8">
        <v>-5.0570077194511702</v>
      </c>
      <c r="G8">
        <v>7.2575000000000003</v>
      </c>
      <c r="H8">
        <v>7.2184210526315802</v>
      </c>
      <c r="I8">
        <v>0.21687807299857001</v>
      </c>
      <c r="J8">
        <v>135.739020247756</v>
      </c>
      <c r="K8">
        <v>65.043720237587095</v>
      </c>
      <c r="L8">
        <v>0.29311359462838199</v>
      </c>
      <c r="M8">
        <v>11727.851349406201</v>
      </c>
      <c r="N8">
        <f t="shared" si="0"/>
        <v>5619.7774285275254</v>
      </c>
      <c r="O8">
        <v>25325.014575892201</v>
      </c>
      <c r="P8">
        <f t="shared" si="1"/>
        <v>1989.5554158877981</v>
      </c>
      <c r="Q8">
        <f t="shared" si="2"/>
        <v>2.1352714969966482</v>
      </c>
      <c r="R8">
        <f t="shared" si="3"/>
        <v>4248.2409712405279</v>
      </c>
      <c r="T8">
        <f t="shared" si="4"/>
        <v>-6.5875000000000004</v>
      </c>
      <c r="U8">
        <f t="shared" si="5"/>
        <v>5.2637591392307594E-2</v>
      </c>
      <c r="V8">
        <f t="shared" si="6"/>
        <v>-0.3467501332968263</v>
      </c>
      <c r="W8">
        <f>F8-V8</f>
        <v>-4.7102575861543441</v>
      </c>
      <c r="Y8">
        <f>(1-H8)*U8</f>
        <v>-0.3273227064737444</v>
      </c>
      <c r="Z8">
        <f>C8-Y8</f>
        <v>-4.8950335263895859</v>
      </c>
    </row>
    <row r="9" spans="1:26" x14ac:dyDescent="0.75">
      <c r="A9" s="1">
        <v>45275</v>
      </c>
      <c r="B9">
        <v>0.25096978861488201</v>
      </c>
      <c r="C9">
        <v>-8.7972850836367105</v>
      </c>
      <c r="D9">
        <v>13.747398542047</v>
      </c>
      <c r="E9" t="s">
        <v>19</v>
      </c>
      <c r="F9">
        <v>-8.5463152950218308</v>
      </c>
      <c r="G9">
        <v>6.9058333333333302</v>
      </c>
      <c r="H9">
        <v>6.8657894736842104</v>
      </c>
      <c r="I9">
        <v>0.21450316294572</v>
      </c>
      <c r="J9">
        <v>134.23600627054799</v>
      </c>
      <c r="K9">
        <v>64.657104622378597</v>
      </c>
      <c r="L9">
        <v>0.29147407719192697</v>
      </c>
      <c r="M9">
        <v>11597.990941775301</v>
      </c>
      <c r="N9">
        <f t="shared" si="0"/>
        <v>5586.3738393735111</v>
      </c>
      <c r="O9">
        <v>25183.360269382501</v>
      </c>
      <c r="P9">
        <f t="shared" si="1"/>
        <v>1282.3045854567094</v>
      </c>
      <c r="Q9">
        <f t="shared" si="2"/>
        <v>2.1470165211168744</v>
      </c>
      <c r="R9">
        <f t="shared" si="3"/>
        <v>2753.1291300794801</v>
      </c>
      <c r="T9">
        <f t="shared" si="4"/>
        <v>-6.2358333333333302</v>
      </c>
      <c r="U9">
        <f t="shared" si="5"/>
        <v>5.2038480229928456E-2</v>
      </c>
      <c r="V9">
        <f t="shared" si="6"/>
        <v>-0.32450328963379538</v>
      </c>
      <c r="W9">
        <f>F9-V9</f>
        <v>-8.2218120053880348</v>
      </c>
      <c r="Y9">
        <f>(1-H9)*U9</f>
        <v>-0.30524676955923824</v>
      </c>
      <c r="Z9">
        <f>C9-Y9</f>
        <v>-8.4920383140774724</v>
      </c>
    </row>
    <row r="10" spans="1:26" x14ac:dyDescent="0.75">
      <c r="A10" s="1">
        <v>45276</v>
      </c>
      <c r="B10">
        <v>4.9024070338844698E-2</v>
      </c>
      <c r="C10">
        <v>-0.40552445327091502</v>
      </c>
      <c r="D10">
        <v>0.789826810977444</v>
      </c>
      <c r="E10" t="s">
        <v>19</v>
      </c>
      <c r="F10">
        <v>-0.35650038293207098</v>
      </c>
      <c r="G10">
        <v>6.7029166666666704</v>
      </c>
      <c r="H10">
        <v>6.6931578947368404</v>
      </c>
      <c r="I10">
        <v>0.22375914736677999</v>
      </c>
      <c r="J10">
        <v>140.104315765671</v>
      </c>
      <c r="K10">
        <v>64.115787508767596</v>
      </c>
      <c r="L10">
        <v>0.29739523941844398</v>
      </c>
      <c r="M10">
        <v>12105.012882154</v>
      </c>
      <c r="N10">
        <f t="shared" si="0"/>
        <v>5539.604040757521</v>
      </c>
      <c r="O10">
        <v>25694.948685753501</v>
      </c>
      <c r="P10">
        <f t="shared" si="1"/>
        <v>22772.668425586162</v>
      </c>
      <c r="Q10">
        <f t="shared" si="2"/>
        <v>2.1054101037161348</v>
      </c>
      <c r="R10">
        <f t="shared" si="3"/>
        <v>47945.806191806507</v>
      </c>
      <c r="T10">
        <f t="shared" si="4"/>
        <v>-6.0329166666666705</v>
      </c>
      <c r="U10">
        <f t="shared" si="5"/>
        <v>5.2622565370802531E-2</v>
      </c>
      <c r="V10">
        <f t="shared" si="6"/>
        <v>-0.31746755166827095</v>
      </c>
      <c r="W10">
        <f>F10-V10</f>
        <v>-3.9032831263800027E-2</v>
      </c>
      <c r="Y10">
        <f>(1-H10)*U10</f>
        <v>-0.29958857348208989</v>
      </c>
      <c r="Z10">
        <f>C10-Y10</f>
        <v>-0.10593587978882513</v>
      </c>
    </row>
    <row r="11" spans="1:26" x14ac:dyDescent="0.75">
      <c r="A11" s="1">
        <v>45277</v>
      </c>
      <c r="B11">
        <v>1.55039974878034E-2</v>
      </c>
      <c r="C11">
        <v>-3.4778594411792301</v>
      </c>
      <c r="D11">
        <v>0.38008588136612598</v>
      </c>
      <c r="E11" t="s">
        <v>19</v>
      </c>
      <c r="F11">
        <v>-3.4623554436914201</v>
      </c>
      <c r="G11">
        <v>6.5975000000000001</v>
      </c>
      <c r="H11">
        <v>6.6536842105263201</v>
      </c>
      <c r="I11">
        <v>1.11696898302887</v>
      </c>
      <c r="J11">
        <v>712.17834681054899</v>
      </c>
      <c r="K11">
        <v>63.414598936152501</v>
      </c>
      <c r="L11">
        <v>0.67331964919670295</v>
      </c>
      <c r="M11">
        <v>61532.209164431501</v>
      </c>
      <c r="N11">
        <f t="shared" si="0"/>
        <v>5479.0213480835764</v>
      </c>
      <c r="O11">
        <v>58174.817690595097</v>
      </c>
      <c r="P11">
        <f t="shared" si="1"/>
        <v>107139.92384313233</v>
      </c>
      <c r="Q11">
        <f t="shared" si="2"/>
        <v>0.94694850618310167</v>
      </c>
      <c r="R11">
        <f t="shared" si="3"/>
        <v>101455.99083582543</v>
      </c>
      <c r="T11">
        <f t="shared" si="4"/>
        <v>-5.9275000000000002</v>
      </c>
      <c r="U11">
        <f t="shared" si="5"/>
        <v>0.1157195203816955</v>
      </c>
      <c r="V11">
        <f t="shared" si="6"/>
        <v>-0.68592745706250013</v>
      </c>
      <c r="W11">
        <f>F11-V11</f>
        <v>-2.7764279866289199</v>
      </c>
      <c r="Y11">
        <f>(1-H11)*U11</f>
        <v>-0.65424162523167051</v>
      </c>
      <c r="Z11">
        <f>C11-Y11</f>
        <v>-2.8236178159475598</v>
      </c>
    </row>
    <row r="12" spans="1:26" x14ac:dyDescent="0.75">
      <c r="A12" s="1">
        <v>45278</v>
      </c>
      <c r="B12">
        <v>9.6135169694355399E-2</v>
      </c>
      <c r="C12">
        <v>-4.6409723821893998</v>
      </c>
      <c r="D12">
        <v>1.6890787451612099</v>
      </c>
      <c r="E12" t="s">
        <v>19</v>
      </c>
      <c r="F12">
        <v>-4.5448372124950396</v>
      </c>
      <c r="G12">
        <v>6.1458333333333304</v>
      </c>
      <c r="H12">
        <v>6.11105263157895</v>
      </c>
      <c r="I12">
        <v>0.86931195362390701</v>
      </c>
      <c r="J12">
        <v>552.59205771501195</v>
      </c>
      <c r="K12">
        <v>62.5487331397227</v>
      </c>
      <c r="L12">
        <v>0.59566393539435802</v>
      </c>
      <c r="M12">
        <v>47743.953786577098</v>
      </c>
      <c r="N12">
        <f t="shared" si="0"/>
        <v>5404.2105432720418</v>
      </c>
      <c r="O12">
        <v>51465.364018072498</v>
      </c>
      <c r="P12">
        <f t="shared" si="1"/>
        <v>21328.641376759708</v>
      </c>
      <c r="Q12">
        <f t="shared" si="2"/>
        <v>1.0671554352104518</v>
      </c>
      <c r="R12">
        <f t="shared" si="3"/>
        <v>22760.975570863655</v>
      </c>
      <c r="T12">
        <f t="shared" si="4"/>
        <v>-5.4758333333333304</v>
      </c>
      <c r="U12">
        <f t="shared" si="5"/>
        <v>0.10128253795017757</v>
      </c>
      <c r="V12">
        <f t="shared" si="6"/>
        <v>-0.55460629739218037</v>
      </c>
      <c r="W12">
        <f>F12-V12</f>
        <v>-3.9902309151028592</v>
      </c>
      <c r="Y12">
        <f>(1-H12)*U12</f>
        <v>-0.51766038212324994</v>
      </c>
      <c r="Z12">
        <f>C12-Y12</f>
        <v>-4.1233120000661501</v>
      </c>
    </row>
    <row r="13" spans="1:26" x14ac:dyDescent="0.75">
      <c r="A13" s="1">
        <v>45279</v>
      </c>
      <c r="B13">
        <v>9.6692014878021093E-2</v>
      </c>
      <c r="C13">
        <v>-4.1050761642781497</v>
      </c>
      <c r="D13">
        <v>2.1774014754777502</v>
      </c>
      <c r="E13" t="s">
        <v>19</v>
      </c>
      <c r="F13">
        <v>-4.00838414940013</v>
      </c>
      <c r="G13">
        <v>6.8404166666666697</v>
      </c>
      <c r="H13">
        <v>6.7947368421052596</v>
      </c>
      <c r="I13">
        <v>0.75658739105356998</v>
      </c>
      <c r="J13">
        <v>480.18930775924503</v>
      </c>
      <c r="K13">
        <v>61.513029759269699</v>
      </c>
      <c r="L13">
        <v>0.55491264573393495</v>
      </c>
      <c r="M13">
        <v>41488.356190398801</v>
      </c>
      <c r="N13">
        <f t="shared" si="0"/>
        <v>5314.7257712009023</v>
      </c>
      <c r="O13">
        <v>47944.452591412002</v>
      </c>
      <c r="P13">
        <f t="shared" si="1"/>
        <v>15413.380211210088</v>
      </c>
      <c r="Q13">
        <f t="shared" si="2"/>
        <v>1.1437438301938079</v>
      </c>
      <c r="R13">
        <f t="shared" si="3"/>
        <v>17628.95851900287</v>
      </c>
      <c r="T13">
        <f t="shared" si="4"/>
        <v>-6.1704166666666698</v>
      </c>
      <c r="U13">
        <f t="shared" si="5"/>
        <v>9.2935596781323307E-2</v>
      </c>
      <c r="V13">
        <f t="shared" si="6"/>
        <v>-0.57345135530609059</v>
      </c>
      <c r="W13">
        <f>F13-V13</f>
        <v>-3.4349327940940393</v>
      </c>
      <c r="Y13">
        <f>(1-H13)*U13</f>
        <v>-0.53853732661177312</v>
      </c>
      <c r="Z13">
        <f>C13-Y13</f>
        <v>-3.5665388376663767</v>
      </c>
    </row>
    <row r="14" spans="1:26" x14ac:dyDescent="0.75">
      <c r="A14" s="1">
        <v>45280</v>
      </c>
      <c r="B14">
        <v>0.45259975127237301</v>
      </c>
      <c r="C14">
        <v>-19.750920895116401</v>
      </c>
      <c r="D14">
        <v>11.411190239068199</v>
      </c>
      <c r="E14" t="s">
        <v>19</v>
      </c>
      <c r="F14">
        <v>-19.298321143844099</v>
      </c>
      <c r="G14">
        <v>7.5254166666666702</v>
      </c>
      <c r="H14">
        <v>7.4589473684210503</v>
      </c>
      <c r="I14">
        <v>0.66396589899240399</v>
      </c>
      <c r="J14">
        <v>420.78996254022502</v>
      </c>
      <c r="K14">
        <v>60.303414767945199</v>
      </c>
      <c r="L14">
        <v>0.51910423851441201</v>
      </c>
      <c r="M14">
        <v>36356.252763475401</v>
      </c>
      <c r="N14">
        <f t="shared" si="0"/>
        <v>5210.2150359504658</v>
      </c>
      <c r="O14">
        <v>44850.6062076452</v>
      </c>
      <c r="P14">
        <f t="shared" si="1"/>
        <v>2751.2839316151203</v>
      </c>
      <c r="Q14">
        <f t="shared" si="2"/>
        <v>1.2208576306338337</v>
      </c>
      <c r="R14">
        <f t="shared" si="3"/>
        <v>3358.9259819525741</v>
      </c>
      <c r="T14">
        <f t="shared" si="4"/>
        <v>-6.8554166666666703</v>
      </c>
      <c r="U14">
        <f t="shared" si="5"/>
        <v>8.535335988759761E-2</v>
      </c>
      <c r="V14">
        <f t="shared" si="6"/>
        <v>-0.58513284592943504</v>
      </c>
      <c r="W14">
        <f>F14-V14</f>
        <v>-18.713188297914662</v>
      </c>
      <c r="Y14">
        <f>(1-H14)*U14</f>
        <v>-0.55129285923189342</v>
      </c>
      <c r="Z14">
        <f>C14-Y14</f>
        <v>-19.199628035884508</v>
      </c>
    </row>
    <row r="15" spans="1:26" x14ac:dyDescent="0.75">
      <c r="A15" s="1">
        <v>45281</v>
      </c>
      <c r="B15">
        <v>0.35753898519412702</v>
      </c>
      <c r="C15">
        <v>-15.629725239963401</v>
      </c>
      <c r="D15">
        <v>9.3350721801823493</v>
      </c>
      <c r="E15" t="s">
        <v>19</v>
      </c>
      <c r="F15">
        <v>-15.272186254769201</v>
      </c>
      <c r="G15">
        <v>7.3425000000000002</v>
      </c>
      <c r="H15">
        <v>7.2884210526315796</v>
      </c>
      <c r="I15">
        <v>0.59057266508472395</v>
      </c>
      <c r="J15">
        <v>373.78702064322698</v>
      </c>
      <c r="K15">
        <v>58.917023443747297</v>
      </c>
      <c r="L15">
        <v>0.48895925752814001</v>
      </c>
      <c r="M15">
        <v>32295.198583574798</v>
      </c>
      <c r="N15">
        <f t="shared" si="0"/>
        <v>5090.4308255397664</v>
      </c>
      <c r="O15">
        <v>42246.079850431299</v>
      </c>
      <c r="P15">
        <f t="shared" si="1"/>
        <v>3167.8657994826826</v>
      </c>
      <c r="Q15">
        <f t="shared" si="2"/>
        <v>1.2944289047159634</v>
      </c>
      <c r="R15">
        <f t="shared" si="3"/>
        <v>4100.577057111529</v>
      </c>
      <c r="T15">
        <f t="shared" si="4"/>
        <v>-6.6725000000000003</v>
      </c>
      <c r="U15">
        <f t="shared" si="5"/>
        <v>7.8651377561083757E-2</v>
      </c>
      <c r="V15">
        <f t="shared" si="6"/>
        <v>-0.52480131677633135</v>
      </c>
      <c r="W15">
        <f>F15-V15</f>
        <v>-14.747384937992869</v>
      </c>
      <c r="Y15">
        <f>(1-H15)*U15</f>
        <v>-0.49459297847359412</v>
      </c>
      <c r="Z15">
        <f>C15-Y15</f>
        <v>-15.135132261489806</v>
      </c>
    </row>
    <row r="16" spans="1:26" x14ac:dyDescent="0.75">
      <c r="A16" s="1">
        <v>45282</v>
      </c>
      <c r="B16">
        <v>0.20872906364843999</v>
      </c>
      <c r="C16">
        <v>-8.2419003467740595</v>
      </c>
      <c r="D16">
        <v>4.6981490644075503</v>
      </c>
      <c r="E16" t="s">
        <v>19</v>
      </c>
      <c r="F16">
        <v>-8.0331712831256201</v>
      </c>
      <c r="G16">
        <v>6.9095833333333303</v>
      </c>
      <c r="H16">
        <v>6.8726315789473702</v>
      </c>
      <c r="I16">
        <v>0.53316090253392601</v>
      </c>
      <c r="J16">
        <v>337.063571550338</v>
      </c>
      <c r="K16">
        <v>57.353399480965003</v>
      </c>
      <c r="L16">
        <v>0.46409500411578802</v>
      </c>
      <c r="M16">
        <v>29122.292581949201</v>
      </c>
      <c r="N16">
        <f t="shared" si="0"/>
        <v>4955.3337151553769</v>
      </c>
      <c r="O16">
        <v>40097.808355604102</v>
      </c>
      <c r="P16">
        <f t="shared" si="1"/>
        <v>5974.3668121484743</v>
      </c>
      <c r="Q16">
        <f t="shared" si="2"/>
        <v>1.3622180496529934</v>
      </c>
      <c r="R16">
        <f t="shared" si="3"/>
        <v>8138.3903067564661</v>
      </c>
      <c r="T16">
        <f t="shared" si="4"/>
        <v>-6.2395833333333304</v>
      </c>
      <c r="U16">
        <f t="shared" si="5"/>
        <v>7.2753898928555258E-2</v>
      </c>
      <c r="V16">
        <f t="shared" si="6"/>
        <v>-0.45395401518963102</v>
      </c>
      <c r="W16">
        <f>F16-V16</f>
        <v>-7.5792172679359888</v>
      </c>
      <c r="Y16">
        <f>(1-H16)*U16</f>
        <v>-0.42725684433937883</v>
      </c>
      <c r="Z16">
        <f>C16-Y16</f>
        <v>-7.8146435024346808</v>
      </c>
    </row>
    <row r="17" spans="1:26" x14ac:dyDescent="0.75">
      <c r="A17" s="1">
        <v>45283</v>
      </c>
      <c r="B17">
        <v>8.9031597645835403E-2</v>
      </c>
      <c r="C17">
        <v>-11.209480701300199</v>
      </c>
      <c r="D17">
        <v>6.7377874169759604</v>
      </c>
      <c r="E17" t="s">
        <v>19</v>
      </c>
      <c r="F17">
        <v>-11.1204491036543</v>
      </c>
      <c r="G17">
        <v>6.4625000000000004</v>
      </c>
      <c r="H17">
        <v>6.43</v>
      </c>
      <c r="I17">
        <v>0.48781744063488103</v>
      </c>
      <c r="J17">
        <v>308.09191748283803</v>
      </c>
      <c r="K17">
        <v>55.613403599457001</v>
      </c>
      <c r="L17">
        <v>0.44347627740157702</v>
      </c>
      <c r="M17">
        <v>26619.141670517201</v>
      </c>
      <c r="N17">
        <f t="shared" si="0"/>
        <v>4804.9980709930851</v>
      </c>
      <c r="O17">
        <v>38316.350367496198</v>
      </c>
      <c r="P17">
        <f t="shared" si="1"/>
        <v>3980.7497027392537</v>
      </c>
      <c r="Q17">
        <f t="shared" si="2"/>
        <v>1.4241396844763108</v>
      </c>
      <c r="R17">
        <f t="shared" si="3"/>
        <v>5669.1436256382485</v>
      </c>
      <c r="T17">
        <f t="shared" si="4"/>
        <v>-5.7925000000000004</v>
      </c>
      <c r="U17">
        <f t="shared" si="5"/>
        <v>6.7479308713456643E-2</v>
      </c>
      <c r="V17">
        <f t="shared" si="6"/>
        <v>-0.39087389572269765</v>
      </c>
      <c r="W17">
        <f>F17-V17</f>
        <v>-10.729575207931603</v>
      </c>
      <c r="Y17">
        <f>(1-H17)*U17</f>
        <v>-0.36641264631406956</v>
      </c>
      <c r="Z17">
        <f>C17-Y17</f>
        <v>-10.84306805498613</v>
      </c>
    </row>
    <row r="18" spans="1:26" x14ac:dyDescent="0.75">
      <c r="A18" s="1">
        <v>45284</v>
      </c>
      <c r="B18">
        <v>0.227287252281756</v>
      </c>
      <c r="C18">
        <v>-13.4563882504379</v>
      </c>
      <c r="D18">
        <v>8.5944839400307895</v>
      </c>
      <c r="E18" t="s">
        <v>19</v>
      </c>
      <c r="F18">
        <v>-13.229100998156101</v>
      </c>
      <c r="G18">
        <v>6.3270833333333298</v>
      </c>
      <c r="H18">
        <v>6.2821052631579004</v>
      </c>
      <c r="I18">
        <v>0.442808638496065</v>
      </c>
      <c r="J18">
        <v>279.36322679653398</v>
      </c>
      <c r="K18">
        <v>54.235117538038601</v>
      </c>
      <c r="L18">
        <v>0.42208033694608399</v>
      </c>
      <c r="M18">
        <v>24136.9827952206</v>
      </c>
      <c r="N18">
        <f t="shared" si="0"/>
        <v>4685.9141552865358</v>
      </c>
      <c r="O18">
        <v>36467.741112141601</v>
      </c>
      <c r="P18">
        <f t="shared" si="1"/>
        <v>2970.2096084675059</v>
      </c>
      <c r="Q18">
        <f t="shared" si="2"/>
        <v>1.4947137620073445</v>
      </c>
      <c r="R18">
        <f t="shared" si="3"/>
        <v>4439.6131778228273</v>
      </c>
      <c r="T18">
        <f t="shared" si="4"/>
        <v>-5.6570833333333299</v>
      </c>
      <c r="U18">
        <f t="shared" si="5"/>
        <v>6.2699819515858735E-2</v>
      </c>
      <c r="V18">
        <f t="shared" si="6"/>
        <v>-0.3546981039861723</v>
      </c>
      <c r="W18">
        <f>F18-V18</f>
        <v>-12.874402894169929</v>
      </c>
      <c r="Y18">
        <f>(1-H18)*U18</f>
        <v>-0.33118704666376786</v>
      </c>
      <c r="Z18">
        <f>C18-Y18</f>
        <v>-13.125201203774132</v>
      </c>
    </row>
    <row r="19" spans="1:26" x14ac:dyDescent="0.75">
      <c r="A19" s="1">
        <v>45285</v>
      </c>
      <c r="B19">
        <v>0.25642536971950203</v>
      </c>
      <c r="C19">
        <v>-4.27984833745362</v>
      </c>
      <c r="D19">
        <v>2.3339123966233002</v>
      </c>
      <c r="E19" t="s">
        <v>19</v>
      </c>
      <c r="F19">
        <v>-4.0234229677341196</v>
      </c>
      <c r="G19">
        <v>5.9520833333333298</v>
      </c>
      <c r="H19">
        <v>5.9126315789473702</v>
      </c>
      <c r="I19">
        <v>0.42594061233577002</v>
      </c>
      <c r="J19">
        <v>268.60493029019</v>
      </c>
      <c r="K19">
        <v>53.373445283930202</v>
      </c>
      <c r="L19">
        <v>0.413783557891795</v>
      </c>
      <c r="M19">
        <v>23207.465977072399</v>
      </c>
      <c r="N19">
        <f t="shared" si="0"/>
        <v>4611.4656725315699</v>
      </c>
      <c r="O19">
        <v>35750.8994018511</v>
      </c>
      <c r="P19">
        <f t="shared" si="1"/>
        <v>10722.60879093097</v>
      </c>
      <c r="Q19">
        <f t="shared" si="2"/>
        <v>1.5240236254917108</v>
      </c>
      <c r="R19">
        <f t="shared" si="3"/>
        <v>16341.509124283906</v>
      </c>
      <c r="T19">
        <f t="shared" si="4"/>
        <v>-5.2820833333333299</v>
      </c>
      <c r="U19">
        <f t="shared" si="5"/>
        <v>6.0516984059794054E-2</v>
      </c>
      <c r="V19">
        <f t="shared" si="6"/>
        <v>-0.31965575288583697</v>
      </c>
      <c r="W19">
        <f>F19-V19</f>
        <v>-3.7037672148482828</v>
      </c>
      <c r="Y19">
        <f>(1-H19)*U19</f>
        <v>-0.29729764695479888</v>
      </c>
      <c r="Z19">
        <f>C19-Y19</f>
        <v>-3.982550690498821</v>
      </c>
    </row>
    <row r="20" spans="1:26" x14ac:dyDescent="0.75">
      <c r="A20" s="1">
        <v>45286</v>
      </c>
      <c r="B20">
        <v>8.2284967635559203E-2</v>
      </c>
      <c r="C20">
        <v>-10.122226885262</v>
      </c>
      <c r="D20">
        <v>5.7136406464395302</v>
      </c>
      <c r="E20" t="s">
        <v>19</v>
      </c>
      <c r="F20">
        <v>-10.0399419176264</v>
      </c>
      <c r="G20">
        <v>5.5662500000000001</v>
      </c>
      <c r="H20">
        <v>5.5452631578947402</v>
      </c>
      <c r="I20">
        <v>0.438663554448321</v>
      </c>
      <c r="J20">
        <v>276.71861854136603</v>
      </c>
      <c r="K20">
        <v>52.531742741693598</v>
      </c>
      <c r="L20">
        <v>0.42007193398927301</v>
      </c>
      <c r="M20">
        <v>23908.488641974</v>
      </c>
      <c r="N20">
        <f t="shared" si="0"/>
        <v>4538.7425728823273</v>
      </c>
      <c r="O20">
        <v>36294.215096673201</v>
      </c>
      <c r="P20">
        <f t="shared" si="1"/>
        <v>4446.5433057122736</v>
      </c>
      <c r="Q20">
        <f t="shared" si="2"/>
        <v>1.5016999326463383</v>
      </c>
      <c r="R20">
        <f t="shared" si="3"/>
        <v>6677.3737826971474</v>
      </c>
      <c r="T20">
        <f t="shared" si="4"/>
        <v>-4.8962500000000002</v>
      </c>
      <c r="U20">
        <f t="shared" si="5"/>
        <v>6.0448062548474998E-2</v>
      </c>
      <c r="V20">
        <f t="shared" si="6"/>
        <v>-0.29596882625297072</v>
      </c>
      <c r="W20">
        <f>F20-V20</f>
        <v>-9.7439730913734302</v>
      </c>
      <c r="Y20">
        <f>(1-H20)*U20</f>
        <v>-0.27475235166770023</v>
      </c>
      <c r="Z20">
        <f>C20-Y20</f>
        <v>-9.8474745335942995</v>
      </c>
    </row>
    <row r="21" spans="1:26" x14ac:dyDescent="0.75">
      <c r="A21" s="1">
        <v>45287</v>
      </c>
      <c r="B21">
        <v>7.5938066725985701E-2</v>
      </c>
      <c r="C21">
        <v>-4.2313185776833304</v>
      </c>
      <c r="D21">
        <v>2.8470554035484299</v>
      </c>
      <c r="E21" t="s">
        <v>19</v>
      </c>
      <c r="F21">
        <v>-4.1553805109573396</v>
      </c>
      <c r="G21">
        <v>5.6837499999999999</v>
      </c>
      <c r="H21">
        <v>5.6647368421052597</v>
      </c>
      <c r="I21">
        <v>0.40393232968284098</v>
      </c>
      <c r="J21">
        <v>254.57502507547201</v>
      </c>
      <c r="K21">
        <v>51.714361711267301</v>
      </c>
      <c r="L21">
        <v>0.40272591028886801</v>
      </c>
      <c r="M21">
        <v>21995.282166520799</v>
      </c>
      <c r="N21">
        <f t="shared" si="0"/>
        <v>4468.120851853495</v>
      </c>
      <c r="O21">
        <v>34795.518648958197</v>
      </c>
      <c r="P21">
        <f t="shared" si="1"/>
        <v>8555.1068040030204</v>
      </c>
      <c r="Q21">
        <f t="shared" si="2"/>
        <v>1.564939703582737</v>
      </c>
      <c r="R21">
        <f t="shared" si="3"/>
        <v>13388.226305975144</v>
      </c>
      <c r="T21">
        <f t="shared" si="4"/>
        <v>-5.0137499999999999</v>
      </c>
      <c r="U21">
        <f t="shared" si="5"/>
        <v>5.7102786025867727E-2</v>
      </c>
      <c r="V21">
        <f t="shared" si="6"/>
        <v>-0.28629909343719434</v>
      </c>
      <c r="W21">
        <f>F21-V21</f>
        <v>-3.8690814175201451</v>
      </c>
      <c r="Y21">
        <f>(1-H21)*U21</f>
        <v>-0.2663694697617186</v>
      </c>
      <c r="Z21">
        <f>C21-Y21</f>
        <v>-3.9649491079216119</v>
      </c>
    </row>
    <row r="22" spans="1:26" x14ac:dyDescent="0.75">
      <c r="A22" s="1">
        <v>45288</v>
      </c>
      <c r="B22">
        <v>6.9690539605421098E-2</v>
      </c>
      <c r="C22">
        <v>-4.6990191364119402</v>
      </c>
      <c r="D22">
        <v>3.75259336867687</v>
      </c>
      <c r="E22" t="s">
        <v>19</v>
      </c>
      <c r="F22">
        <v>-4.6293285968065199</v>
      </c>
      <c r="G22">
        <v>6.1425000000000001</v>
      </c>
      <c r="H22">
        <v>6.1263157894736802</v>
      </c>
      <c r="I22">
        <v>0.375304242123636</v>
      </c>
      <c r="J22">
        <v>236.337739336997</v>
      </c>
      <c r="K22">
        <v>50.924987534019401</v>
      </c>
      <c r="L22">
        <v>0.38789972107652398</v>
      </c>
      <c r="M22">
        <v>20419.580678716498</v>
      </c>
      <c r="N22">
        <f t="shared" si="0"/>
        <v>4399.9189229392769</v>
      </c>
      <c r="O22">
        <v>33514.535901011703</v>
      </c>
      <c r="P22">
        <f t="shared" si="1"/>
        <v>6251.7232286694662</v>
      </c>
      <c r="Q22">
        <f t="shared" si="2"/>
        <v>1.623417175261475</v>
      </c>
      <c r="R22">
        <f t="shared" si="3"/>
        <v>10149.154864403134</v>
      </c>
      <c r="T22">
        <f t="shared" si="4"/>
        <v>-5.4725000000000001</v>
      </c>
      <c r="U22">
        <f t="shared" si="5"/>
        <v>5.4205647075658246E-2</v>
      </c>
      <c r="V22">
        <f t="shared" si="6"/>
        <v>-0.29664040362153976</v>
      </c>
      <c r="W22">
        <f>F22-V22</f>
        <v>-4.3326881931849801</v>
      </c>
      <c r="Y22">
        <f>(1-H22)*U22</f>
        <v>-0.27787526448258471</v>
      </c>
      <c r="Z22">
        <f>C22-Y22</f>
        <v>-4.4211438719293552</v>
      </c>
    </row>
    <row r="23" spans="1:26" x14ac:dyDescent="0.75">
      <c r="A23" s="1">
        <v>45289</v>
      </c>
      <c r="B23">
        <v>6.9235923767443294E-2</v>
      </c>
      <c r="C23">
        <v>-3.1673998679906301</v>
      </c>
      <c r="D23">
        <v>3.32104311381149</v>
      </c>
      <c r="E23" t="s">
        <v>19</v>
      </c>
      <c r="F23">
        <v>-3.0981639442231801</v>
      </c>
      <c r="G23">
        <v>6.8458333333333297</v>
      </c>
      <c r="H23">
        <v>6.8142105263157902</v>
      </c>
      <c r="I23">
        <v>0.35370400952923098</v>
      </c>
      <c r="J23">
        <v>222.58829074200901</v>
      </c>
      <c r="K23">
        <v>50.168427379067701</v>
      </c>
      <c r="L23">
        <v>0.37632232109659902</v>
      </c>
      <c r="M23">
        <v>19231.628320109601</v>
      </c>
      <c r="N23">
        <f t="shared" si="0"/>
        <v>4334.5521255514495</v>
      </c>
      <c r="O23">
        <v>32514.248542746202</v>
      </c>
      <c r="P23">
        <f t="shared" si="1"/>
        <v>6853.2606172044552</v>
      </c>
      <c r="Q23">
        <f t="shared" si="2"/>
        <v>1.6722544213472688</v>
      </c>
      <c r="R23">
        <f t="shared" si="3"/>
        <v>11460.395367765263</v>
      </c>
      <c r="T23">
        <f t="shared" si="4"/>
        <v>-6.1758333333333297</v>
      </c>
      <c r="U23">
        <f t="shared" si="5"/>
        <v>5.1840821231727091E-2</v>
      </c>
      <c r="V23">
        <f t="shared" si="6"/>
        <v>-0.3201602717902744</v>
      </c>
      <c r="W23">
        <f>F23-V23</f>
        <v>-2.7780036724329058</v>
      </c>
      <c r="Y23">
        <f>(1-H23)*U23</f>
        <v>-0.30141344849836277</v>
      </c>
      <c r="Z23">
        <f>C23-Y23</f>
        <v>-2.8659864194922675</v>
      </c>
    </row>
    <row r="24" spans="1:26" x14ac:dyDescent="0.75">
      <c r="A24" s="1">
        <v>45290</v>
      </c>
      <c r="B24">
        <v>0.123444993824568</v>
      </c>
      <c r="C24">
        <v>-9.1335913164801497</v>
      </c>
      <c r="D24">
        <v>11.4488077446712</v>
      </c>
      <c r="E24" t="s">
        <v>19</v>
      </c>
      <c r="F24">
        <v>-9.0101463226555794</v>
      </c>
      <c r="G24">
        <v>7.7308333333333303</v>
      </c>
      <c r="H24">
        <v>7.6736842105263197</v>
      </c>
      <c r="I24">
        <v>0.329256233360952</v>
      </c>
      <c r="J24">
        <v>207.037542355353</v>
      </c>
      <c r="K24">
        <v>49.446775878570001</v>
      </c>
      <c r="L24">
        <v>0.36279561117876502</v>
      </c>
      <c r="M24">
        <v>17888.043659502498</v>
      </c>
      <c r="N24">
        <f t="shared" si="0"/>
        <v>4272.2014359084487</v>
      </c>
      <c r="O24">
        <v>31345.540805845299</v>
      </c>
      <c r="P24">
        <f t="shared" si="1"/>
        <v>1916.520833735239</v>
      </c>
      <c r="Q24">
        <f t="shared" si="2"/>
        <v>1.733217532142898</v>
      </c>
      <c r="R24">
        <f t="shared" si="3"/>
        <v>3321.7475097470401</v>
      </c>
      <c r="T24">
        <f t="shared" si="4"/>
        <v>-7.0608333333333304</v>
      </c>
      <c r="U24">
        <f t="shared" si="5"/>
        <v>4.9297925467283128E-2</v>
      </c>
      <c r="V24">
        <f t="shared" si="6"/>
        <v>-0.34808443540357481</v>
      </c>
      <c r="W24">
        <f>F24-V24</f>
        <v>-8.6620618872520048</v>
      </c>
      <c r="Y24">
        <f>(1-H24)*U24</f>
        <v>-0.32899878680271077</v>
      </c>
      <c r="Z24">
        <f>C24-Y24</f>
        <v>-8.8045925296774392</v>
      </c>
    </row>
    <row r="25" spans="1:26" x14ac:dyDescent="0.75">
      <c r="A25" s="1">
        <v>45291</v>
      </c>
      <c r="B25">
        <v>0.20093188308755999</v>
      </c>
      <c r="C25">
        <v>-13.800677395325099</v>
      </c>
      <c r="D25">
        <v>19.619001554992</v>
      </c>
      <c r="E25" t="s">
        <v>19</v>
      </c>
      <c r="F25">
        <v>-13.599745512237501</v>
      </c>
      <c r="G25">
        <v>8.0670833333333292</v>
      </c>
      <c r="H25">
        <v>8.0110526315789503</v>
      </c>
      <c r="I25">
        <v>0.30961405392507801</v>
      </c>
      <c r="J25">
        <v>194.55254241501399</v>
      </c>
      <c r="K25">
        <v>48.759733359464299</v>
      </c>
      <c r="L25">
        <v>0.351579515005498</v>
      </c>
      <c r="M25">
        <v>16809.3396646572</v>
      </c>
      <c r="N25">
        <f t="shared" si="0"/>
        <v>4212.8409622577155</v>
      </c>
      <c r="O25">
        <v>30376.470096475099</v>
      </c>
      <c r="P25">
        <f t="shared" si="1"/>
        <v>1083.8232010905836</v>
      </c>
      <c r="Q25">
        <f t="shared" si="2"/>
        <v>1.787280355708621</v>
      </c>
      <c r="R25">
        <f t="shared" si="3"/>
        <v>1937.0959163704345</v>
      </c>
      <c r="T25">
        <f t="shared" si="4"/>
        <v>-7.3970833333333292</v>
      </c>
      <c r="U25">
        <f t="shared" si="5"/>
        <v>4.7142474864693612E-2</v>
      </c>
      <c r="V25">
        <f t="shared" si="6"/>
        <v>-0.3487168151137105</v>
      </c>
      <c r="W25">
        <f>F25-V25</f>
        <v>-13.25102869712379</v>
      </c>
      <c r="Y25">
        <f>(1-H25)*U25</f>
        <v>-0.33051837245925469</v>
      </c>
      <c r="Z25">
        <f>C25-Y25</f>
        <v>-13.470159022865845</v>
      </c>
    </row>
    <row r="26" spans="1:26" x14ac:dyDescent="0.75">
      <c r="A26" s="1">
        <v>45292</v>
      </c>
      <c r="B26">
        <v>0.14432766742654801</v>
      </c>
      <c r="C26">
        <v>-5.36122383098611</v>
      </c>
      <c r="D26">
        <v>7.4676910103003502</v>
      </c>
      <c r="E26" t="s">
        <v>19</v>
      </c>
      <c r="F26">
        <v>-5.2168961635595599</v>
      </c>
      <c r="G26">
        <v>8.0420833333333306</v>
      </c>
      <c r="H26">
        <v>7.9852631578947397</v>
      </c>
      <c r="I26">
        <v>0.293700101642628</v>
      </c>
      <c r="J26">
        <v>184.44384655653599</v>
      </c>
      <c r="K26">
        <v>48.107259678034801</v>
      </c>
      <c r="L26">
        <v>0.34223069666241701</v>
      </c>
      <c r="M26">
        <v>15935.9483424848</v>
      </c>
      <c r="N26">
        <f t="shared" si="0"/>
        <v>4156.4672361822068</v>
      </c>
      <c r="O26">
        <v>29568.7321916328</v>
      </c>
      <c r="P26">
        <f t="shared" si="1"/>
        <v>2771.6883981398796</v>
      </c>
      <c r="Q26">
        <f t="shared" si="2"/>
        <v>1.8350213124440868</v>
      </c>
      <c r="R26">
        <f t="shared" si="3"/>
        <v>5086.1072820406907</v>
      </c>
      <c r="T26">
        <f t="shared" si="4"/>
        <v>-7.3720833333333307</v>
      </c>
      <c r="U26">
        <f t="shared" si="5"/>
        <v>4.5301569066205104E-2</v>
      </c>
      <c r="V26">
        <f t="shared" si="6"/>
        <v>-0.33396694228681945</v>
      </c>
      <c r="W26">
        <f>F26-V26</f>
        <v>-4.8829292212727404</v>
      </c>
      <c r="Y26">
        <f>(1-H26)*U26</f>
        <v>-0.3164433813929865</v>
      </c>
      <c r="Z26">
        <f>C26-Y26</f>
        <v>-5.0447804495931239</v>
      </c>
    </row>
    <row r="27" spans="1:26" x14ac:dyDescent="0.75">
      <c r="A27" s="1">
        <v>45293</v>
      </c>
      <c r="B27">
        <v>8.7451772675155304E-2</v>
      </c>
      <c r="C27">
        <v>-6.6856922890806798</v>
      </c>
      <c r="D27">
        <v>10.2004028796828</v>
      </c>
      <c r="E27" t="s">
        <v>19</v>
      </c>
      <c r="F27">
        <v>-6.5982405164055198</v>
      </c>
      <c r="G27">
        <v>7.8504166666666704</v>
      </c>
      <c r="H27">
        <v>7.8157894736842097</v>
      </c>
      <c r="I27">
        <v>0.28286475800224298</v>
      </c>
      <c r="J27">
        <v>177.56466275479201</v>
      </c>
      <c r="K27">
        <v>47.489519881550301</v>
      </c>
      <c r="L27">
        <v>0.33572085800582602</v>
      </c>
      <c r="M27">
        <v>15341.586862014001</v>
      </c>
      <c r="N27">
        <f t="shared" si="0"/>
        <v>4103.094517765946</v>
      </c>
      <c r="O27">
        <v>29006.282131703301</v>
      </c>
      <c r="P27">
        <f t="shared" si="1"/>
        <v>1990.5485824128266</v>
      </c>
      <c r="Q27">
        <f t="shared" si="2"/>
        <v>1.869818163440583</v>
      </c>
      <c r="R27">
        <f t="shared" si="3"/>
        <v>3721.9638946064074</v>
      </c>
      <c r="T27">
        <f t="shared" si="4"/>
        <v>-7.1804166666666704</v>
      </c>
      <c r="U27">
        <f t="shared" si="5"/>
        <v>4.3887631407066814E-2</v>
      </c>
      <c r="V27">
        <f t="shared" si="6"/>
        <v>-0.31513148001582619</v>
      </c>
      <c r="W27">
        <f>F27-V27</f>
        <v>-6.2831090363896935</v>
      </c>
      <c r="Y27">
        <f>(1-H27)*U27</f>
        <v>-0.29912885616921853</v>
      </c>
      <c r="Z27">
        <f>C27-Y27</f>
        <v>-6.3865634329114611</v>
      </c>
    </row>
    <row r="28" spans="1:26" x14ac:dyDescent="0.75">
      <c r="A28" s="1">
        <v>45294</v>
      </c>
      <c r="B28">
        <v>0.15909032436623399</v>
      </c>
      <c r="C28">
        <v>-4.9945606562802096</v>
      </c>
      <c r="D28">
        <v>7.7563868654942203</v>
      </c>
      <c r="E28" t="s">
        <v>19</v>
      </c>
      <c r="F28">
        <v>-4.8354703319139798</v>
      </c>
      <c r="G28">
        <v>8.1662499999999998</v>
      </c>
      <c r="H28">
        <v>8.1073684210526302</v>
      </c>
      <c r="I28">
        <v>0.27400214558004898</v>
      </c>
      <c r="J28">
        <v>171.94000152164099</v>
      </c>
      <c r="K28">
        <v>46.907720884115399</v>
      </c>
      <c r="L28">
        <v>0.33030992505463103</v>
      </c>
      <c r="M28">
        <v>14855.6161314698</v>
      </c>
      <c r="N28">
        <f t="shared" si="0"/>
        <v>4052.8270843875707</v>
      </c>
      <c r="O28">
        <v>28538.777524720099</v>
      </c>
      <c r="P28">
        <f t="shared" si="1"/>
        <v>2575.5734743165326</v>
      </c>
      <c r="Q28">
        <f t="shared" si="2"/>
        <v>1.8997713732908164</v>
      </c>
      <c r="R28">
        <f t="shared" si="3"/>
        <v>4893.0007563137187</v>
      </c>
      <c r="T28">
        <f t="shared" si="4"/>
        <v>-7.4962499999999999</v>
      </c>
      <c r="U28">
        <f t="shared" si="5"/>
        <v>4.2666471780414238E-2</v>
      </c>
      <c r="V28">
        <f t="shared" si="6"/>
        <v>-0.31983853908393023</v>
      </c>
      <c r="W28">
        <f>F28-V28</f>
        <v>-4.5156317928300496</v>
      </c>
      <c r="Y28">
        <f>(1-H28)*U28</f>
        <v>-0.30324633416984936</v>
      </c>
      <c r="Z28">
        <f>C28-Y28</f>
        <v>-4.6913143221103599</v>
      </c>
    </row>
    <row r="29" spans="1:26" x14ac:dyDescent="0.75">
      <c r="A29" s="1">
        <v>45295</v>
      </c>
      <c r="B29">
        <v>8.5103960101358206E-2</v>
      </c>
      <c r="C29">
        <v>-10.682367654160201</v>
      </c>
      <c r="D29">
        <v>14.9896653334914</v>
      </c>
      <c r="E29" t="s">
        <v>19</v>
      </c>
      <c r="F29">
        <v>-10.597263694058899</v>
      </c>
      <c r="G29">
        <v>7.8029166666666701</v>
      </c>
      <c r="H29">
        <v>7.79052631578947</v>
      </c>
      <c r="I29">
        <v>0.28987206368352098</v>
      </c>
      <c r="J29">
        <v>182.01374817022301</v>
      </c>
      <c r="K29">
        <v>46.420391370401802</v>
      </c>
      <c r="L29">
        <v>0.33991986667475399</v>
      </c>
      <c r="M29">
        <v>15725.987841907299</v>
      </c>
      <c r="N29">
        <f t="shared" si="0"/>
        <v>4010.7218144027161</v>
      </c>
      <c r="O29">
        <v>29369.076480698699</v>
      </c>
      <c r="P29">
        <f t="shared" si="1"/>
        <v>1371.5018367058251</v>
      </c>
      <c r="Q29">
        <f t="shared" si="2"/>
        <v>1.8472313177581901</v>
      </c>
      <c r="R29">
        <f t="shared" si="3"/>
        <v>2533.4811451258793</v>
      </c>
      <c r="T29">
        <f t="shared" si="4"/>
        <v>-7.1329166666666701</v>
      </c>
      <c r="U29">
        <f t="shared" si="5"/>
        <v>4.3424142670666174E-2</v>
      </c>
      <c r="V29">
        <f t="shared" si="6"/>
        <v>-0.30974079099130608</v>
      </c>
      <c r="W29">
        <f>F29-V29</f>
        <v>-10.287522903067593</v>
      </c>
      <c r="Y29">
        <f>(1-H29)*U29</f>
        <v>-0.29487278354575508</v>
      </c>
      <c r="Z29">
        <f>C29-Y29</f>
        <v>-10.387494870614447</v>
      </c>
    </row>
    <row r="30" spans="1:26" x14ac:dyDescent="0.75">
      <c r="A30" s="1">
        <v>45296</v>
      </c>
      <c r="B30">
        <v>0.15377172547993501</v>
      </c>
      <c r="C30">
        <v>-4.12058391153698</v>
      </c>
      <c r="D30">
        <v>5.6859959930997297</v>
      </c>
      <c r="E30" t="s">
        <v>19</v>
      </c>
      <c r="F30">
        <v>-3.9668121860570502</v>
      </c>
      <c r="G30">
        <v>7.9570833333333297</v>
      </c>
      <c r="H30">
        <v>7.8947368421052602</v>
      </c>
      <c r="I30">
        <v>0.285012367816944</v>
      </c>
      <c r="J30">
        <v>178.927969505135</v>
      </c>
      <c r="K30">
        <v>46.066905397374498</v>
      </c>
      <c r="L30">
        <v>0.33701842948925398</v>
      </c>
      <c r="M30">
        <v>15459.3765652437</v>
      </c>
      <c r="N30">
        <f t="shared" si="0"/>
        <v>3980.1806263331569</v>
      </c>
      <c r="O30">
        <v>29118.3923078716</v>
      </c>
      <c r="P30">
        <f t="shared" si="1"/>
        <v>3584.7500842852974</v>
      </c>
      <c r="Q30">
        <f t="shared" si="2"/>
        <v>1.8627770425585926</v>
      </c>
      <c r="R30">
        <f t="shared" si="3"/>
        <v>6677.5901603166312</v>
      </c>
      <c r="T30">
        <f t="shared" si="4"/>
        <v>-7.2870833333333298</v>
      </c>
      <c r="U30">
        <f t="shared" si="5"/>
        <v>4.2733838085810133E-2</v>
      </c>
      <c r="V30">
        <f t="shared" si="6"/>
        <v>-0.31140503928447211</v>
      </c>
      <c r="W30">
        <f>F30-V30</f>
        <v>-3.6554071467725779</v>
      </c>
      <c r="Y30">
        <f>(1-H30)*U30</f>
        <v>-0.29463856785479603</v>
      </c>
      <c r="Z30">
        <f>C30-Y30</f>
        <v>-3.825945343682184</v>
      </c>
    </row>
    <row r="31" spans="1:26" x14ac:dyDescent="0.75">
      <c r="A31" s="1">
        <v>45297</v>
      </c>
      <c r="B31">
        <v>3.3250835570768397E-2</v>
      </c>
      <c r="C31">
        <v>-1.97256128120521</v>
      </c>
      <c r="D31">
        <v>1.42348400096845</v>
      </c>
      <c r="E31" t="s">
        <v>19</v>
      </c>
      <c r="F31">
        <v>-1.9393104456344401</v>
      </c>
      <c r="G31">
        <v>6.8875000000000002</v>
      </c>
      <c r="H31">
        <v>6.8963157894736797</v>
      </c>
      <c r="I31">
        <v>0.327527157933104</v>
      </c>
      <c r="J31">
        <v>205.95154931942901</v>
      </c>
      <c r="K31">
        <v>45.852613432551699</v>
      </c>
      <c r="L31">
        <v>0.36129539270748401</v>
      </c>
      <c r="M31">
        <v>17794.213861198699</v>
      </c>
      <c r="N31">
        <f t="shared" si="0"/>
        <v>3961.6658005724671</v>
      </c>
      <c r="O31">
        <v>31215.921929926601</v>
      </c>
      <c r="P31">
        <f t="shared" si="1"/>
        <v>15350.467821262802</v>
      </c>
      <c r="Q31">
        <f t="shared" si="2"/>
        <v>1.7404250411517859</v>
      </c>
      <c r="R31">
        <f t="shared" si="3"/>
        <v>26716.338589520477</v>
      </c>
      <c r="T31">
        <f t="shared" si="4"/>
        <v>-6.2175000000000002</v>
      </c>
      <c r="U31">
        <f t="shared" si="5"/>
        <v>4.5525267758164407E-2</v>
      </c>
      <c r="V31">
        <f t="shared" si="6"/>
        <v>-0.28305335228638723</v>
      </c>
      <c r="W31">
        <f>F31-V31</f>
        <v>-1.6562570933480529</v>
      </c>
      <c r="Y31">
        <f>(1-H31)*U31</f>
        <v>-0.26843135510248184</v>
      </c>
      <c r="Z31">
        <f>C31-Y31</f>
        <v>-1.7041299261027283</v>
      </c>
    </row>
    <row r="32" spans="1:26" x14ac:dyDescent="0.75">
      <c r="A32" s="1">
        <v>45298</v>
      </c>
      <c r="B32">
        <v>7.8586475405977699E-2</v>
      </c>
      <c r="C32">
        <v>-2.8245681250670498</v>
      </c>
      <c r="D32">
        <v>2.7611976377295502</v>
      </c>
      <c r="E32" t="s">
        <v>19</v>
      </c>
      <c r="F32">
        <v>-2.7459816496610698</v>
      </c>
      <c r="G32">
        <v>6.6675000000000004</v>
      </c>
      <c r="H32">
        <v>6.63894736842105</v>
      </c>
      <c r="I32">
        <v>0.35559747922526103</v>
      </c>
      <c r="J32">
        <v>223.79419967016099</v>
      </c>
      <c r="K32">
        <v>45.7820021250594</v>
      </c>
      <c r="L32">
        <v>0.37731337027559497</v>
      </c>
      <c r="M32">
        <v>19335.818851501899</v>
      </c>
      <c r="N32">
        <f t="shared" si="0"/>
        <v>3955.5649836051325</v>
      </c>
      <c r="O32">
        <v>32599.875191811399</v>
      </c>
      <c r="P32">
        <f t="shared" si="1"/>
        <v>8264.4981012775697</v>
      </c>
      <c r="Q32">
        <f t="shared" si="2"/>
        <v>1.6679689341731363</v>
      </c>
      <c r="R32">
        <f t="shared" si="3"/>
        <v>13784.926089463857</v>
      </c>
      <c r="T32">
        <f t="shared" si="4"/>
        <v>-5.9975000000000005</v>
      </c>
      <c r="U32">
        <f t="shared" si="5"/>
        <v>4.7429720093270546E-2</v>
      </c>
      <c r="V32">
        <f t="shared" si="6"/>
        <v>-0.28445974625939013</v>
      </c>
      <c r="W32">
        <f>F32-V32</f>
        <v>-2.4615219034016795</v>
      </c>
      <c r="Y32">
        <f>(1-H32)*U32</f>
        <v>-0.26745369530489493</v>
      </c>
      <c r="Z32">
        <f>C32-Y32</f>
        <v>-2.5571144297621551</v>
      </c>
    </row>
    <row r="33" spans="1:26" x14ac:dyDescent="0.75">
      <c r="A33" s="1">
        <v>45299</v>
      </c>
      <c r="B33">
        <v>0.192799696886578</v>
      </c>
      <c r="C33">
        <v>-7.8340030861688303</v>
      </c>
      <c r="D33">
        <v>9.1090873601851392</v>
      </c>
      <c r="E33" t="s">
        <v>19</v>
      </c>
      <c r="F33">
        <v>-7.64120338928225</v>
      </c>
      <c r="G33">
        <v>7.4120833333333298</v>
      </c>
      <c r="H33">
        <v>7.3742105263157898</v>
      </c>
      <c r="I33">
        <v>0.322287090634787</v>
      </c>
      <c r="J33">
        <v>202.60691942155299</v>
      </c>
      <c r="K33">
        <v>45.859300879978697</v>
      </c>
      <c r="L33">
        <v>0.35885077791185099</v>
      </c>
      <c r="M33">
        <v>17505.2378380222</v>
      </c>
      <c r="N33">
        <f t="shared" si="0"/>
        <v>3962.2435960301596</v>
      </c>
      <c r="O33">
        <v>31004.7072115839</v>
      </c>
      <c r="P33">
        <f t="shared" si="1"/>
        <v>2382.5981890317075</v>
      </c>
      <c r="Q33">
        <f t="shared" si="2"/>
        <v>1.7518522338119173</v>
      </c>
      <c r="R33">
        <f t="shared" si="3"/>
        <v>4173.9599597314254</v>
      </c>
      <c r="T33">
        <f t="shared" si="4"/>
        <v>-6.7420833333333299</v>
      </c>
      <c r="U33">
        <f t="shared" si="5"/>
        <v>4.5234906455649787E-2</v>
      </c>
      <c r="V33">
        <f t="shared" si="6"/>
        <v>-0.30497750889952868</v>
      </c>
      <c r="W33">
        <f>F33-V33</f>
        <v>-7.3362258803827212</v>
      </c>
      <c r="Y33">
        <f>(1-H33)*U33</f>
        <v>-0.28833681688651297</v>
      </c>
      <c r="Z33">
        <f>C33-Y33</f>
        <v>-7.5456662692823171</v>
      </c>
    </row>
    <row r="34" spans="1:26" x14ac:dyDescent="0.75">
      <c r="A34" s="1">
        <v>45300</v>
      </c>
      <c r="B34">
        <v>0.51208878547118297</v>
      </c>
      <c r="C34">
        <v>-2.0028026767015801</v>
      </c>
      <c r="D34">
        <v>0.60952214772399804</v>
      </c>
      <c r="E34" t="s">
        <v>19</v>
      </c>
      <c r="F34">
        <v>-1.4907138912304001</v>
      </c>
      <c r="G34">
        <v>6.9316666666666702</v>
      </c>
      <c r="H34">
        <v>6.9584210526315804</v>
      </c>
      <c r="I34">
        <v>0.417568247106191</v>
      </c>
      <c r="J34">
        <v>263.44769838417</v>
      </c>
      <c r="K34">
        <v>46.088853632973503</v>
      </c>
      <c r="L34">
        <v>0.403570835741281</v>
      </c>
      <c r="M34">
        <v>22761.881140392299</v>
      </c>
      <c r="N34">
        <f t="shared" si="0"/>
        <v>3982.0769538889108</v>
      </c>
      <c r="O34">
        <v>34868.520208046699</v>
      </c>
      <c r="P34">
        <f t="shared" si="1"/>
        <v>40044.425353162107</v>
      </c>
      <c r="Q34">
        <f t="shared" si="2"/>
        <v>1.5633174229763829</v>
      </c>
      <c r="R34">
        <f t="shared" si="3"/>
        <v>62602.147847675515</v>
      </c>
      <c r="T34">
        <f t="shared" si="4"/>
        <v>-6.2616666666666703</v>
      </c>
      <c r="U34">
        <f t="shared" si="5"/>
        <v>5.0943933654976847E-2</v>
      </c>
      <c r="V34">
        <f t="shared" si="6"/>
        <v>-0.31899393123624686</v>
      </c>
      <c r="W34">
        <f>F34-V34</f>
        <v>-1.1717199599941532</v>
      </c>
      <c r="Y34">
        <f>(1-H34)*U34</f>
        <v>-0.30354540679368053</v>
      </c>
      <c r="Z34">
        <f>C34-Y34</f>
        <v>-1.6992572699078996</v>
      </c>
    </row>
    <row r="35" spans="1:26" x14ac:dyDescent="0.75">
      <c r="A35" s="1">
        <v>45301</v>
      </c>
      <c r="B35">
        <v>0.10049333966570199</v>
      </c>
      <c r="C35">
        <v>-3.4330770654212799</v>
      </c>
      <c r="D35">
        <v>2.0012113796554298</v>
      </c>
      <c r="E35" t="s">
        <v>19</v>
      </c>
      <c r="F35">
        <v>-3.3325837257555802</v>
      </c>
      <c r="G35">
        <v>6.7575000000000003</v>
      </c>
      <c r="H35">
        <v>6.7073684210526299</v>
      </c>
      <c r="I35">
        <v>0.65799192871112999</v>
      </c>
      <c r="J35">
        <v>416.97583676287098</v>
      </c>
      <c r="K35">
        <v>46.474478264919902</v>
      </c>
      <c r="L35">
        <v>0.516331173909373</v>
      </c>
      <c r="M35">
        <v>36026.7122963121</v>
      </c>
      <c r="N35">
        <f t="shared" si="0"/>
        <v>4015.39492208908</v>
      </c>
      <c r="O35">
        <v>44611.013425769801</v>
      </c>
      <c r="P35">
        <f t="shared" si="1"/>
        <v>15604.403270690811</v>
      </c>
      <c r="Q35">
        <f t="shared" si="2"/>
        <v>1.2273317687068501</v>
      </c>
      <c r="R35">
        <f t="shared" si="3"/>
        <v>19151.779865831912</v>
      </c>
      <c r="T35">
        <f t="shared" si="4"/>
        <v>-6.0875000000000004</v>
      </c>
      <c r="U35">
        <f t="shared" si="5"/>
        <v>6.5432917560991816E-2</v>
      </c>
      <c r="V35">
        <f t="shared" si="6"/>
        <v>-0.39832288565253771</v>
      </c>
      <c r="W35">
        <f>F35-V35</f>
        <v>-2.9342608401030423</v>
      </c>
      <c r="Y35">
        <f>(1-H35)*U35</f>
        <v>-0.37344976738494473</v>
      </c>
      <c r="Z35">
        <f>C35-Y35</f>
        <v>-3.059627298036335</v>
      </c>
    </row>
    <row r="36" spans="1:26" x14ac:dyDescent="0.75">
      <c r="A36" s="1">
        <v>45302</v>
      </c>
      <c r="B36">
        <v>0.18142833717641699</v>
      </c>
      <c r="C36">
        <v>-11.851080948937801</v>
      </c>
      <c r="D36">
        <v>8.1612058402284706</v>
      </c>
      <c r="E36" t="s">
        <v>19</v>
      </c>
      <c r="F36">
        <v>-11.6696526117614</v>
      </c>
      <c r="G36">
        <v>7.3562500000000002</v>
      </c>
      <c r="H36">
        <v>7.2942105263157897</v>
      </c>
      <c r="I36">
        <v>0.53657795482257598</v>
      </c>
      <c r="J36">
        <v>339.25058738111699</v>
      </c>
      <c r="K36">
        <v>47.019501522614704</v>
      </c>
      <c r="L36">
        <v>0.46553495057145799</v>
      </c>
      <c r="M36">
        <v>29311.250749728501</v>
      </c>
      <c r="N36">
        <f t="shared" si="0"/>
        <v>4062.4849315539104</v>
      </c>
      <c r="O36">
        <v>40222.219729374003</v>
      </c>
      <c r="P36">
        <f t="shared" si="1"/>
        <v>3449.9257048237364</v>
      </c>
      <c r="Q36">
        <f t="shared" si="2"/>
        <v>1.3581117003806882</v>
      </c>
      <c r="R36">
        <f t="shared" si="3"/>
        <v>4685.3844651652089</v>
      </c>
      <c r="T36">
        <f t="shared" si="4"/>
        <v>-6.6862500000000002</v>
      </c>
      <c r="U36">
        <f t="shared" si="5"/>
        <v>5.9825490501483315E-2</v>
      </c>
      <c r="V36">
        <f t="shared" si="6"/>
        <v>-0.40000818586554282</v>
      </c>
      <c r="W36">
        <f>F36-V36</f>
        <v>-11.269644425895857</v>
      </c>
      <c r="Y36">
        <f>(1-H36)*U36</f>
        <v>-0.37655423205644156</v>
      </c>
      <c r="Z36">
        <f>C36-Y36</f>
        <v>-11.474526716881359</v>
      </c>
    </row>
    <row r="37" spans="1:26" x14ac:dyDescent="0.75">
      <c r="A37" s="1">
        <v>45303</v>
      </c>
      <c r="B37">
        <v>0.186915929745639</v>
      </c>
      <c r="C37">
        <v>-3.2492686379034899</v>
      </c>
      <c r="D37">
        <v>1.7043898559177</v>
      </c>
      <c r="E37" t="s">
        <v>19</v>
      </c>
      <c r="F37">
        <v>-3.0623527081578499</v>
      </c>
      <c r="G37">
        <v>7.01</v>
      </c>
      <c r="H37">
        <v>6.9684210526315802</v>
      </c>
      <c r="I37">
        <v>0.47620122422062999</v>
      </c>
      <c r="J37">
        <v>300.67404902926103</v>
      </c>
      <c r="K37">
        <v>47.726889471544197</v>
      </c>
      <c r="L37">
        <v>0.438062896398279</v>
      </c>
      <c r="M37">
        <v>25978.237836128199</v>
      </c>
      <c r="N37">
        <f t="shared" si="0"/>
        <v>4123.603250341419</v>
      </c>
      <c r="O37">
        <v>37848.6342488113</v>
      </c>
      <c r="P37">
        <f t="shared" si="1"/>
        <v>15544.591445542626</v>
      </c>
      <c r="Q37">
        <f t="shared" si="2"/>
        <v>1.4413483928482194</v>
      </c>
      <c r="R37">
        <f t="shared" si="3"/>
        <v>22405.171897515043</v>
      </c>
      <c r="T37">
        <f t="shared" si="4"/>
        <v>-6.34</v>
      </c>
      <c r="U37">
        <f t="shared" si="5"/>
        <v>5.7218688705689684E-2</v>
      </c>
      <c r="V37">
        <f t="shared" si="6"/>
        <v>-0.36276648639407261</v>
      </c>
      <c r="W37">
        <f>F37-V37</f>
        <v>-2.6995862217637772</v>
      </c>
      <c r="Y37">
        <f>(1-H37)*U37</f>
        <v>-0.34150522627501112</v>
      </c>
      <c r="Z37">
        <f>C37-Y37</f>
        <v>-2.907763411628479</v>
      </c>
    </row>
    <row r="38" spans="1:26" x14ac:dyDescent="0.75">
      <c r="A38" s="1">
        <v>45304</v>
      </c>
      <c r="B38">
        <v>9.6713935816608101E-2</v>
      </c>
      <c r="C38">
        <v>-1.4926231569433801</v>
      </c>
      <c r="D38">
        <v>1.28034522805985</v>
      </c>
      <c r="E38" t="s">
        <v>19</v>
      </c>
      <c r="F38">
        <v>-1.3959092211267701</v>
      </c>
      <c r="G38">
        <v>6.3995833333333296</v>
      </c>
      <c r="H38">
        <v>6.3957894736842098</v>
      </c>
      <c r="I38">
        <v>0.44628146741142</v>
      </c>
      <c r="J38">
        <v>281.578931276932</v>
      </c>
      <c r="K38">
        <v>48.599229724431197</v>
      </c>
      <c r="L38">
        <v>0.423762830102414</v>
      </c>
      <c r="M38">
        <v>24328.419662326902</v>
      </c>
      <c r="N38">
        <f t="shared" si="0"/>
        <v>4198.9734481908554</v>
      </c>
      <c r="O38">
        <v>36613.108520848597</v>
      </c>
      <c r="P38">
        <f t="shared" si="1"/>
        <v>20017.394842351045</v>
      </c>
      <c r="Q38">
        <f t="shared" si="2"/>
        <v>1.4889099886161545</v>
      </c>
      <c r="R38">
        <f t="shared" si="3"/>
        <v>29804.099126849964</v>
      </c>
      <c r="T38">
        <f t="shared" si="4"/>
        <v>-5.7295833333333297</v>
      </c>
      <c r="U38">
        <f t="shared" si="5"/>
        <v>5.640332162850932E-2</v>
      </c>
      <c r="V38">
        <f t="shared" si="6"/>
        <v>-0.32316753154734634</v>
      </c>
      <c r="W38">
        <f>F38-V38</f>
        <v>-1.0727416895794237</v>
      </c>
      <c r="Y38">
        <f>(1-H38)*U38</f>
        <v>-0.30434044912393549</v>
      </c>
      <c r="Z38">
        <f>C38-Y38</f>
        <v>-1.1882827078194447</v>
      </c>
    </row>
    <row r="39" spans="1:26" x14ac:dyDescent="0.75">
      <c r="A39" s="1">
        <v>45305</v>
      </c>
      <c r="B39">
        <v>9.9952397086868497E-2</v>
      </c>
      <c r="C39">
        <v>-5.2553716932569197</v>
      </c>
      <c r="D39">
        <v>5.2853457423506498</v>
      </c>
      <c r="E39" t="s">
        <v>19</v>
      </c>
      <c r="F39">
        <v>-5.1554192961700496</v>
      </c>
      <c r="G39">
        <v>7.42875</v>
      </c>
      <c r="H39">
        <v>7.3836842105263196</v>
      </c>
      <c r="I39">
        <v>0.39916489590554899</v>
      </c>
      <c r="J39">
        <v>251.537150066338</v>
      </c>
      <c r="K39">
        <v>49.638803344740403</v>
      </c>
      <c r="L39">
        <v>0.40028606298215003</v>
      </c>
      <c r="M39">
        <v>21732.809765731599</v>
      </c>
      <c r="N39">
        <f t="shared" si="0"/>
        <v>4288.792608985571</v>
      </c>
      <c r="O39">
        <v>34584.715841657802</v>
      </c>
      <c r="P39">
        <f t="shared" si="1"/>
        <v>4580.4574136323972</v>
      </c>
      <c r="Q39">
        <f t="shared" si="2"/>
        <v>1.5742703863319203</v>
      </c>
      <c r="R39">
        <f t="shared" si="3"/>
        <v>7210.8784621359828</v>
      </c>
      <c r="T39">
        <f t="shared" si="4"/>
        <v>-6.75875</v>
      </c>
      <c r="U39">
        <f t="shared" si="5"/>
        <v>5.4486099036373782E-2</v>
      </c>
      <c r="V39">
        <f t="shared" si="6"/>
        <v>-0.36825792186209128</v>
      </c>
      <c r="W39">
        <f>F39-V39</f>
        <v>-4.7871613743079582</v>
      </c>
      <c r="Y39">
        <f>(1-H39)*U39</f>
        <v>-0.34782205011167261</v>
      </c>
      <c r="Z39">
        <f>C39-Y39</f>
        <v>-4.9075496431452468</v>
      </c>
    </row>
    <row r="40" spans="1:26" x14ac:dyDescent="0.75">
      <c r="A40" s="1">
        <v>45306</v>
      </c>
      <c r="B40">
        <v>0.14687991290917399</v>
      </c>
      <c r="C40">
        <v>-4.1081435750906596</v>
      </c>
      <c r="D40">
        <v>3.9737127430947998</v>
      </c>
      <c r="E40" t="s">
        <v>19</v>
      </c>
      <c r="F40">
        <v>-3.9612636621814898</v>
      </c>
      <c r="G40">
        <v>7.7383333333333297</v>
      </c>
      <c r="H40">
        <v>7.6768421052631597</v>
      </c>
      <c r="I40">
        <v>0.36996142840770502</v>
      </c>
      <c r="J40">
        <v>232.93608872316099</v>
      </c>
      <c r="K40">
        <v>50.847247042914098</v>
      </c>
      <c r="L40">
        <v>0.38506284338250801</v>
      </c>
      <c r="M40">
        <v>20125.678065681099</v>
      </c>
      <c r="N40">
        <f t="shared" si="0"/>
        <v>4393.202144507778</v>
      </c>
      <c r="O40">
        <v>33269.429668248697</v>
      </c>
      <c r="P40">
        <f t="shared" si="1"/>
        <v>5860.6653961696538</v>
      </c>
      <c r="Q40">
        <f t="shared" si="2"/>
        <v>1.635116563398249</v>
      </c>
      <c r="R40">
        <f t="shared" si="3"/>
        <v>9582.8710618119621</v>
      </c>
      <c r="T40">
        <f t="shared" si="4"/>
        <v>-7.0683333333333298</v>
      </c>
      <c r="U40">
        <f t="shared" si="5"/>
        <v>5.3735644820053968E-2</v>
      </c>
      <c r="V40">
        <f t="shared" si="6"/>
        <v>-0.37982144946974794</v>
      </c>
      <c r="W40">
        <f>F40-V40</f>
        <v>-3.581442212711742</v>
      </c>
      <c r="Y40">
        <f>(1-H40)*U40</f>
        <v>-0.35878441588800253</v>
      </c>
      <c r="Z40">
        <f>C40-Y40</f>
        <v>-3.7493591592026569</v>
      </c>
    </row>
    <row r="41" spans="1:26" x14ac:dyDescent="0.75">
      <c r="A41" s="1">
        <v>45307</v>
      </c>
      <c r="B41">
        <v>4.6561604191793803E-2</v>
      </c>
      <c r="C41">
        <v>-2.2376470875465801</v>
      </c>
      <c r="D41">
        <v>1.6094595206428299</v>
      </c>
      <c r="E41" t="s">
        <v>19</v>
      </c>
      <c r="F41">
        <v>-2.1910854833547799</v>
      </c>
      <c r="G41">
        <v>6.9620833333333296</v>
      </c>
      <c r="H41">
        <v>6.9321052631578901</v>
      </c>
      <c r="I41">
        <v>0.40527096872375601</v>
      </c>
      <c r="J41">
        <v>255.44308654606701</v>
      </c>
      <c r="K41">
        <v>52.222790933111099</v>
      </c>
      <c r="L41">
        <v>0.40288519321169902</v>
      </c>
      <c r="M41">
        <v>22070.282677580199</v>
      </c>
      <c r="N41">
        <f t="shared" si="0"/>
        <v>4512.0491366207989</v>
      </c>
      <c r="O41">
        <v>34809.2806934908</v>
      </c>
      <c r="P41">
        <f t="shared" si="1"/>
        <v>15139.55223658648</v>
      </c>
      <c r="Q41">
        <f t="shared" si="2"/>
        <v>1.5644704053924701</v>
      </c>
      <c r="R41">
        <f t="shared" si="3"/>
        <v>23685.381425032927</v>
      </c>
      <c r="T41">
        <f t="shared" si="4"/>
        <v>-6.2920833333333297</v>
      </c>
      <c r="U41">
        <f t="shared" si="5"/>
        <v>5.7681489161680706E-2</v>
      </c>
      <c r="V41">
        <f t="shared" si="6"/>
        <v>-0.36293673659605824</v>
      </c>
      <c r="W41">
        <f>F41-V41</f>
        <v>-1.8281487467587216</v>
      </c>
      <c r="Y41">
        <f>(1-H41)*U41</f>
        <v>-0.3421726654427909</v>
      </c>
      <c r="Z41">
        <f>C41-Y41</f>
        <v>-1.8954744221037894</v>
      </c>
    </row>
    <row r="42" spans="1:26" x14ac:dyDescent="0.75">
      <c r="A42" s="1">
        <v>45308</v>
      </c>
      <c r="B42">
        <v>8.5938664475980905E-2</v>
      </c>
      <c r="C42">
        <v>-2.9346668725680201</v>
      </c>
      <c r="D42">
        <v>3.22201432127543</v>
      </c>
      <c r="E42" t="s">
        <v>19</v>
      </c>
      <c r="F42">
        <v>-2.84872820809204</v>
      </c>
      <c r="G42">
        <v>7.5758333333333301</v>
      </c>
      <c r="H42">
        <v>7.5094736842105299</v>
      </c>
      <c r="I42">
        <v>0.43887785411934399</v>
      </c>
      <c r="J42">
        <v>276.858200771459</v>
      </c>
      <c r="K42">
        <v>53.759866753518303</v>
      </c>
      <c r="L42">
        <v>0.42007988275789798</v>
      </c>
      <c r="M42">
        <v>23920.548546654099</v>
      </c>
      <c r="N42">
        <f t="shared" si="0"/>
        <v>4644.852487503982</v>
      </c>
      <c r="O42">
        <v>36294.901870282403</v>
      </c>
      <c r="P42">
        <f t="shared" si="1"/>
        <v>7885.2633091775269</v>
      </c>
      <c r="Q42">
        <f t="shared" si="2"/>
        <v>1.5016953685499472</v>
      </c>
      <c r="R42">
        <f t="shared" si="3"/>
        <v>11841.263391188722</v>
      </c>
      <c r="T42">
        <f t="shared" si="4"/>
        <v>-6.9058333333333302</v>
      </c>
      <c r="U42">
        <f t="shared" si="5"/>
        <v>6.1861447864610522E-2</v>
      </c>
      <c r="V42">
        <f t="shared" si="6"/>
        <v>-0.42720484871168929</v>
      </c>
      <c r="W42">
        <f>F42-V42</f>
        <v>-2.4215233593803509</v>
      </c>
      <c r="Y42">
        <f>(1-H42)*U42</f>
        <v>-0.40268546694184387</v>
      </c>
      <c r="Z42">
        <f>C42-Y42</f>
        <v>-2.5319814056261762</v>
      </c>
    </row>
    <row r="43" spans="1:26" x14ac:dyDescent="0.75">
      <c r="A43" s="1">
        <v>45309</v>
      </c>
      <c r="B43">
        <v>0.30913211200118801</v>
      </c>
      <c r="C43">
        <v>-12.8276339031178</v>
      </c>
      <c r="D43">
        <v>15.216643636948</v>
      </c>
      <c r="E43" t="s">
        <v>19</v>
      </c>
      <c r="F43">
        <v>-12.5185017911166</v>
      </c>
      <c r="G43">
        <v>8.3550000000000004</v>
      </c>
      <c r="H43">
        <v>8.3015789473684194</v>
      </c>
      <c r="I43">
        <v>0.38638324155436199</v>
      </c>
      <c r="J43">
        <v>243.394106924721</v>
      </c>
      <c r="K43">
        <v>54.837222852614197</v>
      </c>
      <c r="L43">
        <v>0.39368784401175899</v>
      </c>
      <c r="M43">
        <v>21029.250838295899</v>
      </c>
      <c r="N43">
        <f t="shared" si="0"/>
        <v>4737.9360544658666</v>
      </c>
      <c r="O43">
        <v>34014.629722616002</v>
      </c>
      <c r="P43">
        <f t="shared" si="1"/>
        <v>1564.7498472013119</v>
      </c>
      <c r="Q43">
        <f t="shared" si="2"/>
        <v>1.6000729082722749</v>
      </c>
      <c r="R43">
        <f t="shared" si="3"/>
        <v>2503.713838730001</v>
      </c>
      <c r="T43">
        <f t="shared" si="4"/>
        <v>-7.6850000000000005</v>
      </c>
      <c r="U43">
        <f t="shared" si="5"/>
        <v>5.9221502094948794E-2</v>
      </c>
      <c r="V43">
        <f t="shared" si="6"/>
        <v>-0.45511724359968153</v>
      </c>
      <c r="W43">
        <f>F43-V43</f>
        <v>-12.063384547516918</v>
      </c>
      <c r="Y43">
        <f>(1-H43)*U43</f>
        <v>-0.43241047292801288</v>
      </c>
      <c r="Z43">
        <f>C43-Y43</f>
        <v>-12.395223430189787</v>
      </c>
    </row>
    <row r="44" spans="1:26" x14ac:dyDescent="0.75">
      <c r="A44" s="1">
        <v>45310</v>
      </c>
      <c r="B44">
        <v>9.8121409845349797E-2</v>
      </c>
      <c r="C44">
        <v>-5.7044625110321601</v>
      </c>
      <c r="D44">
        <v>6.1687177533267503</v>
      </c>
      <c r="E44" t="s">
        <v>19</v>
      </c>
      <c r="F44">
        <v>-5.6063411011868096</v>
      </c>
      <c r="G44">
        <v>7.9108333333333301</v>
      </c>
      <c r="H44">
        <v>7.8836842105263196</v>
      </c>
      <c r="I44">
        <v>0.36413423872302297</v>
      </c>
      <c r="J44">
        <v>229.226242764706</v>
      </c>
      <c r="K44">
        <v>55.254928948622101</v>
      </c>
      <c r="L44">
        <v>0.38196159552100101</v>
      </c>
      <c r="M44">
        <v>19805.147374870601</v>
      </c>
      <c r="N44">
        <f t="shared" si="0"/>
        <v>4774.0258611609497</v>
      </c>
      <c r="O44">
        <v>33001.481853014498</v>
      </c>
      <c r="P44">
        <f t="shared" si="1"/>
        <v>3744.8685806141648</v>
      </c>
      <c r="Q44">
        <f t="shared" si="2"/>
        <v>1.648098334792768</v>
      </c>
      <c r="R44">
        <f t="shared" si="3"/>
        <v>6171.9116717279621</v>
      </c>
      <c r="T44">
        <f t="shared" si="4"/>
        <v>-7.2408333333333301</v>
      </c>
      <c r="U44">
        <f t="shared" si="5"/>
        <v>5.7933750194113703E-2</v>
      </c>
      <c r="V44">
        <f t="shared" si="6"/>
        <v>-0.41948862953054478</v>
      </c>
      <c r="W44">
        <f>F44-V44</f>
        <v>-5.1868524716562652</v>
      </c>
      <c r="Y44">
        <f>(1-H44)*U44</f>
        <v>-0.39879764146779662</v>
      </c>
      <c r="Z44">
        <f>C44-Y44</f>
        <v>-5.3056648695643638</v>
      </c>
    </row>
    <row r="45" spans="1:26" x14ac:dyDescent="0.75">
      <c r="A45" s="1">
        <v>45311</v>
      </c>
      <c r="B45">
        <v>7.6976082207072305E-2</v>
      </c>
      <c r="C45">
        <v>-3.0551621775108102</v>
      </c>
      <c r="D45">
        <v>4.4003887740728</v>
      </c>
      <c r="E45" t="s">
        <v>19</v>
      </c>
      <c r="F45">
        <v>-2.97818609530374</v>
      </c>
      <c r="G45">
        <v>8.0683333333333298</v>
      </c>
      <c r="H45">
        <v>8.0252631578947398</v>
      </c>
      <c r="I45">
        <v>0.342622074486573</v>
      </c>
      <c r="J45">
        <v>215.53788601305001</v>
      </c>
      <c r="K45">
        <v>55.5043131050681</v>
      </c>
      <c r="L45">
        <v>0.37024428317047298</v>
      </c>
      <c r="M45">
        <v>18622.4733515275</v>
      </c>
      <c r="N45">
        <f t="shared" si="0"/>
        <v>4795.5726522778841</v>
      </c>
      <c r="O45">
        <v>31989.1060659289</v>
      </c>
      <c r="P45">
        <f t="shared" si="1"/>
        <v>5088.7263366561283</v>
      </c>
      <c r="Q45">
        <f t="shared" si="2"/>
        <v>1.6991038238303358</v>
      </c>
      <c r="R45">
        <f t="shared" si="3"/>
        <v>8646.2743770385641</v>
      </c>
      <c r="T45">
        <f t="shared" si="4"/>
        <v>-7.3983333333333299</v>
      </c>
      <c r="U45">
        <f t="shared" si="5"/>
        <v>5.6448259194274486E-2</v>
      </c>
      <c r="V45">
        <f t="shared" si="6"/>
        <v>-0.41762303760564057</v>
      </c>
      <c r="W45">
        <f>F45-V45</f>
        <v>-2.5605630576980993</v>
      </c>
      <c r="Y45">
        <f>(1-H45)*U45</f>
        <v>-0.39656387564482953</v>
      </c>
      <c r="Z45">
        <f>C45-Y45</f>
        <v>-2.6585983018659807</v>
      </c>
    </row>
    <row r="46" spans="1:26" x14ac:dyDescent="0.75">
      <c r="A46" s="1">
        <v>45312</v>
      </c>
      <c r="B46">
        <v>0.12992937490668399</v>
      </c>
      <c r="C46">
        <v>-5.2425776359649001</v>
      </c>
      <c r="D46">
        <v>9.8451919189181094</v>
      </c>
      <c r="E46" t="s">
        <v>19</v>
      </c>
      <c r="F46">
        <v>-5.1126482610582196</v>
      </c>
      <c r="G46">
        <v>8.9879166666666706</v>
      </c>
      <c r="H46">
        <v>8.9289473684210492</v>
      </c>
      <c r="I46">
        <v>0.31999144210409602</v>
      </c>
      <c r="J46">
        <v>201.14765975144201</v>
      </c>
      <c r="K46">
        <v>55.576331680945998</v>
      </c>
      <c r="L46">
        <v>0.35754365902540902</v>
      </c>
      <c r="M46">
        <v>17379.1578025245</v>
      </c>
      <c r="N46">
        <f t="shared" si="0"/>
        <v>4801.795057233735</v>
      </c>
      <c r="O46">
        <v>30891.772139795401</v>
      </c>
      <c r="P46">
        <f t="shared" si="1"/>
        <v>2196.4265070652959</v>
      </c>
      <c r="Q46">
        <f t="shared" si="2"/>
        <v>1.7581160562050451</v>
      </c>
      <c r="R46">
        <f t="shared" si="3"/>
        <v>3861.5727083458605</v>
      </c>
      <c r="T46">
        <f t="shared" si="4"/>
        <v>-8.3179166666666706</v>
      </c>
      <c r="U46">
        <f t="shared" si="5"/>
        <v>5.4624324034655343E-2</v>
      </c>
      <c r="V46">
        <f t="shared" si="6"/>
        <v>-0.45436057529326046</v>
      </c>
      <c r="W46">
        <f>F46-V46</f>
        <v>-4.6582876857649591</v>
      </c>
      <c r="Y46">
        <f>(1-H46)*U46</f>
        <v>-0.43311339030635915</v>
      </c>
      <c r="Z46">
        <f>C46-Y46</f>
        <v>-4.8094642456585408</v>
      </c>
    </row>
    <row r="47" spans="1:26" x14ac:dyDescent="0.75">
      <c r="A47" s="1">
        <v>45313</v>
      </c>
      <c r="B47">
        <v>0.13411346540164301</v>
      </c>
      <c r="C47">
        <v>-2.1416332927556101</v>
      </c>
      <c r="D47">
        <v>3.0704325419049199</v>
      </c>
      <c r="E47" t="s">
        <v>19</v>
      </c>
      <c r="F47">
        <v>-2.0075198273539598</v>
      </c>
      <c r="G47">
        <v>9.0408333333333299</v>
      </c>
      <c r="H47">
        <v>8.9783333333333299</v>
      </c>
      <c r="I47">
        <v>0.30558639435460699</v>
      </c>
      <c r="J47">
        <v>191.99342135355101</v>
      </c>
      <c r="K47">
        <v>55.463012504610298</v>
      </c>
      <c r="L47">
        <v>0.34924218705385002</v>
      </c>
      <c r="M47">
        <v>16588.231604946799</v>
      </c>
      <c r="N47">
        <f t="shared" si="0"/>
        <v>4792.0042803983297</v>
      </c>
      <c r="O47">
        <v>30174.524961452698</v>
      </c>
      <c r="P47">
        <f t="shared" si="1"/>
        <v>6879.215610420978</v>
      </c>
      <c r="Q47">
        <f t="shared" si="2"/>
        <v>1.7989770974619783</v>
      </c>
      <c r="R47">
        <f t="shared" si="3"/>
        <v>12375.551331650262</v>
      </c>
      <c r="T47">
        <f t="shared" si="4"/>
        <v>-8.37083333333333</v>
      </c>
      <c r="U47">
        <f t="shared" si="5"/>
        <v>5.3274766945715493E-2</v>
      </c>
      <c r="V47">
        <f t="shared" si="6"/>
        <v>-0.44595419497475991</v>
      </c>
      <c r="W47">
        <f>F47-V47</f>
        <v>-1.5615656323792</v>
      </c>
      <c r="Y47">
        <f>(1-H47)*U47</f>
        <v>-0.42504384894856662</v>
      </c>
      <c r="Z47">
        <f>C47-Y47</f>
        <v>-1.7165894438070435</v>
      </c>
    </row>
    <row r="48" spans="1:26" x14ac:dyDescent="0.75">
      <c r="A48" s="1">
        <v>45314</v>
      </c>
      <c r="B48">
        <v>0.130690859920538</v>
      </c>
      <c r="C48">
        <v>-3.4476045794291998</v>
      </c>
      <c r="D48">
        <v>4.1761190672810597</v>
      </c>
      <c r="E48" t="s">
        <v>19</v>
      </c>
      <c r="F48">
        <v>-3.3169137195086602</v>
      </c>
      <c r="G48">
        <v>7.9670833333333304</v>
      </c>
      <c r="H48">
        <v>7.9516666666666698</v>
      </c>
      <c r="I48">
        <v>0.29740484390059702</v>
      </c>
      <c r="J48">
        <v>186.79639687563201</v>
      </c>
      <c r="K48">
        <v>55.155547557494799</v>
      </c>
      <c r="L48">
        <v>0.34443705352322401</v>
      </c>
      <c r="M48">
        <v>16139.2086900546</v>
      </c>
      <c r="N48">
        <f t="shared" si="0"/>
        <v>4765.4393089675514</v>
      </c>
      <c r="O48">
        <v>29759.361424406499</v>
      </c>
      <c r="P48">
        <f t="shared" si="1"/>
        <v>4988.2564796332117</v>
      </c>
      <c r="Q48">
        <f t="shared" si="2"/>
        <v>1.8235202553121816</v>
      </c>
      <c r="R48">
        <f t="shared" si="3"/>
        <v>9096.1867293033993</v>
      </c>
      <c r="T48">
        <f t="shared" si="4"/>
        <v>-7.2970833333333305</v>
      </c>
      <c r="U48">
        <f t="shared" si="5"/>
        <v>5.2266370994071817E-2</v>
      </c>
      <c r="V48">
        <f t="shared" si="6"/>
        <v>-0.38139206467465808</v>
      </c>
      <c r="W48">
        <f>F48-V48</f>
        <v>-2.9355216548340022</v>
      </c>
      <c r="Y48">
        <f>(1-H48)*U48</f>
        <v>-0.36333838902712273</v>
      </c>
      <c r="Z48">
        <f>C48-Y48</f>
        <v>-3.0842661904020772</v>
      </c>
    </row>
    <row r="49" spans="1:26" x14ac:dyDescent="0.75">
      <c r="A49" s="1">
        <v>45315</v>
      </c>
      <c r="B49">
        <v>0.11115981765149099</v>
      </c>
      <c r="C49">
        <v>-3.8000569545853198</v>
      </c>
      <c r="D49">
        <v>3.9026133835347299</v>
      </c>
      <c r="E49" t="s">
        <v>19</v>
      </c>
      <c r="F49">
        <v>-3.6888971369338299</v>
      </c>
      <c r="G49">
        <v>7.0637499999999998</v>
      </c>
      <c r="H49">
        <v>7.0383333333333304</v>
      </c>
      <c r="I49">
        <v>0.29269318675000999</v>
      </c>
      <c r="J49">
        <v>183.80428962956699</v>
      </c>
      <c r="K49">
        <v>54.6478351569164</v>
      </c>
      <c r="L49">
        <v>0.34163740428078399</v>
      </c>
      <c r="M49">
        <v>15880.6906239946</v>
      </c>
      <c r="N49">
        <f t="shared" si="0"/>
        <v>4721.572957557577</v>
      </c>
      <c r="O49">
        <v>29517.471729859801</v>
      </c>
      <c r="P49">
        <f t="shared" si="1"/>
        <v>5294.4599375578873</v>
      </c>
      <c r="Q49">
        <f t="shared" si="2"/>
        <v>1.8381358954588665</v>
      </c>
      <c r="R49">
        <f t="shared" si="3"/>
        <v>9731.9368582940606</v>
      </c>
      <c r="T49">
        <f t="shared" si="4"/>
        <v>-6.3937499999999998</v>
      </c>
      <c r="U49">
        <f t="shared" si="5"/>
        <v>5.137349169038341E-2</v>
      </c>
      <c r="V49">
        <f t="shared" si="6"/>
        <v>-0.32846926249538894</v>
      </c>
      <c r="W49">
        <f>F49-V49</f>
        <v>-3.3604278744384408</v>
      </c>
      <c r="Y49">
        <f>(1-H49)*U49</f>
        <v>-0.310210267323765</v>
      </c>
      <c r="Z49">
        <f>C49-Y49</f>
        <v>-3.4898466872615548</v>
      </c>
    </row>
    <row r="50" spans="1:26" x14ac:dyDescent="0.75">
      <c r="A50" s="1">
        <v>45316</v>
      </c>
      <c r="B50">
        <v>9.36897785714806E-2</v>
      </c>
      <c r="C50">
        <v>-11.3254753122336</v>
      </c>
      <c r="D50">
        <v>11.7994379770874</v>
      </c>
      <c r="E50" t="s">
        <v>19</v>
      </c>
      <c r="F50">
        <v>-11.2317855336621</v>
      </c>
      <c r="G50">
        <v>6.3429166666666701</v>
      </c>
      <c r="H50">
        <v>6.31111111111111</v>
      </c>
      <c r="I50">
        <v>0.28504298205566098</v>
      </c>
      <c r="J50">
        <v>178.94732327630399</v>
      </c>
      <c r="K50">
        <v>53.936183605528903</v>
      </c>
      <c r="L50">
        <v>0.33704026501636902</v>
      </c>
      <c r="M50">
        <v>15461.0487310726</v>
      </c>
      <c r="N50">
        <f t="shared" si="0"/>
        <v>4660.0862635176973</v>
      </c>
      <c r="O50">
        <v>29120.2788974143</v>
      </c>
      <c r="P50">
        <f t="shared" si="1"/>
        <v>1727.5564537711725</v>
      </c>
      <c r="Q50">
        <f t="shared" si="2"/>
        <v>1.8626577599938892</v>
      </c>
      <c r="R50">
        <f t="shared" si="3"/>
        <v>3217.8464344443992</v>
      </c>
      <c r="T50">
        <f t="shared" si="4"/>
        <v>-5.6729166666666702</v>
      </c>
      <c r="U50">
        <f t="shared" si="5"/>
        <v>5.0036956478070195E-2</v>
      </c>
      <c r="V50">
        <f t="shared" si="6"/>
        <v>-0.28385548435371921</v>
      </c>
      <c r="W50">
        <f>F50-V50</f>
        <v>-10.947930049308381</v>
      </c>
      <c r="Y50">
        <f>(1-H50)*U50</f>
        <v>-0.26575183551686166</v>
      </c>
      <c r="Z50">
        <f>C50-Y50</f>
        <v>-11.059723476716739</v>
      </c>
    </row>
    <row r="51" spans="1:26" x14ac:dyDescent="0.75">
      <c r="A51" s="1">
        <v>45317</v>
      </c>
      <c r="B51">
        <v>2.6057998388427098E-2</v>
      </c>
      <c r="C51">
        <v>-4.4463339317555901</v>
      </c>
      <c r="D51">
        <v>0.968200616796975</v>
      </c>
      <c r="E51" t="s">
        <v>19</v>
      </c>
      <c r="F51">
        <v>-4.4202759333671704</v>
      </c>
      <c r="G51">
        <v>6.0233333333333299</v>
      </c>
      <c r="H51">
        <v>6.0433333333333303</v>
      </c>
      <c r="I51">
        <v>0.77674330257751401</v>
      </c>
      <c r="J51">
        <v>493.32923874175202</v>
      </c>
      <c r="K51">
        <v>53.017243311478303</v>
      </c>
      <c r="L51">
        <v>0.55669435318024396</v>
      </c>
      <c r="M51">
        <v>42623.646227287398</v>
      </c>
      <c r="N51">
        <f t="shared" si="0"/>
        <v>4580.6898221117253</v>
      </c>
      <c r="O51">
        <v>48098.392114773</v>
      </c>
      <c r="P51">
        <f t="shared" si="1"/>
        <v>34774.688113425596</v>
      </c>
      <c r="Q51">
        <f t="shared" si="2"/>
        <v>1.1408867142301871</v>
      </c>
      <c r="R51">
        <f t="shared" si="3"/>
        <v>39673.979660105673</v>
      </c>
      <c r="T51">
        <f t="shared" si="4"/>
        <v>-5.3533333333333299</v>
      </c>
      <c r="U51">
        <f t="shared" si="5"/>
        <v>8.0300520024944713E-2</v>
      </c>
      <c r="V51">
        <f t="shared" si="6"/>
        <v>-0.4298754505335371</v>
      </c>
      <c r="W51">
        <f>F51-V51</f>
        <v>-3.9904004828336332</v>
      </c>
      <c r="Y51">
        <f>(1-H51)*U51</f>
        <v>-0.40498228932580427</v>
      </c>
      <c r="Z51">
        <f>C51-Y51</f>
        <v>-4.0413516424297855</v>
      </c>
    </row>
    <row r="52" spans="1:26" x14ac:dyDescent="0.75">
      <c r="A52" s="1">
        <v>45318</v>
      </c>
      <c r="B52">
        <v>9.2871325408423397E-2</v>
      </c>
      <c r="C52">
        <v>-12.2447153429125</v>
      </c>
      <c r="D52">
        <v>4.2444979669896696</v>
      </c>
      <c r="E52" t="s">
        <v>19</v>
      </c>
      <c r="F52">
        <v>-12.1518440175041</v>
      </c>
      <c r="G52">
        <v>5.3358333333333299</v>
      </c>
      <c r="H52">
        <v>5.2794444444444402</v>
      </c>
      <c r="I52">
        <v>0.69167514001694597</v>
      </c>
      <c r="J52">
        <v>438.55412940920399</v>
      </c>
      <c r="K52">
        <v>52.226026672926899</v>
      </c>
      <c r="L52">
        <v>0.529978652670404</v>
      </c>
      <c r="M52">
        <v>37891.076780955198</v>
      </c>
      <c r="N52">
        <f t="shared" si="0"/>
        <v>4512.3287045408842</v>
      </c>
      <c r="O52">
        <v>45790.155590722898</v>
      </c>
      <c r="P52">
        <f t="shared" si="1"/>
        <v>7551.6843600325928</v>
      </c>
      <c r="Q52">
        <f t="shared" si="2"/>
        <v>1.196362140891247</v>
      </c>
      <c r="R52">
        <f t="shared" si="3"/>
        <v>9034.5492683035391</v>
      </c>
      <c r="T52">
        <f t="shared" si="4"/>
        <v>-4.6658333333333299</v>
      </c>
      <c r="U52">
        <f t="shared" si="5"/>
        <v>7.5434160783111395E-2</v>
      </c>
      <c r="V52">
        <f t="shared" si="6"/>
        <v>-0.35196322185386697</v>
      </c>
      <c r="W52">
        <f>F52-V52</f>
        <v>-11.799880795650234</v>
      </c>
      <c r="Y52">
        <f>(1-H52)*U52</f>
        <v>-0.32281630028461472</v>
      </c>
      <c r="Z52">
        <f>C52-Y52</f>
        <v>-11.921899042627885</v>
      </c>
    </row>
    <row r="53" spans="1:26" x14ac:dyDescent="0.75">
      <c r="A53" s="1">
        <v>45319</v>
      </c>
      <c r="B53">
        <v>5.4663039493558198E-2</v>
      </c>
      <c r="C53">
        <v>-1.9188026891226999</v>
      </c>
      <c r="D53">
        <v>0.99248592829064097</v>
      </c>
      <c r="E53" t="s">
        <v>19</v>
      </c>
      <c r="F53">
        <v>-1.86413964962914</v>
      </c>
      <c r="G53">
        <v>5.3108333333333304</v>
      </c>
      <c r="H53">
        <v>5.2844444444444401</v>
      </c>
      <c r="I53">
        <v>0.59037304347335895</v>
      </c>
      <c r="J53">
        <v>373.66078865444098</v>
      </c>
      <c r="K53">
        <v>51.771247263123897</v>
      </c>
      <c r="L53">
        <v>0.48883064617525102</v>
      </c>
      <c r="M53">
        <v>32284.292139743698</v>
      </c>
      <c r="N53">
        <f t="shared" si="0"/>
        <v>4473.0357635339051</v>
      </c>
      <c r="O53">
        <v>42234.967829541703</v>
      </c>
      <c r="P53">
        <f t="shared" si="1"/>
        <v>29788.308970383194</v>
      </c>
      <c r="Q53">
        <f t="shared" si="2"/>
        <v>1.2947698609569664</v>
      </c>
      <c r="R53">
        <f t="shared" si="3"/>
        <v>38569.004663726206</v>
      </c>
      <c r="T53">
        <f t="shared" si="4"/>
        <v>-4.6408333333333305</v>
      </c>
      <c r="U53">
        <f t="shared" si="5"/>
        <v>6.9093912337871044E-2</v>
      </c>
      <c r="V53">
        <f t="shared" si="6"/>
        <v>-0.32065333150800301</v>
      </c>
      <c r="W53">
        <f>F53-V53</f>
        <v>-1.5434863181211371</v>
      </c>
      <c r="Y53">
        <f>(1-H53)*U53</f>
        <v>-0.29602902886092275</v>
      </c>
      <c r="Z53">
        <f>C53-Y53</f>
        <v>-1.6227736602617773</v>
      </c>
    </row>
    <row r="54" spans="1:26" x14ac:dyDescent="0.75">
      <c r="A54" s="1">
        <v>45320</v>
      </c>
      <c r="B54">
        <v>5.8891278698093401E-2</v>
      </c>
      <c r="C54">
        <v>-4.5167074996086196</v>
      </c>
      <c r="D54">
        <v>2.9452398236279902</v>
      </c>
      <c r="E54" t="s">
        <v>19</v>
      </c>
      <c r="F54">
        <v>-4.4578162209105203</v>
      </c>
      <c r="G54">
        <v>6.2975000000000003</v>
      </c>
      <c r="H54">
        <v>6.2216666666666702</v>
      </c>
      <c r="I54">
        <v>0.50951161281110402</v>
      </c>
      <c r="J54">
        <v>321.95112242730897</v>
      </c>
      <c r="K54">
        <v>51.312403431098502</v>
      </c>
      <c r="L54">
        <v>0.45340428787342502</v>
      </c>
      <c r="M54">
        <v>27816.576977719498</v>
      </c>
      <c r="N54">
        <f t="shared" si="0"/>
        <v>4433.3916564469109</v>
      </c>
      <c r="O54">
        <v>39174.130472263903</v>
      </c>
      <c r="P54">
        <f t="shared" si="1"/>
        <v>9310.5801132371071</v>
      </c>
      <c r="Q54">
        <f t="shared" si="2"/>
        <v>1.3936388151376267</v>
      </c>
      <c r="R54">
        <f t="shared" si="3"/>
        <v>12975.585837255712</v>
      </c>
      <c r="T54">
        <f t="shared" si="4"/>
        <v>-5.6275000000000004</v>
      </c>
      <c r="U54">
        <f t="shared" si="5"/>
        <v>6.3623251710438311E-2</v>
      </c>
      <c r="V54">
        <f t="shared" si="6"/>
        <v>-0.35803984900049163</v>
      </c>
      <c r="W54">
        <f>F54-V54</f>
        <v>-4.0997763719100284</v>
      </c>
      <c r="Y54">
        <f>(1-H54)*U54</f>
        <v>-0.33221941268133892</v>
      </c>
      <c r="Z54">
        <f>C54-Y54</f>
        <v>-4.1844880869272805</v>
      </c>
    </row>
    <row r="55" spans="1:26" x14ac:dyDescent="0.75">
      <c r="A55" s="1">
        <v>45321</v>
      </c>
      <c r="B55">
        <v>0.125796389179855</v>
      </c>
      <c r="C55">
        <v>-10.3029745597628</v>
      </c>
      <c r="D55">
        <v>8.1126066225243694</v>
      </c>
      <c r="E55" t="s">
        <v>19</v>
      </c>
      <c r="F55">
        <v>-10.177178170583</v>
      </c>
      <c r="G55">
        <v>6.9979166666666703</v>
      </c>
      <c r="H55">
        <v>6.9138888888888896</v>
      </c>
      <c r="I55">
        <v>0.44773459531767601</v>
      </c>
      <c r="J55">
        <v>282.50647920929998</v>
      </c>
      <c r="K55">
        <v>50.853532180836098</v>
      </c>
      <c r="L55">
        <v>0.424452601980287</v>
      </c>
      <c r="M55">
        <v>24408.5598036835</v>
      </c>
      <c r="N55">
        <f t="shared" si="0"/>
        <v>4393.7451804242392</v>
      </c>
      <c r="O55">
        <v>36672.704811096803</v>
      </c>
      <c r="P55">
        <f t="shared" si="1"/>
        <v>3164.321230181853</v>
      </c>
      <c r="Q55">
        <f t="shared" si="2"/>
        <v>1.486546709537508</v>
      </c>
      <c r="R55">
        <f t="shared" si="3"/>
        <v>4703.9113126465127</v>
      </c>
      <c r="T55">
        <f t="shared" si="4"/>
        <v>-6.3279166666666704</v>
      </c>
      <c r="U55">
        <f t="shared" si="5"/>
        <v>5.9113449341813347E-2</v>
      </c>
      <c r="V55">
        <f t="shared" si="6"/>
        <v>-0.37406498131421662</v>
      </c>
      <c r="W55">
        <f>F55-V55</f>
        <v>-9.8031131892687835</v>
      </c>
      <c r="Y55">
        <f>(1-H55)*U55</f>
        <v>-0.34959037124644621</v>
      </c>
      <c r="Z55">
        <f>C55-Y55</f>
        <v>-9.9533841885163543</v>
      </c>
    </row>
    <row r="56" spans="1:26" x14ac:dyDescent="0.75">
      <c r="A56" s="1">
        <v>45322</v>
      </c>
      <c r="B56">
        <v>9.7771554608064595E-2</v>
      </c>
      <c r="C56">
        <v>-8.4256677923886301</v>
      </c>
      <c r="D56">
        <v>7.5950983113562298</v>
      </c>
      <c r="E56" t="s">
        <v>19</v>
      </c>
      <c r="F56">
        <v>-8.3278962377805694</v>
      </c>
      <c r="G56">
        <v>7.1883333333333299</v>
      </c>
      <c r="H56">
        <v>7.12777777777778</v>
      </c>
      <c r="I56">
        <v>0.40303403243170099</v>
      </c>
      <c r="J56">
        <v>254.00287563159401</v>
      </c>
      <c r="K56">
        <v>50.398490468247203</v>
      </c>
      <c r="L56">
        <v>0.40225719635017498</v>
      </c>
      <c r="M56">
        <v>21945.848454569699</v>
      </c>
      <c r="N56">
        <f t="shared" si="0"/>
        <v>4354.4295764565586</v>
      </c>
      <c r="O56">
        <v>34755.021764655103</v>
      </c>
      <c r="P56">
        <f t="shared" si="1"/>
        <v>3203.1863496595497</v>
      </c>
      <c r="Q56">
        <f t="shared" si="2"/>
        <v>1.566726146632748</v>
      </c>
      <c r="R56">
        <f t="shared" si="3"/>
        <v>5018.5158065487249</v>
      </c>
      <c r="T56">
        <f t="shared" si="4"/>
        <v>-6.51833333333333</v>
      </c>
      <c r="U56">
        <f t="shared" si="5"/>
        <v>5.5586352290286613E-2</v>
      </c>
      <c r="V56">
        <f t="shared" si="6"/>
        <v>-0.36233037301218474</v>
      </c>
      <c r="W56">
        <f>F56-V56</f>
        <v>-7.9655658647683847</v>
      </c>
      <c r="Y56">
        <f>(1-H56)*U56</f>
        <v>-0.3406208143121453</v>
      </c>
      <c r="Z56">
        <f>C56-Y56</f>
        <v>-8.085046978076484</v>
      </c>
    </row>
    <row r="57" spans="1:26" x14ac:dyDescent="0.75">
      <c r="A57" s="1">
        <v>45323</v>
      </c>
      <c r="B57">
        <v>0.28502318423633</v>
      </c>
      <c r="C57">
        <v>-12.991983253286101</v>
      </c>
      <c r="D57">
        <v>13.714767323907999</v>
      </c>
      <c r="E57" t="s">
        <v>19</v>
      </c>
      <c r="F57">
        <v>-12.706960069049799</v>
      </c>
      <c r="G57">
        <v>7.5279166666666697</v>
      </c>
      <c r="H57">
        <v>7.44166666666667</v>
      </c>
      <c r="I57">
        <v>0.36736634745996699</v>
      </c>
      <c r="J57">
        <v>231.284291588825</v>
      </c>
      <c r="K57">
        <v>49.951145316465499</v>
      </c>
      <c r="L57">
        <v>0.38366905896887699</v>
      </c>
      <c r="M57">
        <v>19982.962793274499</v>
      </c>
      <c r="N57">
        <f t="shared" si="0"/>
        <v>4315.7789553426192</v>
      </c>
      <c r="O57">
        <v>33149.006694910902</v>
      </c>
      <c r="P57">
        <f t="shared" si="1"/>
        <v>1691.9211342351525</v>
      </c>
      <c r="Q57">
        <f t="shared" si="2"/>
        <v>1.6409297547243367</v>
      </c>
      <c r="R57">
        <f t="shared" si="3"/>
        <v>2776.3237318134102</v>
      </c>
      <c r="T57">
        <f t="shared" si="4"/>
        <v>-6.8579166666666698</v>
      </c>
      <c r="U57">
        <f t="shared" si="5"/>
        <v>5.2601629569056556E-2</v>
      </c>
      <c r="V57">
        <f t="shared" si="6"/>
        <v>-0.36073759211545925</v>
      </c>
      <c r="W57">
        <f>F57-V57</f>
        <v>-12.34622247693434</v>
      </c>
      <c r="Y57">
        <f>(1-H57)*U57</f>
        <v>-0.3388421638073395</v>
      </c>
      <c r="Z57">
        <f>C57-Y57</f>
        <v>-12.653141089478762</v>
      </c>
    </row>
    <row r="58" spans="1:26" x14ac:dyDescent="0.75">
      <c r="A58" s="1">
        <v>45324</v>
      </c>
      <c r="B58">
        <v>0.28479785671829499</v>
      </c>
      <c r="C58">
        <v>-12.0088063938729</v>
      </c>
      <c r="D58">
        <v>13.1199130295538</v>
      </c>
      <c r="E58" t="s">
        <v>19</v>
      </c>
      <c r="F58">
        <v>-11.724008537154599</v>
      </c>
      <c r="G58">
        <v>7.5075000000000003</v>
      </c>
      <c r="H58">
        <v>7.4427777777777804</v>
      </c>
      <c r="I58">
        <v>0.34344111021555401</v>
      </c>
      <c r="J58">
        <v>216.05869201516899</v>
      </c>
      <c r="K58">
        <v>49.515581811032398</v>
      </c>
      <c r="L58">
        <v>0.37070375466657601</v>
      </c>
      <c r="M58">
        <v>18667.4709901106</v>
      </c>
      <c r="N58">
        <f t="shared" si="0"/>
        <v>4278.1462684731996</v>
      </c>
      <c r="O58">
        <v>32028.8044031922</v>
      </c>
      <c r="P58">
        <f t="shared" si="1"/>
        <v>1708.86522126565</v>
      </c>
      <c r="Q58">
        <f t="shared" si="2"/>
        <v>1.697041560992357</v>
      </c>
      <c r="R58">
        <f t="shared" si="3"/>
        <v>2900.0153026222083</v>
      </c>
      <c r="T58">
        <f t="shared" si="4"/>
        <v>-6.8375000000000004</v>
      </c>
      <c r="U58">
        <f t="shared" si="5"/>
        <v>5.0418874431944066E-2</v>
      </c>
      <c r="V58">
        <f t="shared" si="6"/>
        <v>-0.34473905392841758</v>
      </c>
      <c r="W58">
        <f>F58-V58</f>
        <v>-11.379269483226182</v>
      </c>
      <c r="Y58">
        <f>(1-H58)*U58</f>
        <v>-0.32483760377069754</v>
      </c>
      <c r="Z58">
        <f>C58-Y58</f>
        <v>-11.683968790102202</v>
      </c>
    </row>
    <row r="59" spans="1:26" x14ac:dyDescent="0.75">
      <c r="A59" s="1">
        <v>45325</v>
      </c>
      <c r="B59">
        <v>0.37401948717752997</v>
      </c>
      <c r="C59">
        <v>-10.063639890384801</v>
      </c>
      <c r="D59">
        <v>11.54523924087</v>
      </c>
      <c r="E59" t="s">
        <v>19</v>
      </c>
      <c r="F59">
        <v>-9.6896204032072806</v>
      </c>
      <c r="G59">
        <v>7.54</v>
      </c>
      <c r="H59">
        <v>7.4522222222222201</v>
      </c>
      <c r="I59">
        <v>0.32401910167456699</v>
      </c>
      <c r="J59">
        <v>203.707809529489</v>
      </c>
      <c r="K59">
        <v>49.095610807928303</v>
      </c>
      <c r="L59">
        <v>0.359840278338594</v>
      </c>
      <c r="M59">
        <v>17600.354743347802</v>
      </c>
      <c r="N59">
        <f t="shared" si="0"/>
        <v>4241.8607738050059</v>
      </c>
      <c r="O59">
        <v>31090.200048454499</v>
      </c>
      <c r="P59">
        <f t="shared" si="1"/>
        <v>1885.031533766482</v>
      </c>
      <c r="Q59">
        <f t="shared" si="2"/>
        <v>1.7471383279709949</v>
      </c>
      <c r="R59">
        <f t="shared" si="3"/>
        <v>3293.4108420773714</v>
      </c>
      <c r="T59">
        <f t="shared" si="4"/>
        <v>-6.87</v>
      </c>
      <c r="U59">
        <f t="shared" si="5"/>
        <v>4.8557812577224024E-2</v>
      </c>
      <c r="V59">
        <f t="shared" si="6"/>
        <v>-0.33359217240552907</v>
      </c>
      <c r="W59">
        <f>F59-V59</f>
        <v>-9.3560282308017513</v>
      </c>
      <c r="Y59">
        <f>(1-H59)*U59</f>
        <v>-0.31330579737326647</v>
      </c>
      <c r="Z59">
        <f>C59-Y59</f>
        <v>-9.750334093011535</v>
      </c>
    </row>
    <row r="60" spans="1:26" x14ac:dyDescent="0.75">
      <c r="A60" s="1">
        <v>45326</v>
      </c>
      <c r="B60">
        <v>0.14290270223079901</v>
      </c>
      <c r="C60">
        <v>-3.49618563087905</v>
      </c>
      <c r="D60">
        <v>3.37753099814964</v>
      </c>
      <c r="E60" t="s">
        <v>19</v>
      </c>
      <c r="F60">
        <v>-3.3532829286482499</v>
      </c>
      <c r="G60">
        <v>7.0704166666666701</v>
      </c>
      <c r="H60">
        <v>7.0311111111111098</v>
      </c>
      <c r="I60">
        <v>0.31899333404727398</v>
      </c>
      <c r="J60">
        <v>200.513270103471</v>
      </c>
      <c r="K60">
        <v>48.694731550740997</v>
      </c>
      <c r="L60">
        <v>0.356972592795812</v>
      </c>
      <c r="M60">
        <v>17324.346536939898</v>
      </c>
      <c r="N60">
        <f t="shared" si="0"/>
        <v>4207.2248059840222</v>
      </c>
      <c r="O60">
        <v>30842.4320175582</v>
      </c>
      <c r="P60">
        <f t="shared" si="1"/>
        <v>6392.1552234808587</v>
      </c>
      <c r="Q60">
        <f t="shared" si="2"/>
        <v>1.7608673399982298</v>
      </c>
      <c r="R60">
        <f t="shared" si="3"/>
        <v>11255.737365226529</v>
      </c>
      <c r="T60">
        <f t="shared" si="4"/>
        <v>-6.4004166666666702</v>
      </c>
      <c r="U60">
        <f t="shared" si="5"/>
        <v>4.7785823615630829E-2</v>
      </c>
      <c r="V60">
        <f t="shared" si="6"/>
        <v>-0.30584918189987731</v>
      </c>
      <c r="W60">
        <f>F60-V60</f>
        <v>-3.0474337467483728</v>
      </c>
      <c r="Y60">
        <f>(1-H60)*U60</f>
        <v>-0.28820161176182674</v>
      </c>
      <c r="Z60">
        <f>C60-Y60</f>
        <v>-3.2079840191172231</v>
      </c>
    </row>
    <row r="61" spans="1:26" x14ac:dyDescent="0.75">
      <c r="A61" s="1">
        <v>45327</v>
      </c>
      <c r="B61">
        <v>0.128391656012074</v>
      </c>
      <c r="C61">
        <v>-8.7474268621887905</v>
      </c>
      <c r="D61">
        <v>9.1265429733227705</v>
      </c>
      <c r="E61" t="s">
        <v>19</v>
      </c>
      <c r="F61">
        <v>-8.6190352061767204</v>
      </c>
      <c r="G61">
        <v>6.9637500000000001</v>
      </c>
      <c r="H61">
        <v>6.91444444444444</v>
      </c>
      <c r="I61">
        <v>0.33103814980357199</v>
      </c>
      <c r="J61">
        <v>208.170162477172</v>
      </c>
      <c r="K61">
        <v>48.316268194775397</v>
      </c>
      <c r="L61">
        <v>0.36381312638671798</v>
      </c>
      <c r="M61">
        <v>17985.902038027602</v>
      </c>
      <c r="N61">
        <f t="shared" si="0"/>
        <v>4174.525572028595</v>
      </c>
      <c r="O61">
        <v>31433.454119812399</v>
      </c>
      <c r="P61">
        <f t="shared" si="1"/>
        <v>2410.9257961295421</v>
      </c>
      <c r="Q61">
        <f t="shared" si="2"/>
        <v>1.7284708940067481</v>
      </c>
      <c r="R61">
        <f t="shared" si="3"/>
        <v>4167.2150662199601</v>
      </c>
      <c r="T61">
        <f t="shared" si="4"/>
        <v>-6.2937500000000002</v>
      </c>
      <c r="U61">
        <f t="shared" si="5"/>
        <v>4.8303105207073246E-2</v>
      </c>
      <c r="V61">
        <f t="shared" si="6"/>
        <v>-0.30400766839701726</v>
      </c>
      <c r="W61">
        <f>F61-V61</f>
        <v>-8.3150275377797023</v>
      </c>
      <c r="Y61">
        <f>(1-H61)*U61</f>
        <v>-0.28568603224138966</v>
      </c>
      <c r="Z61">
        <f>C61-Y61</f>
        <v>-8.4617408299474004</v>
      </c>
    </row>
    <row r="62" spans="1:26" x14ac:dyDescent="0.75">
      <c r="A62" s="1">
        <v>45328</v>
      </c>
      <c r="B62">
        <v>0.12172695320834399</v>
      </c>
      <c r="C62">
        <v>-7.2936769296499202</v>
      </c>
      <c r="D62">
        <v>8.6564555412151005</v>
      </c>
      <c r="E62" t="s">
        <v>19</v>
      </c>
      <c r="F62">
        <v>-7.1719499764415797</v>
      </c>
      <c r="G62">
        <v>7.2395833333333304</v>
      </c>
      <c r="H62">
        <v>7.1849999999999996</v>
      </c>
      <c r="I62">
        <v>0.31293129540804498</v>
      </c>
      <c r="J62">
        <v>196.66054684814401</v>
      </c>
      <c r="K62">
        <v>47.964069007772203</v>
      </c>
      <c r="L62">
        <v>0.35349369925841401</v>
      </c>
      <c r="M62">
        <v>16991.471247679601</v>
      </c>
      <c r="N62">
        <f t="shared" si="0"/>
        <v>4144.0955622715182</v>
      </c>
      <c r="O62">
        <v>30541.855615927001</v>
      </c>
      <c r="P62">
        <f t="shared" si="1"/>
        <v>2469.7520629959713</v>
      </c>
      <c r="Q62">
        <f t="shared" si="2"/>
        <v>1.7778150045674201</v>
      </c>
      <c r="R62">
        <f t="shared" si="3"/>
        <v>4390.7622751555782</v>
      </c>
      <c r="T62">
        <f t="shared" si="4"/>
        <v>-6.5695833333333304</v>
      </c>
      <c r="U62">
        <f t="shared" si="5"/>
        <v>4.662009884745983E-2</v>
      </c>
      <c r="V62">
        <f t="shared" si="6"/>
        <v>-0.30627462438662451</v>
      </c>
      <c r="W62">
        <f>F62-V62</f>
        <v>-6.8656753520549554</v>
      </c>
      <c r="Y62">
        <f>(1-H62)*U62</f>
        <v>-0.28834531137153901</v>
      </c>
      <c r="Z62">
        <f>C62-Y62</f>
        <v>-7.0053316182783814</v>
      </c>
    </row>
    <row r="63" spans="1:26" x14ac:dyDescent="0.75">
      <c r="A63" s="1">
        <v>45329</v>
      </c>
      <c r="B63">
        <v>0.15714162448032601</v>
      </c>
      <c r="C63">
        <v>-7.4401744716145304</v>
      </c>
      <c r="D63">
        <v>10.7873299666461</v>
      </c>
      <c r="E63" t="s">
        <v>19</v>
      </c>
      <c r="F63">
        <v>-7.2830328471341996</v>
      </c>
      <c r="G63">
        <v>7.7283333333333299</v>
      </c>
      <c r="H63">
        <v>7.6533333333333298</v>
      </c>
      <c r="I63">
        <v>0.29414631465626601</v>
      </c>
      <c r="J63">
        <v>184.72742361019499</v>
      </c>
      <c r="K63">
        <v>47.645027867326299</v>
      </c>
      <c r="L63">
        <v>0.342487157408076</v>
      </c>
      <c r="M63">
        <v>15960.449399920801</v>
      </c>
      <c r="N63">
        <f t="shared" si="0"/>
        <v>4116.5304077369929</v>
      </c>
      <c r="O63">
        <v>29590.890400057699</v>
      </c>
      <c r="P63">
        <f t="shared" si="1"/>
        <v>1920.1807438991766</v>
      </c>
      <c r="Q63">
        <f t="shared" si="2"/>
        <v>1.8336805175440509</v>
      </c>
      <c r="R63">
        <f t="shared" si="3"/>
        <v>3520.9980202511629</v>
      </c>
      <c r="T63">
        <f t="shared" si="4"/>
        <v>-7.05833333333333</v>
      </c>
      <c r="U63">
        <f t="shared" si="5"/>
        <v>4.4899101761199801E-2</v>
      </c>
      <c r="V63">
        <f t="shared" si="6"/>
        <v>-0.31691282659780179</v>
      </c>
      <c r="W63">
        <f>F63-V63</f>
        <v>-6.9661200205363976</v>
      </c>
      <c r="Y63">
        <f>(1-H63)*U63</f>
        <v>-0.29872869038451583</v>
      </c>
      <c r="Z63">
        <f>C63-Y63</f>
        <v>-7.1414457812300149</v>
      </c>
    </row>
    <row r="64" spans="1:26" x14ac:dyDescent="0.75">
      <c r="A64" s="1">
        <v>45330</v>
      </c>
      <c r="B64">
        <v>0.17237296242934499</v>
      </c>
      <c r="C64">
        <v>-4.0748494888281801</v>
      </c>
      <c r="D64">
        <v>5.7257378932424796</v>
      </c>
      <c r="E64" t="s">
        <v>19</v>
      </c>
      <c r="F64">
        <v>-3.9024765263988299</v>
      </c>
      <c r="G64">
        <v>7.8845833333333299</v>
      </c>
      <c r="H64">
        <v>7.8055555555555598</v>
      </c>
      <c r="I64">
        <v>0.27839465977633199</v>
      </c>
      <c r="J64">
        <v>174.72751339675401</v>
      </c>
      <c r="K64">
        <v>47.3633442731023</v>
      </c>
      <c r="L64">
        <v>0.33300010744253999</v>
      </c>
      <c r="M64">
        <v>15096.457157479501</v>
      </c>
      <c r="N64">
        <f t="shared" si="0"/>
        <v>4092.1929451960391</v>
      </c>
      <c r="O64">
        <v>28771.209283035401</v>
      </c>
      <c r="P64">
        <f t="shared" si="1"/>
        <v>3517.4237580616186</v>
      </c>
      <c r="Q64">
        <f t="shared" si="2"/>
        <v>1.8847598533764227</v>
      </c>
      <c r="R64">
        <f t="shared" si="3"/>
        <v>6629.4990865069622</v>
      </c>
      <c r="T64">
        <f t="shared" si="4"/>
        <v>-7.21458333333333</v>
      </c>
      <c r="U64">
        <f t="shared" si="5"/>
        <v>4.3424024953260185E-2</v>
      </c>
      <c r="V64">
        <f t="shared" si="6"/>
        <v>-0.31328624669404154</v>
      </c>
      <c r="W64">
        <f>F64-V64</f>
        <v>-3.5891902797047885</v>
      </c>
      <c r="Y64">
        <f>(1-H64)*U64</f>
        <v>-0.29552461426524312</v>
      </c>
      <c r="Z64">
        <f>C64-Y64</f>
        <v>-3.7793248745629371</v>
      </c>
    </row>
    <row r="65" spans="1:26" x14ac:dyDescent="0.75">
      <c r="A65" s="1">
        <v>45331</v>
      </c>
      <c r="B65">
        <v>0.200031500525958</v>
      </c>
      <c r="C65">
        <v>-5.2244696503166503</v>
      </c>
      <c r="D65">
        <v>6.8344570647649796</v>
      </c>
      <c r="E65" t="s">
        <v>19</v>
      </c>
      <c r="F65">
        <v>-5.02443814979069</v>
      </c>
      <c r="G65">
        <v>7.3762499999999998</v>
      </c>
      <c r="H65">
        <v>7.3088888888888901</v>
      </c>
      <c r="I65">
        <v>0.27022107741185197</v>
      </c>
      <c r="J65">
        <v>169.54109927255899</v>
      </c>
      <c r="K65">
        <v>47.120252042670799</v>
      </c>
      <c r="L65">
        <v>0.32796948027953099</v>
      </c>
      <c r="M65">
        <v>14648.350977149101</v>
      </c>
      <c r="N65">
        <f t="shared" si="0"/>
        <v>4071.1897764867572</v>
      </c>
      <c r="O65">
        <v>28336.563096151502</v>
      </c>
      <c r="P65">
        <f t="shared" si="1"/>
        <v>2902.2926004712781</v>
      </c>
      <c r="Q65">
        <f t="shared" si="2"/>
        <v>1.9130324719603444</v>
      </c>
      <c r="R65">
        <f t="shared" si="3"/>
        <v>5552.1799878317852</v>
      </c>
      <c r="T65">
        <f t="shared" si="4"/>
        <v>-6.7062499999999998</v>
      </c>
      <c r="U65">
        <f t="shared" si="5"/>
        <v>4.2562683447969721E-2</v>
      </c>
      <c r="V65">
        <f t="shared" si="6"/>
        <v>-0.28543599587294693</v>
      </c>
      <c r="W65">
        <f>F65-V65</f>
        <v>-4.7390021539177427</v>
      </c>
      <c r="Y65">
        <f>(1-H65)*U65</f>
        <v>-0.26852324068619127</v>
      </c>
      <c r="Z65">
        <f>C65-Y65</f>
        <v>-4.9559464096304593</v>
      </c>
    </row>
    <row r="66" spans="1:26" x14ac:dyDescent="0.75">
      <c r="A66" s="1">
        <v>45332</v>
      </c>
      <c r="B66">
        <v>0.23671619421451001</v>
      </c>
      <c r="C66">
        <v>-6.6116139250978101</v>
      </c>
      <c r="D66">
        <v>8.2925421201116496</v>
      </c>
      <c r="E66" t="s">
        <v>19</v>
      </c>
      <c r="F66">
        <v>-6.3748977308833004</v>
      </c>
      <c r="G66">
        <v>6.9924999999999997</v>
      </c>
      <c r="H66">
        <v>6.9244444444444397</v>
      </c>
      <c r="I66">
        <v>0.26262077812034401</v>
      </c>
      <c r="J66">
        <v>164.72014403124501</v>
      </c>
      <c r="K66">
        <v>46.917102108825098</v>
      </c>
      <c r="L66">
        <v>0.323219292474069</v>
      </c>
      <c r="M66">
        <v>14231.820444299499</v>
      </c>
      <c r="N66">
        <f t="shared" si="0"/>
        <v>4053.6376222024887</v>
      </c>
      <c r="O66">
        <v>27926.146869759501</v>
      </c>
      <c r="P66">
        <f t="shared" si="1"/>
        <v>2357.3353654028174</v>
      </c>
      <c r="Q66">
        <f t="shared" si="2"/>
        <v>1.9405299693302283</v>
      </c>
      <c r="R66">
        <f t="shared" si="3"/>
        <v>4574.4799243261914</v>
      </c>
      <c r="T66">
        <f t="shared" si="4"/>
        <v>-6.3224999999999998</v>
      </c>
      <c r="U66">
        <f t="shared" si="5"/>
        <v>4.1778665480766551E-2</v>
      </c>
      <c r="V66">
        <f t="shared" si="6"/>
        <v>-0.26414561250214652</v>
      </c>
      <c r="W66">
        <f>F66-V66</f>
        <v>-6.1107521183811535</v>
      </c>
      <c r="Y66">
        <f>(1-H66)*U66</f>
        <v>-0.24751538260383008</v>
      </c>
      <c r="Z66">
        <f>C66-Y66</f>
        <v>-6.3640985424939798</v>
      </c>
    </row>
    <row r="67" spans="1:26" x14ac:dyDescent="0.75">
      <c r="A67" s="1">
        <v>45333</v>
      </c>
      <c r="B67">
        <v>0.18164623659040399</v>
      </c>
      <c r="C67">
        <v>-4.8335062295180604</v>
      </c>
      <c r="D67">
        <v>5.6001344088259701</v>
      </c>
      <c r="E67" t="s">
        <v>19</v>
      </c>
      <c r="F67">
        <v>-4.6518599929276601</v>
      </c>
      <c r="G67">
        <v>6.6137499999999996</v>
      </c>
      <c r="H67">
        <v>6.5461111111111103</v>
      </c>
      <c r="I67">
        <v>0.25415740892087801</v>
      </c>
      <c r="J67">
        <v>159.353371256146</v>
      </c>
      <c r="K67">
        <v>46.757674005195199</v>
      </c>
      <c r="L67">
        <v>0.31785853545690301</v>
      </c>
      <c r="M67">
        <v>13768.1312765311</v>
      </c>
      <c r="N67">
        <f t="shared" ref="N67:N130" si="7">K67*86.4</f>
        <v>4039.8630340488653</v>
      </c>
      <c r="O67">
        <v>27462.9774634764</v>
      </c>
      <c r="P67">
        <f t="shared" ref="P67:P130" si="8">0.7*O67/D67</f>
        <v>3432.7897905692726</v>
      </c>
      <c r="Q67">
        <f t="shared" ref="Q67:Q130" si="9">M67/(O67*I67)</f>
        <v>1.9725344799993869</v>
      </c>
      <c r="R67">
        <f t="shared" ref="R67:R130" si="10">Q67*P67</f>
        <v>6771.2962244877644</v>
      </c>
      <c r="T67">
        <f t="shared" ref="T67:T130" si="11">0.67-G67</f>
        <v>-5.9437499999999996</v>
      </c>
      <c r="U67">
        <f t="shared" ref="U67:U130" si="12">(2*(10^-5)*N67)/Q67</f>
        <v>4.0961139843295628E-2</v>
      </c>
      <c r="V67">
        <f t="shared" ref="V67:V130" si="13">T67*U67</f>
        <v>-0.24346277494358837</v>
      </c>
      <c r="W67">
        <f>F67-V67</f>
        <v>-4.4083972179840716</v>
      </c>
      <c r="Y67">
        <f>(1-H67)*U67</f>
        <v>-0.2271750328086779</v>
      </c>
      <c r="Z67">
        <f>C67-Y67</f>
        <v>-4.6063311967093821</v>
      </c>
    </row>
    <row r="68" spans="1:26" x14ac:dyDescent="0.75">
      <c r="A68" s="1">
        <v>45334</v>
      </c>
      <c r="B68">
        <v>0.17797891972629301</v>
      </c>
      <c r="C68">
        <v>-4.1968549401676496</v>
      </c>
      <c r="D68">
        <v>4.4281432958666702</v>
      </c>
      <c r="E68" t="s">
        <v>19</v>
      </c>
      <c r="F68">
        <v>-4.0188760204413603</v>
      </c>
      <c r="G68">
        <v>6.1495833333333296</v>
      </c>
      <c r="H68">
        <v>6.1150000000000002</v>
      </c>
      <c r="I68">
        <v>0.25345873328110302</v>
      </c>
      <c r="J68">
        <v>158.91155650028301</v>
      </c>
      <c r="K68">
        <v>46.724175305221003</v>
      </c>
      <c r="L68">
        <v>0.31736212466965602</v>
      </c>
      <c r="M68">
        <v>13729.958481624401</v>
      </c>
      <c r="N68">
        <f t="shared" si="7"/>
        <v>4036.9687463710948</v>
      </c>
      <c r="O68">
        <v>27420.087571458302</v>
      </c>
      <c r="P68">
        <f t="shared" si="8"/>
        <v>4334.5619185216938</v>
      </c>
      <c r="Q68">
        <f t="shared" si="9"/>
        <v>1.975573201930003</v>
      </c>
      <c r="R68">
        <f t="shared" si="10"/>
        <v>8563.2443683377587</v>
      </c>
      <c r="T68">
        <f t="shared" si="11"/>
        <v>-5.4795833333333297</v>
      </c>
      <c r="U68">
        <f t="shared" si="12"/>
        <v>4.0868834851852075E-2</v>
      </c>
      <c r="V68">
        <f t="shared" si="13"/>
        <v>-0.22394418630696095</v>
      </c>
      <c r="W68">
        <f>F68-V68</f>
        <v>-3.7949318341343994</v>
      </c>
      <c r="Y68">
        <f>(1-H68)*U68</f>
        <v>-0.20904409026722337</v>
      </c>
      <c r="Z68">
        <f>C68-Y68</f>
        <v>-3.9878108499004261</v>
      </c>
    </row>
    <row r="69" spans="1:26" x14ac:dyDescent="0.75">
      <c r="A69" s="1">
        <v>45335</v>
      </c>
      <c r="B69">
        <v>0.13384288931803501</v>
      </c>
      <c r="C69">
        <v>-4.2442654369937296</v>
      </c>
      <c r="D69">
        <v>5.13659434129959</v>
      </c>
      <c r="E69" t="s">
        <v>19</v>
      </c>
      <c r="F69">
        <v>-4.1104225476757001</v>
      </c>
      <c r="G69">
        <v>6.4212499999999997</v>
      </c>
      <c r="H69">
        <v>6.3455555555555598</v>
      </c>
      <c r="I69">
        <v>0.274595139190278</v>
      </c>
      <c r="J69">
        <v>172.316243097849</v>
      </c>
      <c r="K69">
        <v>46.860667474076202</v>
      </c>
      <c r="L69">
        <v>0.33067628388342601</v>
      </c>
      <c r="M69">
        <v>14888.123403654199</v>
      </c>
      <c r="N69">
        <f t="shared" si="7"/>
        <v>4048.7616697601843</v>
      </c>
      <c r="O69">
        <v>28570.430927527999</v>
      </c>
      <c r="P69">
        <f t="shared" si="8"/>
        <v>3893.4944674275466</v>
      </c>
      <c r="Q69">
        <f t="shared" si="9"/>
        <v>1.8977120872591025</v>
      </c>
      <c r="R69">
        <f t="shared" si="10"/>
        <v>7388.7315125136965</v>
      </c>
      <c r="T69">
        <f t="shared" si="11"/>
        <v>-5.7512499999999998</v>
      </c>
      <c r="U69">
        <f t="shared" si="12"/>
        <v>4.2669925506011605E-2</v>
      </c>
      <c r="V69">
        <f t="shared" si="13"/>
        <v>-0.24540540906644923</v>
      </c>
      <c r="W69">
        <f>F69-V69</f>
        <v>-3.8650171386092511</v>
      </c>
      <c r="Y69">
        <f>(1-H69)*U69</f>
        <v>-0.22809445734380221</v>
      </c>
      <c r="Z69">
        <f>C69-Y69</f>
        <v>-4.0161709796499272</v>
      </c>
    </row>
    <row r="70" spans="1:26" x14ac:dyDescent="0.75">
      <c r="A70" s="1">
        <v>45336</v>
      </c>
      <c r="B70">
        <v>0.220285646014801</v>
      </c>
      <c r="C70">
        <v>-8.0993361142462508</v>
      </c>
      <c r="D70">
        <v>11.923253027517299</v>
      </c>
      <c r="E70" t="s">
        <v>19</v>
      </c>
      <c r="F70">
        <v>-7.8790504682314397</v>
      </c>
      <c r="G70">
        <v>7.2037500000000003</v>
      </c>
      <c r="H70">
        <v>7.0947058823529403</v>
      </c>
      <c r="I70">
        <v>0.25927711612998999</v>
      </c>
      <c r="J70">
        <v>162.599886159645</v>
      </c>
      <c r="K70">
        <v>47.171519894287201</v>
      </c>
      <c r="L70">
        <v>0.321100649920463</v>
      </c>
      <c r="M70">
        <v>14048.630164193401</v>
      </c>
      <c r="N70">
        <f t="shared" si="7"/>
        <v>4075.6193188664142</v>
      </c>
      <c r="O70">
        <v>27743.096153128001</v>
      </c>
      <c r="P70">
        <f t="shared" si="8"/>
        <v>1628.764168836341</v>
      </c>
      <c r="Q70">
        <f t="shared" si="9"/>
        <v>1.9530567604263922</v>
      </c>
      <c r="R70">
        <f t="shared" si="10"/>
        <v>3181.0688710860895</v>
      </c>
      <c r="T70">
        <f t="shared" si="11"/>
        <v>-6.5337500000000004</v>
      </c>
      <c r="U70">
        <f t="shared" si="12"/>
        <v>4.1735800018189162E-2</v>
      </c>
      <c r="V70">
        <f t="shared" si="13"/>
        <v>-0.27269128336884346</v>
      </c>
      <c r="W70">
        <f>F70-V70</f>
        <v>-7.6063591848625967</v>
      </c>
      <c r="Y70">
        <f>(1-H70)*U70</f>
        <v>-0.25436742587556344</v>
      </c>
      <c r="Z70">
        <f>C70-Y70</f>
        <v>-7.8449686883706873</v>
      </c>
    </row>
    <row r="71" spans="1:26" x14ac:dyDescent="0.75">
      <c r="A71" s="1">
        <v>45337</v>
      </c>
      <c r="B71">
        <v>0.48547199608250002</v>
      </c>
      <c r="C71">
        <v>-13.3415044342951</v>
      </c>
      <c r="D71">
        <v>19.8925954111556</v>
      </c>
      <c r="E71" t="s">
        <v>19</v>
      </c>
      <c r="F71">
        <v>-12.856032438212599</v>
      </c>
      <c r="G71">
        <v>7.30833333333333</v>
      </c>
      <c r="H71">
        <v>7.2329411764705904</v>
      </c>
      <c r="I71">
        <v>0.24569403972141299</v>
      </c>
      <c r="J71">
        <v>153.988700080021</v>
      </c>
      <c r="K71">
        <v>47.660497782659803</v>
      </c>
      <c r="L71">
        <v>0.31240508443297599</v>
      </c>
      <c r="M71">
        <v>13304.623686913799</v>
      </c>
      <c r="N71">
        <f t="shared" si="7"/>
        <v>4117.8670084218074</v>
      </c>
      <c r="O71">
        <v>26991.799295009201</v>
      </c>
      <c r="P71">
        <f t="shared" si="8"/>
        <v>949.81369278292846</v>
      </c>
      <c r="Q71">
        <f t="shared" si="9"/>
        <v>2.0062088333803842</v>
      </c>
      <c r="R71">
        <f t="shared" si="10"/>
        <v>1905.5246205267536</v>
      </c>
      <c r="T71">
        <f t="shared" si="11"/>
        <v>-6.6383333333333301</v>
      </c>
      <c r="U71">
        <f t="shared" si="12"/>
        <v>4.1051229960774933E-2</v>
      </c>
      <c r="V71">
        <f t="shared" si="13"/>
        <v>-0.27251174822294411</v>
      </c>
      <c r="W71">
        <f>F71-V71</f>
        <v>-12.583520689989655</v>
      </c>
      <c r="Y71">
        <f>(1-H71)*U71</f>
        <v>-0.25586990156727724</v>
      </c>
      <c r="Z71">
        <f>C71-Y71</f>
        <v>-13.085634532727823</v>
      </c>
    </row>
    <row r="72" spans="1:26" x14ac:dyDescent="0.75">
      <c r="A72" s="1">
        <v>45338</v>
      </c>
      <c r="B72">
        <v>0.43105471835958697</v>
      </c>
      <c r="C72">
        <v>-12.364824686533799</v>
      </c>
      <c r="D72">
        <v>18.080872157759199</v>
      </c>
      <c r="E72" t="s">
        <v>19</v>
      </c>
      <c r="F72">
        <v>-11.9337699681742</v>
      </c>
      <c r="G72">
        <v>7.1533333333333298</v>
      </c>
      <c r="H72">
        <v>7.0847058823529396</v>
      </c>
      <c r="I72">
        <v>0.23970539138048</v>
      </c>
      <c r="J72">
        <v>150.193894989462</v>
      </c>
      <c r="K72">
        <v>48.330981778130599</v>
      </c>
      <c r="L72">
        <v>0.30849174437615801</v>
      </c>
      <c r="M72">
        <v>12976.7525270896</v>
      </c>
      <c r="N72">
        <f t="shared" si="7"/>
        <v>4175.7968256304839</v>
      </c>
      <c r="O72">
        <v>26653.686714100098</v>
      </c>
      <c r="P72">
        <f t="shared" si="8"/>
        <v>1031.89605772769</v>
      </c>
      <c r="Q72">
        <f t="shared" si="9"/>
        <v>2.0310982482801792</v>
      </c>
      <c r="R72">
        <f t="shared" si="10"/>
        <v>2095.882275257934</v>
      </c>
      <c r="T72">
        <f t="shared" si="11"/>
        <v>-6.4833333333333298</v>
      </c>
      <c r="U72">
        <f t="shared" si="12"/>
        <v>4.1118609886708499E-2</v>
      </c>
      <c r="V72">
        <f t="shared" si="13"/>
        <v>-0.26658565409882662</v>
      </c>
      <c r="W72">
        <f>F72-V72</f>
        <v>-11.667184314075374</v>
      </c>
      <c r="Y72">
        <f>(1-H72)*U72</f>
        <v>-0.25019464745183095</v>
      </c>
      <c r="Z72">
        <f>C72-Y72</f>
        <v>-12.114630039081968</v>
      </c>
    </row>
    <row r="73" spans="1:26" x14ac:dyDescent="0.75">
      <c r="A73" s="1">
        <v>45339</v>
      </c>
      <c r="B73">
        <v>0.12953482814713399</v>
      </c>
      <c r="C73">
        <v>-2.82442789786236</v>
      </c>
      <c r="D73">
        <v>3.8838394208801601</v>
      </c>
      <c r="E73" t="s">
        <v>19</v>
      </c>
      <c r="F73">
        <v>-2.69489306971523</v>
      </c>
      <c r="G73">
        <v>7.0187499999999998</v>
      </c>
      <c r="H73">
        <v>7.0052941176470602</v>
      </c>
      <c r="I73">
        <v>0.24662169309187101</v>
      </c>
      <c r="J73">
        <v>154.57957567053299</v>
      </c>
      <c r="K73">
        <v>49.186089246919799</v>
      </c>
      <c r="L73">
        <v>0.31287715302309599</v>
      </c>
      <c r="M73">
        <v>13355.675337934101</v>
      </c>
      <c r="N73">
        <f t="shared" si="7"/>
        <v>4249.6781109338708</v>
      </c>
      <c r="O73">
        <v>27032.586021195501</v>
      </c>
      <c r="P73">
        <f t="shared" si="8"/>
        <v>4872.1917062545654</v>
      </c>
      <c r="Q73">
        <f t="shared" si="9"/>
        <v>2.0033045836676271</v>
      </c>
      <c r="R73">
        <f t="shared" si="10"/>
        <v>9760.4839776471672</v>
      </c>
      <c r="T73">
        <f t="shared" si="11"/>
        <v>-6.3487499999999999</v>
      </c>
      <c r="U73">
        <f t="shared" si="12"/>
        <v>4.2426679852682302E-2</v>
      </c>
      <c r="V73">
        <f t="shared" si="13"/>
        <v>-0.26935638371471676</v>
      </c>
      <c r="W73">
        <f>F73-V73</f>
        <v>-2.4255366860005134</v>
      </c>
      <c r="Y73">
        <f>(1-H73)*U73</f>
        <v>-0.25478469095060807</v>
      </c>
      <c r="Z73">
        <f>C73-Y73</f>
        <v>-2.5696432069117519</v>
      </c>
    </row>
    <row r="74" spans="1:26" x14ac:dyDescent="0.75">
      <c r="A74" s="1">
        <v>45340</v>
      </c>
      <c r="B74">
        <v>0.15113918549531399</v>
      </c>
      <c r="C74">
        <v>-1.88279478387649</v>
      </c>
      <c r="D74">
        <v>1.15576227017429</v>
      </c>
      <c r="E74" t="s">
        <v>19</v>
      </c>
      <c r="F74">
        <v>-1.7316555983811801</v>
      </c>
      <c r="G74">
        <v>7.2054166666666699</v>
      </c>
      <c r="H74">
        <v>7.1717647058823504</v>
      </c>
      <c r="I74">
        <v>0.47210898118765898</v>
      </c>
      <c r="J74">
        <v>298.11657681417398</v>
      </c>
      <c r="K74">
        <v>50.2289892378869</v>
      </c>
      <c r="L74">
        <v>0.43431253729217201</v>
      </c>
      <c r="M74">
        <v>25757.2722367446</v>
      </c>
      <c r="N74">
        <f t="shared" si="7"/>
        <v>4339.7846701534281</v>
      </c>
      <c r="O74">
        <v>37524.603222043697</v>
      </c>
      <c r="P74">
        <f t="shared" si="8"/>
        <v>22727.184416107881</v>
      </c>
      <c r="Q74">
        <f t="shared" si="9"/>
        <v>1.4539233020999889</v>
      </c>
      <c r="R74">
        <f t="shared" si="10"/>
        <v>33043.583013702977</v>
      </c>
      <c r="T74">
        <f t="shared" si="11"/>
        <v>-6.53541666666667</v>
      </c>
      <c r="U74">
        <f t="shared" si="12"/>
        <v>5.9697573646219394E-2</v>
      </c>
      <c r="V74">
        <f t="shared" si="13"/>
        <v>-0.39014851776706322</v>
      </c>
      <c r="W74">
        <f>F74-V74</f>
        <v>-1.3415070806141169</v>
      </c>
      <c r="Y74">
        <f>(1-H74)*U74</f>
        <v>-0.36843937805654919</v>
      </c>
      <c r="Z74">
        <f>C74-Y74</f>
        <v>-1.5143554058199409</v>
      </c>
    </row>
    <row r="75" spans="1:26" x14ac:dyDescent="0.75">
      <c r="A75" s="1">
        <v>45341</v>
      </c>
      <c r="B75">
        <v>6.8565804875564296E-2</v>
      </c>
      <c r="C75">
        <v>-4.9525457443476597</v>
      </c>
      <c r="D75">
        <v>3.6088488579209201</v>
      </c>
      <c r="E75" t="s">
        <v>19</v>
      </c>
      <c r="F75">
        <v>-4.8839799394720904</v>
      </c>
      <c r="G75">
        <v>7.1683333333333303</v>
      </c>
      <c r="H75">
        <v>7.0882352941176503</v>
      </c>
      <c r="I75">
        <v>0.50467959557131203</v>
      </c>
      <c r="J75">
        <v>318.86812414299902</v>
      </c>
      <c r="K75">
        <v>51.463109530714299</v>
      </c>
      <c r="L75">
        <v>0.451070790174114</v>
      </c>
      <c r="M75">
        <v>27550.205925955099</v>
      </c>
      <c r="N75">
        <f t="shared" si="7"/>
        <v>4446.412663453716</v>
      </c>
      <c r="O75">
        <v>38972.516271043402</v>
      </c>
      <c r="P75">
        <f t="shared" si="8"/>
        <v>7559.4081281217723</v>
      </c>
      <c r="Q75">
        <f t="shared" si="9"/>
        <v>1.4007178269747316</v>
      </c>
      <c r="R75">
        <f t="shared" si="10"/>
        <v>10588.597726437853</v>
      </c>
      <c r="T75">
        <f t="shared" si="11"/>
        <v>-6.4983333333333304</v>
      </c>
      <c r="U75">
        <f t="shared" si="12"/>
        <v>6.3487628669038537E-2</v>
      </c>
      <c r="V75">
        <f t="shared" si="13"/>
        <v>-0.41256377363430191</v>
      </c>
      <c r="W75">
        <f>F75-V75</f>
        <v>-4.4714161658377884</v>
      </c>
      <c r="Y75">
        <f>(1-H75)*U75</f>
        <v>-0.38652762160267601</v>
      </c>
      <c r="Z75">
        <f>C75-Y75</f>
        <v>-4.5660181227449836</v>
      </c>
    </row>
    <row r="76" spans="1:26" x14ac:dyDescent="0.75">
      <c r="A76" s="1">
        <v>45342</v>
      </c>
      <c r="B76">
        <v>0.35153273996043499</v>
      </c>
      <c r="C76">
        <v>-11.281980490676601</v>
      </c>
      <c r="D76">
        <v>10.6369797557805</v>
      </c>
      <c r="E76" t="s">
        <v>19</v>
      </c>
      <c r="F76">
        <v>-10.930447750716199</v>
      </c>
      <c r="G76">
        <v>7.5112500000000004</v>
      </c>
      <c r="H76">
        <v>7.3770588235294099</v>
      </c>
      <c r="I76">
        <v>0.41686076463062</v>
      </c>
      <c r="J76">
        <v>262.81777152224402</v>
      </c>
      <c r="K76">
        <v>52.891707239370596</v>
      </c>
      <c r="L76">
        <v>0.40918432133018801</v>
      </c>
      <c r="M76">
        <v>22707.455459521902</v>
      </c>
      <c r="N76">
        <f t="shared" si="7"/>
        <v>4569.84350548162</v>
      </c>
      <c r="O76">
        <v>35353.525362928202</v>
      </c>
      <c r="P76">
        <f t="shared" si="8"/>
        <v>2326.5502353335887</v>
      </c>
      <c r="Q76">
        <f t="shared" si="9"/>
        <v>1.5407945129121046</v>
      </c>
      <c r="R76">
        <f t="shared" si="10"/>
        <v>3584.7358366163589</v>
      </c>
      <c r="T76">
        <f t="shared" si="11"/>
        <v>-6.8412500000000005</v>
      </c>
      <c r="U76">
        <f t="shared" si="12"/>
        <v>5.9318013754405284E-2</v>
      </c>
      <c r="V76">
        <f t="shared" si="13"/>
        <v>-0.40580936159732517</v>
      </c>
      <c r="W76">
        <f>F76-V76</f>
        <v>-10.524638389118874</v>
      </c>
      <c r="Y76">
        <f>(1-H76)*U76</f>
        <v>-0.37827446300676909</v>
      </c>
      <c r="Z76">
        <f>C76-Y76</f>
        <v>-10.903706027669832</v>
      </c>
    </row>
    <row r="77" spans="1:26" x14ac:dyDescent="0.75">
      <c r="A77" s="1">
        <v>45343</v>
      </c>
      <c r="B77">
        <v>0.45685665060198699</v>
      </c>
      <c r="C77">
        <v>-12.1368667191204</v>
      </c>
      <c r="D77">
        <v>13.659517995883</v>
      </c>
      <c r="E77" t="s">
        <v>19</v>
      </c>
      <c r="F77">
        <v>-11.680010068518399</v>
      </c>
      <c r="G77">
        <v>7.7087500000000002</v>
      </c>
      <c r="H77">
        <v>7.5841176470588199</v>
      </c>
      <c r="I77">
        <v>0.365522783166778</v>
      </c>
      <c r="J77">
        <v>230.11130830975799</v>
      </c>
      <c r="K77">
        <v>54.180856000509003</v>
      </c>
      <c r="L77">
        <v>0.38266181872701999</v>
      </c>
      <c r="M77">
        <v>19881.6170379631</v>
      </c>
      <c r="N77">
        <f t="shared" si="7"/>
        <v>4681.225958443978</v>
      </c>
      <c r="O77">
        <v>33061.981138014497</v>
      </c>
      <c r="P77">
        <f t="shared" si="8"/>
        <v>1694.3047919835531</v>
      </c>
      <c r="Q77">
        <f t="shared" si="9"/>
        <v>1.6451608970983049</v>
      </c>
      <c r="R77">
        <f t="shared" si="10"/>
        <v>2787.4039915376193</v>
      </c>
      <c r="T77">
        <f t="shared" si="11"/>
        <v>-7.0387500000000003</v>
      </c>
      <c r="U77">
        <f t="shared" si="12"/>
        <v>5.6909035057915752E-2</v>
      </c>
      <c r="V77">
        <f t="shared" si="13"/>
        <v>-0.40056847051390454</v>
      </c>
      <c r="W77">
        <f>F77-V77</f>
        <v>-11.279441598004494</v>
      </c>
      <c r="Y77">
        <f>(1-H77)*U77</f>
        <v>-0.37469578200191217</v>
      </c>
      <c r="Z77">
        <f>C77-Y77</f>
        <v>-11.762170937118487</v>
      </c>
    </row>
    <row r="78" spans="1:26" x14ac:dyDescent="0.75">
      <c r="A78" s="1">
        <v>45344</v>
      </c>
      <c r="B78">
        <v>0.31612569788917899</v>
      </c>
      <c r="C78">
        <v>-6.3360564210790402</v>
      </c>
      <c r="D78">
        <v>7.6631689923542901</v>
      </c>
      <c r="E78" t="s">
        <v>19</v>
      </c>
      <c r="F78">
        <v>-6.0199307231898702</v>
      </c>
      <c r="G78">
        <v>7.8283333333333296</v>
      </c>
      <c r="H78">
        <v>7.69176470588235</v>
      </c>
      <c r="I78">
        <v>0.33219771651664498</v>
      </c>
      <c r="J78">
        <v>208.90813803579499</v>
      </c>
      <c r="K78">
        <v>55.1218671805835</v>
      </c>
      <c r="L78">
        <v>0.36443931951985697</v>
      </c>
      <c r="M78">
        <v>18049.6631262927</v>
      </c>
      <c r="N78">
        <f t="shared" si="7"/>
        <v>4762.5293244024151</v>
      </c>
      <c r="O78">
        <v>31487.557206515601</v>
      </c>
      <c r="P78">
        <f t="shared" si="8"/>
        <v>2876.2630794847396</v>
      </c>
      <c r="Q78">
        <f t="shared" si="9"/>
        <v>1.7255736025224813</v>
      </c>
      <c r="R78">
        <f t="shared" si="10"/>
        <v>4963.2036438688883</v>
      </c>
      <c r="T78">
        <f t="shared" si="11"/>
        <v>-7.1583333333333297</v>
      </c>
      <c r="U78">
        <f t="shared" si="12"/>
        <v>5.5199376224119863E-2</v>
      </c>
      <c r="V78">
        <f t="shared" si="13"/>
        <v>-0.39513553480432451</v>
      </c>
      <c r="W78">
        <f>F78-V78</f>
        <v>-5.624795188385546</v>
      </c>
      <c r="Y78">
        <f>(1-H78)*U78</f>
        <v>-0.36938123760328662</v>
      </c>
      <c r="Z78">
        <f>C78-Y78</f>
        <v>-5.9666751834757532</v>
      </c>
    </row>
    <row r="79" spans="1:26" x14ac:dyDescent="0.75">
      <c r="A79" s="1">
        <v>45345</v>
      </c>
      <c r="B79">
        <v>0.16623970942852501</v>
      </c>
      <c r="C79">
        <v>-3.8227163930589398</v>
      </c>
      <c r="D79">
        <v>4.1174817587336099</v>
      </c>
      <c r="E79" t="s">
        <v>19</v>
      </c>
      <c r="F79">
        <v>-3.6564766836304199</v>
      </c>
      <c r="G79">
        <v>7.3829166666666701</v>
      </c>
      <c r="H79">
        <v>7.3111764705882401</v>
      </c>
      <c r="I79">
        <v>0.31327182639213802</v>
      </c>
      <c r="J79">
        <v>196.87668024774101</v>
      </c>
      <c r="K79">
        <v>56.054410855271499</v>
      </c>
      <c r="L79">
        <v>0.353700665984025</v>
      </c>
      <c r="M79">
        <v>17010.145173404799</v>
      </c>
      <c r="N79">
        <f t="shared" si="7"/>
        <v>4843.1010978954582</v>
      </c>
      <c r="O79">
        <v>30559.7375410198</v>
      </c>
      <c r="P79">
        <f t="shared" si="8"/>
        <v>5195.3639462614683</v>
      </c>
      <c r="Q79">
        <f t="shared" si="9"/>
        <v>1.7767939265966102</v>
      </c>
      <c r="R79">
        <f t="shared" si="10"/>
        <v>9231.0911061763745</v>
      </c>
      <c r="T79">
        <f t="shared" si="11"/>
        <v>-6.7129166666666702</v>
      </c>
      <c r="U79">
        <f t="shared" si="12"/>
        <v>5.451505687181471E-2</v>
      </c>
      <c r="V79">
        <f t="shared" si="13"/>
        <v>-0.36595503385908634</v>
      </c>
      <c r="W79">
        <f>F79-V79</f>
        <v>-3.2905216497713337</v>
      </c>
      <c r="Y79">
        <f>(1-H79)*U79</f>
        <v>-0.34405414422217673</v>
      </c>
      <c r="Z79">
        <f>C79-Y79</f>
        <v>-3.4786622488367631</v>
      </c>
    </row>
    <row r="80" spans="1:26" x14ac:dyDescent="0.75">
      <c r="A80" s="1">
        <v>45346</v>
      </c>
      <c r="B80">
        <v>0.32030495762088101</v>
      </c>
      <c r="C80">
        <v>-9.1467561988240504</v>
      </c>
      <c r="D80">
        <v>10.908993784424201</v>
      </c>
      <c r="E80" t="s">
        <v>19</v>
      </c>
      <c r="F80">
        <v>-8.8264512412031699</v>
      </c>
      <c r="G80">
        <v>7.1737500000000001</v>
      </c>
      <c r="H80">
        <v>7.0882352941176503</v>
      </c>
      <c r="I80">
        <v>0.30336413612221202</v>
      </c>
      <c r="J80">
        <v>190.58191022795199</v>
      </c>
      <c r="K80">
        <v>56.974758853948302</v>
      </c>
      <c r="L80">
        <v>0.34793318975238302</v>
      </c>
      <c r="M80">
        <v>16466.277043695001</v>
      </c>
      <c r="N80">
        <f t="shared" si="7"/>
        <v>4922.6191649811335</v>
      </c>
      <c r="O80">
        <v>30061.427594605899</v>
      </c>
      <c r="P80">
        <f t="shared" si="8"/>
        <v>1928.9587776893961</v>
      </c>
      <c r="Q80">
        <f t="shared" si="9"/>
        <v>1.8056001414667777</v>
      </c>
      <c r="R80">
        <f t="shared" si="10"/>
        <v>3482.9282418795565</v>
      </c>
      <c r="T80">
        <f t="shared" si="11"/>
        <v>-6.5037500000000001</v>
      </c>
      <c r="U80">
        <f t="shared" si="12"/>
        <v>5.4526127373719063E-2</v>
      </c>
      <c r="V80">
        <f t="shared" si="13"/>
        <v>-0.35462430090682534</v>
      </c>
      <c r="W80">
        <f>F80-V80</f>
        <v>-8.471826940296344</v>
      </c>
      <c r="Y80">
        <f>(1-H80)*U80</f>
        <v>-0.33196789312823094</v>
      </c>
      <c r="Z80">
        <f>C80-Y80</f>
        <v>-8.8147883056958189</v>
      </c>
    </row>
    <row r="81" spans="1:26" x14ac:dyDescent="0.75">
      <c r="A81" s="1">
        <v>45347</v>
      </c>
      <c r="B81">
        <v>0.38927586338381598</v>
      </c>
      <c r="C81">
        <v>-9.5074682419199998</v>
      </c>
      <c r="D81">
        <v>13.200864108446</v>
      </c>
      <c r="E81" t="s">
        <v>19</v>
      </c>
      <c r="F81">
        <v>-9.1181923785361807</v>
      </c>
      <c r="G81">
        <v>7.4229166666666702</v>
      </c>
      <c r="H81">
        <v>7.3076470588235303</v>
      </c>
      <c r="I81">
        <v>0.28346068722440498</v>
      </c>
      <c r="J81">
        <v>177.943491208186</v>
      </c>
      <c r="K81">
        <v>57.879448041745697</v>
      </c>
      <c r="L81">
        <v>0.33605876158847597</v>
      </c>
      <c r="M81">
        <v>15374.3176403873</v>
      </c>
      <c r="N81">
        <f t="shared" si="7"/>
        <v>5000.7843108068282</v>
      </c>
      <c r="O81">
        <v>29035.477001244399</v>
      </c>
      <c r="P81">
        <f t="shared" si="8"/>
        <v>1539.659353653002</v>
      </c>
      <c r="Q81">
        <f t="shared" si="9"/>
        <v>1.8679878569933162</v>
      </c>
      <c r="R81">
        <f t="shared" si="10"/>
        <v>2876.0649765299854</v>
      </c>
      <c r="T81">
        <f t="shared" si="11"/>
        <v>-6.7529166666666702</v>
      </c>
      <c r="U81">
        <f t="shared" si="12"/>
        <v>5.3541935961575388E-2</v>
      </c>
      <c r="V81">
        <f t="shared" si="13"/>
        <v>-0.36156423172052199</v>
      </c>
      <c r="W81">
        <f>F81-V81</f>
        <v>-8.7566281468156593</v>
      </c>
      <c r="Y81">
        <f>(1-H81)*U81</f>
        <v>-0.33772363489174878</v>
      </c>
      <c r="Z81">
        <f>C81-Y81</f>
        <v>-9.1697446070282513</v>
      </c>
    </row>
    <row r="82" spans="1:26" x14ac:dyDescent="0.75">
      <c r="A82" s="1">
        <v>45348</v>
      </c>
      <c r="B82">
        <v>0.58478978495206402</v>
      </c>
      <c r="C82">
        <v>-10.654922420276399</v>
      </c>
      <c r="D82">
        <v>15.9348302899415</v>
      </c>
      <c r="E82" t="s">
        <v>19</v>
      </c>
      <c r="F82">
        <v>-10.070132635324301</v>
      </c>
      <c r="G82">
        <v>7.6025</v>
      </c>
      <c r="H82">
        <v>7.4741176470588204</v>
      </c>
      <c r="I82">
        <v>0.26357485199818897</v>
      </c>
      <c r="J82">
        <v>165.32531754689501</v>
      </c>
      <c r="K82">
        <v>58.765083008892397</v>
      </c>
      <c r="L82">
        <v>0.32381586552194602</v>
      </c>
      <c r="M82">
        <v>14284.1074360518</v>
      </c>
      <c r="N82">
        <f t="shared" si="7"/>
        <v>5077.3031719683031</v>
      </c>
      <c r="O82">
        <v>27977.690781096098</v>
      </c>
      <c r="P82">
        <f t="shared" si="8"/>
        <v>1229.0299419837227</v>
      </c>
      <c r="Q82">
        <f t="shared" si="9"/>
        <v>1.9370341204865908</v>
      </c>
      <c r="R82">
        <f t="shared" si="10"/>
        <v>2380.672932722126</v>
      </c>
      <c r="T82">
        <f t="shared" si="11"/>
        <v>-6.9325000000000001</v>
      </c>
      <c r="U82">
        <f t="shared" si="12"/>
        <v>5.2423476884267427E-2</v>
      </c>
      <c r="V82">
        <f t="shared" si="13"/>
        <v>-0.36342575350018397</v>
      </c>
      <c r="W82">
        <f>F82-V82</f>
        <v>-9.7067068818241165</v>
      </c>
      <c r="Y82">
        <f>(1-H82)*U82</f>
        <v>-0.33939575681661588</v>
      </c>
      <c r="Z82">
        <f>C82-Y82</f>
        <v>-10.315526663459783</v>
      </c>
    </row>
    <row r="83" spans="1:26" x14ac:dyDescent="0.75">
      <c r="A83" s="1">
        <v>45349</v>
      </c>
      <c r="B83">
        <v>0.33960942605236799</v>
      </c>
      <c r="C83">
        <v>-5.7972703203643601</v>
      </c>
      <c r="D83">
        <v>8.1501362193869404</v>
      </c>
      <c r="E83" t="s">
        <v>19</v>
      </c>
      <c r="F83">
        <v>-5.4576608943119904</v>
      </c>
      <c r="G83">
        <v>7.3133333333333299</v>
      </c>
      <c r="H83">
        <v>7.1970588235294102</v>
      </c>
      <c r="I83">
        <v>0.24966298705324699</v>
      </c>
      <c r="J83">
        <v>156.504407925538</v>
      </c>
      <c r="K83">
        <v>59.628112123251199</v>
      </c>
      <c r="L83">
        <v>0.31496638147032502</v>
      </c>
      <c r="M83">
        <v>13521.9808447665</v>
      </c>
      <c r="N83">
        <f t="shared" si="7"/>
        <v>5151.8688874489044</v>
      </c>
      <c r="O83">
        <v>27213.095359036099</v>
      </c>
      <c r="P83">
        <f t="shared" si="8"/>
        <v>2337.2820083684642</v>
      </c>
      <c r="Q83">
        <f t="shared" si="9"/>
        <v>1.9902526489498604</v>
      </c>
      <c r="R83">
        <f t="shared" si="10"/>
        <v>4651.7817084981853</v>
      </c>
      <c r="T83">
        <f t="shared" si="11"/>
        <v>-6.64333333333333</v>
      </c>
      <c r="U83">
        <f t="shared" si="12"/>
        <v>5.1771003949345265E-2</v>
      </c>
      <c r="V83">
        <f t="shared" si="13"/>
        <v>-0.3439320362368169</v>
      </c>
      <c r="W83">
        <f>F83-V83</f>
        <v>-5.1137288580751736</v>
      </c>
      <c r="Y83">
        <f>(1-H83)*U83</f>
        <v>-0.320827956827266</v>
      </c>
      <c r="Z83">
        <f>C83-Y83</f>
        <v>-5.4764423635370942</v>
      </c>
    </row>
    <row r="84" spans="1:26" x14ac:dyDescent="0.75">
      <c r="A84" s="1">
        <v>45350</v>
      </c>
      <c r="B84">
        <v>0.38334456546690299</v>
      </c>
      <c r="C84">
        <v>-6.0948561414387097</v>
      </c>
      <c r="D84">
        <v>7.8407900898749601</v>
      </c>
      <c r="E84" t="s">
        <v>19</v>
      </c>
      <c r="F84">
        <v>-5.7115115759718096</v>
      </c>
      <c r="G84">
        <v>6.8312499999999998</v>
      </c>
      <c r="H84">
        <v>6.7217647058823502</v>
      </c>
      <c r="I84">
        <v>0.23881296535320301</v>
      </c>
      <c r="J84">
        <v>149.62867725843901</v>
      </c>
      <c r="K84">
        <v>60.465296249519497</v>
      </c>
      <c r="L84">
        <v>0.30789575713399697</v>
      </c>
      <c r="M84">
        <v>12927.917715129101</v>
      </c>
      <c r="N84">
        <f t="shared" si="7"/>
        <v>5224.2015959584851</v>
      </c>
      <c r="O84">
        <v>26602.1934163773</v>
      </c>
      <c r="P84">
        <f t="shared" si="8"/>
        <v>2374.9565003035395</v>
      </c>
      <c r="Q84">
        <f t="shared" si="9"/>
        <v>2.0349476025182649</v>
      </c>
      <c r="R84">
        <f t="shared" si="10"/>
        <v>4832.9120363778566</v>
      </c>
      <c r="T84">
        <f t="shared" si="11"/>
        <v>-6.1612499999999999</v>
      </c>
      <c r="U84">
        <f t="shared" si="12"/>
        <v>5.1344826662794572E-2</v>
      </c>
      <c r="V84">
        <f t="shared" si="13"/>
        <v>-0.31634831327614304</v>
      </c>
      <c r="W84">
        <f>F84-V84</f>
        <v>-5.3951632626956663</v>
      </c>
      <c r="Y84">
        <f>(1-H84)*U84</f>
        <v>-0.29378301702882503</v>
      </c>
      <c r="Z84">
        <f>C84-Y84</f>
        <v>-5.8010731244098848</v>
      </c>
    </row>
    <row r="85" spans="1:26" x14ac:dyDescent="0.75">
      <c r="A85" s="1">
        <v>45351</v>
      </c>
      <c r="B85">
        <v>0.18920154466727299</v>
      </c>
      <c r="C85">
        <v>-3.2814321361855301</v>
      </c>
      <c r="D85">
        <v>4.6578650878514498</v>
      </c>
      <c r="E85" t="s">
        <v>19</v>
      </c>
      <c r="F85">
        <v>-3.09223059151826</v>
      </c>
      <c r="G85">
        <v>6.53541666666667</v>
      </c>
      <c r="H85">
        <v>6.47529411764706</v>
      </c>
      <c r="I85">
        <v>0.23069306274976201</v>
      </c>
      <c r="J85">
        <v>144.485073274792</v>
      </c>
      <c r="K85">
        <v>61.273725504363398</v>
      </c>
      <c r="L85">
        <v>0.30251206376157902</v>
      </c>
      <c r="M85">
        <v>12483.510330941999</v>
      </c>
      <c r="N85">
        <f t="shared" si="7"/>
        <v>5294.0498835769977</v>
      </c>
      <c r="O85">
        <v>26137.042309000499</v>
      </c>
      <c r="P85">
        <f t="shared" si="8"/>
        <v>3927.9646943874404</v>
      </c>
      <c r="Q85">
        <f t="shared" si="9"/>
        <v>2.0703594320896666</v>
      </c>
      <c r="R85">
        <f t="shared" si="10"/>
        <v>8132.298753940242</v>
      </c>
      <c r="T85">
        <f t="shared" si="11"/>
        <v>-5.8654166666666701</v>
      </c>
      <c r="U85">
        <f t="shared" si="12"/>
        <v>5.1141360302192344E-2</v>
      </c>
      <c r="V85">
        <f t="shared" si="13"/>
        <v>-0.29996538707248421</v>
      </c>
      <c r="W85">
        <f>F85-V85</f>
        <v>-2.7922652044457759</v>
      </c>
      <c r="Y85">
        <f>(1-H85)*U85</f>
        <v>-0.28001398923106263</v>
      </c>
      <c r="Z85">
        <f>C85-Y85</f>
        <v>-3.0014181469544674</v>
      </c>
    </row>
    <row r="86" spans="1:26" x14ac:dyDescent="0.75">
      <c r="A86" s="1">
        <v>45352</v>
      </c>
      <c r="B86">
        <v>0.41454957824942201</v>
      </c>
      <c r="C86">
        <v>-6.8046879277232701</v>
      </c>
      <c r="D86">
        <v>9.3725777515706703</v>
      </c>
      <c r="E86" t="s">
        <v>19</v>
      </c>
      <c r="F86">
        <v>-6.3901383494738502</v>
      </c>
      <c r="G86">
        <v>6.7362500000000001</v>
      </c>
      <c r="H86">
        <v>6.6470588235294104</v>
      </c>
      <c r="I86">
        <v>0.222132818356546</v>
      </c>
      <c r="J86">
        <v>139.06502437223801</v>
      </c>
      <c r="K86">
        <v>62.050683258477001</v>
      </c>
      <c r="L86">
        <v>0.29672108274078202</v>
      </c>
      <c r="M86">
        <v>12015.2181057614</v>
      </c>
      <c r="N86">
        <f t="shared" si="7"/>
        <v>5361.1790335324131</v>
      </c>
      <c r="O86">
        <v>25636.701548803499</v>
      </c>
      <c r="P86">
        <f t="shared" si="8"/>
        <v>1914.7017565317165</v>
      </c>
      <c r="Q86">
        <f t="shared" si="9"/>
        <v>2.1098752824583733</v>
      </c>
      <c r="R86">
        <f t="shared" si="10"/>
        <v>4039.7819093858989</v>
      </c>
      <c r="T86">
        <f t="shared" si="11"/>
        <v>-6.0662500000000001</v>
      </c>
      <c r="U86">
        <f t="shared" si="12"/>
        <v>5.0819866729617337E-2</v>
      </c>
      <c r="V86">
        <f t="shared" si="13"/>
        <v>-0.30828601654854115</v>
      </c>
      <c r="W86">
        <f>F86-V86</f>
        <v>-6.0818523329253091</v>
      </c>
      <c r="Y86">
        <f>(1-H86)*U86</f>
        <v>-0.28698277682607432</v>
      </c>
      <c r="Z86">
        <f>C86-Y86</f>
        <v>-6.5177051508971955</v>
      </c>
    </row>
    <row r="87" spans="1:26" x14ac:dyDescent="0.75">
      <c r="A87" s="1">
        <v>45353</v>
      </c>
      <c r="B87">
        <v>0.53541375615542597</v>
      </c>
      <c r="C87">
        <v>-13.594210478171201</v>
      </c>
      <c r="D87">
        <v>17.5890461010931</v>
      </c>
      <c r="E87" t="s">
        <v>19</v>
      </c>
      <c r="F87">
        <v>-13.058796722015799</v>
      </c>
      <c r="G87">
        <v>6.2391666666666703</v>
      </c>
      <c r="H87">
        <v>6.1729411764705899</v>
      </c>
      <c r="I87">
        <v>0.21944673343892099</v>
      </c>
      <c r="J87">
        <v>137.364658442418</v>
      </c>
      <c r="K87">
        <v>62.792950844750003</v>
      </c>
      <c r="L87">
        <v>0.29488660652610199</v>
      </c>
      <c r="M87">
        <v>11868.3064894249</v>
      </c>
      <c r="N87">
        <f t="shared" si="7"/>
        <v>5425.3109529864005</v>
      </c>
      <c r="O87">
        <v>25478.202803855202</v>
      </c>
      <c r="P87">
        <f t="shared" si="8"/>
        <v>1013.9686859761129</v>
      </c>
      <c r="Q87">
        <f t="shared" si="9"/>
        <v>2.1227108624072599</v>
      </c>
      <c r="R87">
        <f t="shared" si="10"/>
        <v>2152.3623438623108</v>
      </c>
      <c r="T87">
        <f t="shared" si="11"/>
        <v>-5.5691666666666704</v>
      </c>
      <c r="U87">
        <f t="shared" si="12"/>
        <v>5.1116815286221577E-2</v>
      </c>
      <c r="V87">
        <f t="shared" si="13"/>
        <v>-0.2846780637981825</v>
      </c>
      <c r="W87">
        <f>F87-V87</f>
        <v>-12.774118658217617</v>
      </c>
      <c r="Y87">
        <f>(1-H87)*U87</f>
        <v>-0.26442427860413686</v>
      </c>
      <c r="Z87">
        <f>C87-Y87</f>
        <v>-13.329786199567064</v>
      </c>
    </row>
    <row r="88" spans="1:26" x14ac:dyDescent="0.75">
      <c r="A88" s="1">
        <v>45354</v>
      </c>
      <c r="B88">
        <v>0.49019204259683202</v>
      </c>
      <c r="C88">
        <v>-11.961373901325899</v>
      </c>
      <c r="D88">
        <v>14.8001641526866</v>
      </c>
      <c r="E88" t="s">
        <v>19</v>
      </c>
      <c r="F88">
        <v>-11.4711818587291</v>
      </c>
      <c r="G88">
        <v>6.0320833333333299</v>
      </c>
      <c r="H88">
        <v>5.9523529411764704</v>
      </c>
      <c r="I88">
        <v>0.220521167405971</v>
      </c>
      <c r="J88">
        <v>138.04477657188099</v>
      </c>
      <c r="K88">
        <v>63.494298043888797</v>
      </c>
      <c r="L88">
        <v>0.29562172476839599</v>
      </c>
      <c r="M88">
        <v>11927.0686958105</v>
      </c>
      <c r="N88">
        <f t="shared" si="7"/>
        <v>5485.9073509919926</v>
      </c>
      <c r="O88">
        <v>25541.717019989399</v>
      </c>
      <c r="P88">
        <f t="shared" si="8"/>
        <v>1208.0407845170459</v>
      </c>
      <c r="Q88">
        <f t="shared" si="9"/>
        <v>2.1175484153199413</v>
      </c>
      <c r="R88">
        <f t="shared" si="10"/>
        <v>2558.0848488959296</v>
      </c>
      <c r="T88">
        <f t="shared" si="11"/>
        <v>-5.36208333333333</v>
      </c>
      <c r="U88">
        <f t="shared" si="12"/>
        <v>5.1813760774514571E-2</v>
      </c>
      <c r="V88">
        <f t="shared" si="13"/>
        <v>-0.27782970308634486</v>
      </c>
      <c r="W88">
        <f>F88-V88</f>
        <v>-11.193352155642755</v>
      </c>
      <c r="Y88">
        <f>(1-H88)*U88</f>
        <v>-0.25660003056508129</v>
      </c>
      <c r="Z88">
        <f>C88-Y88</f>
        <v>-11.704773870760818</v>
      </c>
    </row>
    <row r="89" spans="1:26" x14ac:dyDescent="0.75">
      <c r="A89" s="1">
        <v>45355</v>
      </c>
      <c r="B89">
        <v>0.48419597206967702</v>
      </c>
      <c r="C89">
        <v>-9.8015771152684508</v>
      </c>
      <c r="D89">
        <v>12.2854203415034</v>
      </c>
      <c r="E89" t="s">
        <v>19</v>
      </c>
      <c r="F89">
        <v>-9.3173811431987801</v>
      </c>
      <c r="G89">
        <v>6.0045833333333301</v>
      </c>
      <c r="H89">
        <v>5.9082352941176497</v>
      </c>
      <c r="I89">
        <v>0.21945486282580901</v>
      </c>
      <c r="J89">
        <v>137.36985865832801</v>
      </c>
      <c r="K89">
        <v>64.151357366823305</v>
      </c>
      <c r="L89">
        <v>0.294889588138881</v>
      </c>
      <c r="M89">
        <v>11868.755788079599</v>
      </c>
      <c r="N89">
        <f t="shared" si="7"/>
        <v>5542.677276493534</v>
      </c>
      <c r="O89">
        <v>25478.460415199301</v>
      </c>
      <c r="P89">
        <f t="shared" si="8"/>
        <v>1451.7144546034312</v>
      </c>
      <c r="Q89">
        <f t="shared" si="9"/>
        <v>2.1226911235510486</v>
      </c>
      <c r="R89">
        <f t="shared" si="10"/>
        <v>3081.5413867174552</v>
      </c>
      <c r="T89">
        <f t="shared" si="11"/>
        <v>-5.3345833333333301</v>
      </c>
      <c r="U89">
        <f t="shared" si="12"/>
        <v>5.2223116354499971E-2</v>
      </c>
      <c r="V89">
        <f t="shared" si="13"/>
        <v>-0.27858856611944283</v>
      </c>
      <c r="W89">
        <f>F89-V89</f>
        <v>-9.038792577079338</v>
      </c>
      <c r="Y89">
        <f>(1-H89)*U89</f>
        <v>-0.25632334285996938</v>
      </c>
      <c r="Z89">
        <f>C89-Y89</f>
        <v>-9.5452537724084809</v>
      </c>
    </row>
    <row r="90" spans="1:26" x14ac:dyDescent="0.75">
      <c r="A90" s="1">
        <v>45356</v>
      </c>
      <c r="B90">
        <v>0.26143452341899298</v>
      </c>
      <c r="C90">
        <v>-5.2824948055149097</v>
      </c>
      <c r="D90">
        <v>6.3562431826567796</v>
      </c>
      <c r="E90" t="s">
        <v>19</v>
      </c>
      <c r="F90">
        <v>-5.0210602820959203</v>
      </c>
      <c r="G90">
        <v>5.9133333333333304</v>
      </c>
      <c r="H90">
        <v>5.8523529411764699</v>
      </c>
      <c r="I90">
        <v>0.21708063022186699</v>
      </c>
      <c r="J90">
        <v>135.86715651813901</v>
      </c>
      <c r="K90">
        <v>64.764035564049493</v>
      </c>
      <c r="L90">
        <v>0.29325612547126201</v>
      </c>
      <c r="M90">
        <v>11738.9223231672</v>
      </c>
      <c r="N90">
        <f t="shared" si="7"/>
        <v>5595.6126727338769</v>
      </c>
      <c r="O90">
        <v>25337.329240717099</v>
      </c>
      <c r="P90">
        <f t="shared" si="8"/>
        <v>2790.3480025584277</v>
      </c>
      <c r="Q90">
        <f t="shared" si="9"/>
        <v>2.1342550629264898</v>
      </c>
      <c r="R90">
        <f t="shared" si="10"/>
        <v>5955.3143517871422</v>
      </c>
      <c r="T90">
        <f t="shared" si="11"/>
        <v>-5.2433333333333305</v>
      </c>
      <c r="U90">
        <f t="shared" si="12"/>
        <v>5.2436213177455698E-2</v>
      </c>
      <c r="V90">
        <f t="shared" si="13"/>
        <v>-0.2749405444271259</v>
      </c>
      <c r="W90">
        <f>F90-V90</f>
        <v>-4.7461197376687947</v>
      </c>
      <c r="Y90">
        <f>(1-H90)*U90</f>
        <v>-0.25443901323578355</v>
      </c>
      <c r="Z90">
        <f>C90-Y90</f>
        <v>-5.028055792279126</v>
      </c>
    </row>
    <row r="91" spans="1:26" x14ac:dyDescent="0.75">
      <c r="A91" s="1">
        <v>45357</v>
      </c>
      <c r="B91">
        <v>0.36077968338263899</v>
      </c>
      <c r="C91">
        <v>-10.5942095207714</v>
      </c>
      <c r="D91">
        <v>10.544456899626599</v>
      </c>
      <c r="E91" t="s">
        <v>19</v>
      </c>
      <c r="F91">
        <v>-10.233429837388799</v>
      </c>
      <c r="G91">
        <v>5.7637499999999999</v>
      </c>
      <c r="H91">
        <v>5.7017647058823497</v>
      </c>
      <c r="I91">
        <v>0.25684642945043501</v>
      </c>
      <c r="J91">
        <v>161.05896222933799</v>
      </c>
      <c r="K91">
        <v>65.332468706682903</v>
      </c>
      <c r="L91">
        <v>0.31954230273447798</v>
      </c>
      <c r="M91">
        <v>13915.4943366148</v>
      </c>
      <c r="N91">
        <f t="shared" si="7"/>
        <v>5644.725296257403</v>
      </c>
      <c r="O91">
        <v>27608.454956258902</v>
      </c>
      <c r="P91">
        <f t="shared" si="8"/>
        <v>1832.8035908673116</v>
      </c>
      <c r="Q91">
        <f t="shared" si="9"/>
        <v>1.9623795214726083</v>
      </c>
      <c r="R91">
        <f t="shared" si="10"/>
        <v>3596.6562335994731</v>
      </c>
      <c r="T91">
        <f t="shared" si="11"/>
        <v>-5.09375</v>
      </c>
      <c r="U91">
        <f t="shared" si="12"/>
        <v>5.7529394640456609E-2</v>
      </c>
      <c r="V91">
        <f t="shared" si="13"/>
        <v>-0.29304035394982586</v>
      </c>
      <c r="W91">
        <f>F91-V91</f>
        <v>-9.9403894834389739</v>
      </c>
      <c r="Y91">
        <f>(1-H91)*U91</f>
        <v>-0.2704896772712761</v>
      </c>
      <c r="Z91">
        <f>C91-Y91</f>
        <v>-10.323719843500124</v>
      </c>
    </row>
    <row r="92" spans="1:26" x14ac:dyDescent="0.75">
      <c r="A92" s="1">
        <v>45358</v>
      </c>
      <c r="B92">
        <v>0.58007972139999697</v>
      </c>
      <c r="C92">
        <v>-14.817174403701999</v>
      </c>
      <c r="D92">
        <v>15.485802031412</v>
      </c>
      <c r="E92" t="s">
        <v>19</v>
      </c>
      <c r="F92">
        <v>-14.237094682302001</v>
      </c>
      <c r="G92">
        <v>5.7658333333333296</v>
      </c>
      <c r="H92">
        <v>5.6535294117647101</v>
      </c>
      <c r="I92">
        <v>0.25501167199304098</v>
      </c>
      <c r="J92">
        <v>159.89531472318299</v>
      </c>
      <c r="K92">
        <v>65.836179973665296</v>
      </c>
      <c r="L92">
        <v>0.31838905476148399</v>
      </c>
      <c r="M92">
        <v>13814.955192083</v>
      </c>
      <c r="N92">
        <f t="shared" si="7"/>
        <v>5688.2459497246819</v>
      </c>
      <c r="O92">
        <v>27508.814331392201</v>
      </c>
      <c r="P92">
        <f t="shared" si="8"/>
        <v>1243.4725688029964</v>
      </c>
      <c r="Q92">
        <f t="shared" si="9"/>
        <v>1.9693257057960112</v>
      </c>
      <c r="R92">
        <f t="shared" si="10"/>
        <v>2448.8024941959402</v>
      </c>
      <c r="T92">
        <f t="shared" si="11"/>
        <v>-5.0958333333333297</v>
      </c>
      <c r="U92">
        <f t="shared" si="12"/>
        <v>5.7768462910765338E-2</v>
      </c>
      <c r="V92">
        <f t="shared" si="13"/>
        <v>-0.29437845891610814</v>
      </c>
      <c r="W92">
        <f>F92-V92</f>
        <v>-13.942716223385892</v>
      </c>
      <c r="Y92">
        <f>(1-H92)*U92</f>
        <v>-0.26882724122768531</v>
      </c>
      <c r="Z92">
        <f>C92-Y92</f>
        <v>-14.548347162474315</v>
      </c>
    </row>
    <row r="93" spans="1:26" x14ac:dyDescent="0.75">
      <c r="A93" s="1">
        <v>45359</v>
      </c>
      <c r="B93">
        <v>0.60779254592925702</v>
      </c>
      <c r="C93">
        <v>-13.032872942652499</v>
      </c>
      <c r="D93">
        <v>13.975651638595901</v>
      </c>
      <c r="E93" t="s">
        <v>19</v>
      </c>
      <c r="F93">
        <v>-12.425080396723301</v>
      </c>
      <c r="G93">
        <v>5.7087500000000002</v>
      </c>
      <c r="H93">
        <v>5.5988235294117601</v>
      </c>
      <c r="I93">
        <v>0.23916817439695501</v>
      </c>
      <c r="J93">
        <v>149.85376712003199</v>
      </c>
      <c r="K93">
        <v>66.251779621534098</v>
      </c>
      <c r="L93">
        <v>0.30812761398521898</v>
      </c>
      <c r="M93">
        <v>12947.3654791708</v>
      </c>
      <c r="N93">
        <f t="shared" si="7"/>
        <v>5724.1537593005469</v>
      </c>
      <c r="O93">
        <v>26622.225848323</v>
      </c>
      <c r="P93">
        <f t="shared" si="8"/>
        <v>1333.430352711508</v>
      </c>
      <c r="Q93">
        <f t="shared" si="9"/>
        <v>2.0334507370439425</v>
      </c>
      <c r="R93">
        <f t="shared" si="10"/>
        <v>2711.4649335179802</v>
      </c>
      <c r="T93">
        <f t="shared" si="11"/>
        <v>-5.0387500000000003</v>
      </c>
      <c r="U93">
        <f t="shared" si="12"/>
        <v>5.6299901001013029E-2</v>
      </c>
      <c r="V93">
        <f t="shared" si="13"/>
        <v>-0.28368112616885444</v>
      </c>
      <c r="W93">
        <f>F93-V93</f>
        <v>-12.141399270554446</v>
      </c>
      <c r="Y93">
        <f>(1-H93)*U93</f>
        <v>-0.25891330942701141</v>
      </c>
      <c r="Z93">
        <f>C93-Y93</f>
        <v>-12.773959633225488</v>
      </c>
    </row>
    <row r="94" spans="1:26" x14ac:dyDescent="0.75">
      <c r="A94" s="1">
        <v>45360</v>
      </c>
      <c r="B94">
        <v>0.17603834651324499</v>
      </c>
      <c r="C94">
        <v>-3.82428338400649</v>
      </c>
      <c r="D94">
        <v>3.6257445517259601</v>
      </c>
      <c r="E94" t="s">
        <v>19</v>
      </c>
      <c r="F94">
        <v>-3.64824503749325</v>
      </c>
      <c r="G94">
        <v>5.2512499999999998</v>
      </c>
      <c r="H94">
        <v>5.1847058823529402</v>
      </c>
      <c r="I94">
        <v>0.234297994202049</v>
      </c>
      <c r="J94">
        <v>146.768819507552</v>
      </c>
      <c r="K94">
        <v>66.5861944116876</v>
      </c>
      <c r="L94">
        <v>0.304894068457012</v>
      </c>
      <c r="M94">
        <v>12680.8260054525</v>
      </c>
      <c r="N94">
        <f t="shared" si="7"/>
        <v>5753.0471971698089</v>
      </c>
      <c r="O94">
        <v>26342.847514685898</v>
      </c>
      <c r="P94">
        <f t="shared" si="8"/>
        <v>5085.8500915355862</v>
      </c>
      <c r="Q94">
        <f t="shared" si="9"/>
        <v>2.0545478245401703</v>
      </c>
      <c r="R94">
        <f t="shared" si="10"/>
        <v>10449.122241501864</v>
      </c>
      <c r="T94">
        <f t="shared" si="11"/>
        <v>-4.5812499999999998</v>
      </c>
      <c r="U94">
        <f t="shared" si="12"/>
        <v>5.6003049707128653E-2</v>
      </c>
      <c r="V94">
        <f t="shared" si="13"/>
        <v>-0.25656397147078314</v>
      </c>
      <c r="W94">
        <f>F94-V94</f>
        <v>-3.3916810660224668</v>
      </c>
      <c r="Y94">
        <f>(1-H94)*U94</f>
        <v>-0.23435629153912538</v>
      </c>
      <c r="Z94">
        <f>C94-Y94</f>
        <v>-3.5899270924673647</v>
      </c>
    </row>
    <row r="95" spans="1:26" x14ac:dyDescent="0.75">
      <c r="A95" s="1">
        <v>45361</v>
      </c>
      <c r="B95">
        <v>0.13081512270649201</v>
      </c>
      <c r="C95">
        <v>-5.0045632656990202</v>
      </c>
      <c r="D95">
        <v>4.8384945445602598</v>
      </c>
      <c r="E95" t="s">
        <v>19</v>
      </c>
      <c r="F95">
        <v>-4.8737481429925298</v>
      </c>
      <c r="G95">
        <v>5.4862500000000001</v>
      </c>
      <c r="H95">
        <v>5.4082352941176497</v>
      </c>
      <c r="I95">
        <v>0.28016986624882301</v>
      </c>
      <c r="J95">
        <v>175.85437363884</v>
      </c>
      <c r="K95">
        <v>66.844799958709501</v>
      </c>
      <c r="L95">
        <v>0.33407439041932202</v>
      </c>
      <c r="M95">
        <v>15193.817882395801</v>
      </c>
      <c r="N95">
        <f t="shared" si="7"/>
        <v>5775.390716432501</v>
      </c>
      <c r="O95">
        <v>28864.027332229402</v>
      </c>
      <c r="P95">
        <f t="shared" si="8"/>
        <v>4175.8482822464084</v>
      </c>
      <c r="Q95">
        <f t="shared" si="9"/>
        <v>1.8788346744382427</v>
      </c>
      <c r="R95">
        <f t="shared" si="10"/>
        <v>7845.7285478779258</v>
      </c>
      <c r="T95">
        <f t="shared" si="11"/>
        <v>-4.8162500000000001</v>
      </c>
      <c r="U95">
        <f t="shared" si="12"/>
        <v>6.1478434425416374E-2</v>
      </c>
      <c r="V95">
        <f t="shared" si="13"/>
        <v>-0.29609550980141164</v>
      </c>
      <c r="W95">
        <f>F95-V95</f>
        <v>-4.5776526331911178</v>
      </c>
      <c r="Y95">
        <f>(1-H95)*U95</f>
        <v>-0.27101140446121796</v>
      </c>
      <c r="Z95">
        <f>C95-Y95</f>
        <v>-4.7335518612378022</v>
      </c>
    </row>
    <row r="96" spans="1:26" x14ac:dyDescent="0.75">
      <c r="A96" s="1">
        <v>45362</v>
      </c>
      <c r="B96">
        <v>0.21329456178251899</v>
      </c>
      <c r="C96">
        <v>-5.5150396850930399</v>
      </c>
      <c r="D96">
        <v>7.1142924790843303</v>
      </c>
      <c r="E96" t="s">
        <v>19</v>
      </c>
      <c r="F96">
        <v>-5.3017451233105204</v>
      </c>
      <c r="G96">
        <v>6.4550000000000001</v>
      </c>
      <c r="H96">
        <v>6.3170588235294103</v>
      </c>
      <c r="I96">
        <v>0.26310221847716397</v>
      </c>
      <c r="J96">
        <v>165.026431665583</v>
      </c>
      <c r="K96">
        <v>67.028110720052496</v>
      </c>
      <c r="L96">
        <v>0.32348101860325101</v>
      </c>
      <c r="M96">
        <v>14258.283695906401</v>
      </c>
      <c r="N96">
        <f t="shared" si="7"/>
        <v>5791.2287662125364</v>
      </c>
      <c r="O96">
        <v>27948.7600073209</v>
      </c>
      <c r="P96">
        <f t="shared" si="8"/>
        <v>2749.9757794105617</v>
      </c>
      <c r="Q96">
        <f t="shared" si="9"/>
        <v>1.9390106616457572</v>
      </c>
      <c r="R96">
        <f t="shared" si="10"/>
        <v>5332.2323555446801</v>
      </c>
      <c r="T96">
        <f t="shared" si="11"/>
        <v>-5.7850000000000001</v>
      </c>
      <c r="U96">
        <f t="shared" si="12"/>
        <v>5.9733851708656062E-2</v>
      </c>
      <c r="V96">
        <f t="shared" si="13"/>
        <v>-0.34556033213457532</v>
      </c>
      <c r="W96">
        <f>F96-V96</f>
        <v>-4.9561847911759447</v>
      </c>
      <c r="Y96">
        <f>(1-H96)*U96</f>
        <v>-0.31760840329090706</v>
      </c>
      <c r="Z96">
        <f>C96-Y96</f>
        <v>-5.1974312818021327</v>
      </c>
    </row>
    <row r="97" spans="1:26" x14ac:dyDescent="0.75">
      <c r="A97" s="1">
        <v>45363</v>
      </c>
      <c r="B97">
        <v>0.74499395555866998</v>
      </c>
      <c r="C97">
        <v>-14.3556887575969</v>
      </c>
      <c r="D97">
        <v>19.848601526483201</v>
      </c>
      <c r="E97" t="s">
        <v>19</v>
      </c>
      <c r="F97">
        <v>-13.6106948020382</v>
      </c>
      <c r="G97">
        <v>6.7949999999999999</v>
      </c>
      <c r="H97">
        <v>6.6617647058823497</v>
      </c>
      <c r="I97">
        <v>0.239206337352069</v>
      </c>
      <c r="J97">
        <v>149.878290646707</v>
      </c>
      <c r="K97">
        <v>67.135399301764394</v>
      </c>
      <c r="L97">
        <v>0.30813705524399598</v>
      </c>
      <c r="M97">
        <v>12949.4843118755</v>
      </c>
      <c r="N97">
        <f t="shared" si="7"/>
        <v>5800.4984996724443</v>
      </c>
      <c r="O97">
        <v>26623.0415730813</v>
      </c>
      <c r="P97">
        <f t="shared" si="8"/>
        <v>938.91396208903996</v>
      </c>
      <c r="Q97">
        <f t="shared" si="9"/>
        <v>2.0333967362800487</v>
      </c>
      <c r="R97">
        <f t="shared" si="10"/>
        <v>1909.1845861596232</v>
      </c>
      <c r="T97">
        <f t="shared" si="11"/>
        <v>-6.125</v>
      </c>
      <c r="U97">
        <f t="shared" si="12"/>
        <v>5.7052304611091634E-2</v>
      </c>
      <c r="V97">
        <f t="shared" si="13"/>
        <v>-0.34944536574293628</v>
      </c>
      <c r="W97">
        <f>F97-V97</f>
        <v>-13.261249436295264</v>
      </c>
      <c r="Y97">
        <f>(1-H97)*U97</f>
        <v>-0.32301672463632747</v>
      </c>
      <c r="Z97">
        <f>C97-Y97</f>
        <v>-14.032672032960573</v>
      </c>
    </row>
    <row r="98" spans="1:26" x14ac:dyDescent="0.75">
      <c r="A98" s="1">
        <v>45364</v>
      </c>
      <c r="B98">
        <v>0.68793509221195004</v>
      </c>
      <c r="C98">
        <v>-16.216421316170202</v>
      </c>
      <c r="D98">
        <v>22.246754057155599</v>
      </c>
      <c r="E98" t="s">
        <v>19</v>
      </c>
      <c r="F98">
        <v>-15.5284862239582</v>
      </c>
      <c r="G98">
        <v>6.5025000000000004</v>
      </c>
      <c r="H98">
        <v>6.3868749999999999</v>
      </c>
      <c r="I98">
        <v>0.22581407571906101</v>
      </c>
      <c r="J98">
        <v>141.39580564167301</v>
      </c>
      <c r="K98">
        <v>66.539871221618597</v>
      </c>
      <c r="L98">
        <v>0.29921440697660601</v>
      </c>
      <c r="M98">
        <v>12216.597607440601</v>
      </c>
      <c r="N98">
        <f t="shared" si="7"/>
        <v>5749.0448735478476</v>
      </c>
      <c r="O98">
        <v>25852.1247627788</v>
      </c>
      <c r="P98">
        <f t="shared" si="8"/>
        <v>813.44394276361766</v>
      </c>
      <c r="Q98">
        <f t="shared" si="9"/>
        <v>2.0926809297024684</v>
      </c>
      <c r="R98">
        <f t="shared" si="10"/>
        <v>1702.2786264034089</v>
      </c>
      <c r="T98">
        <f t="shared" si="11"/>
        <v>-5.8325000000000005</v>
      </c>
      <c r="U98">
        <f t="shared" si="12"/>
        <v>5.494430414067214E-2</v>
      </c>
      <c r="V98">
        <f t="shared" si="13"/>
        <v>-0.3204626539004703</v>
      </c>
      <c r="W98">
        <f>F98-V98</f>
        <v>-15.20802357005773</v>
      </c>
      <c r="Y98">
        <f>(1-H98)*U98</f>
        <v>-0.29597809836778322</v>
      </c>
      <c r="Z98">
        <f>C98-Y98</f>
        <v>-15.920443217802418</v>
      </c>
    </row>
    <row r="99" spans="1:26" x14ac:dyDescent="0.75">
      <c r="A99" s="1">
        <v>45365</v>
      </c>
      <c r="B99">
        <v>0.96342241602763501</v>
      </c>
      <c r="C99">
        <v>-18.709165262852601</v>
      </c>
      <c r="D99">
        <v>26.970081162299699</v>
      </c>
      <c r="E99" t="s">
        <v>19</v>
      </c>
      <c r="F99">
        <v>-17.745742846824999</v>
      </c>
      <c r="G99">
        <v>6.4904166666666701</v>
      </c>
      <c r="H99">
        <v>6.3331249999999999</v>
      </c>
      <c r="I99">
        <v>0.21342285775480699</v>
      </c>
      <c r="J99">
        <v>133.55275513152901</v>
      </c>
      <c r="K99">
        <v>65.278744548213695</v>
      </c>
      <c r="L99">
        <v>0.29070697131190198</v>
      </c>
      <c r="M99">
        <v>11538.9580433641</v>
      </c>
      <c r="N99">
        <f t="shared" si="7"/>
        <v>5640.0835289656634</v>
      </c>
      <c r="O99">
        <v>25117.082321348302</v>
      </c>
      <c r="P99">
        <f t="shared" si="8"/>
        <v>651.90599609766332</v>
      </c>
      <c r="Q99">
        <f t="shared" si="9"/>
        <v>2.1525659906029748</v>
      </c>
      <c r="R99">
        <f t="shared" si="10"/>
        <v>1403.2706762699856</v>
      </c>
      <c r="T99">
        <f t="shared" si="11"/>
        <v>-5.8204166666666701</v>
      </c>
      <c r="U99">
        <f t="shared" si="12"/>
        <v>5.2403350731986327E-2</v>
      </c>
      <c r="V99">
        <f t="shared" si="13"/>
        <v>-0.30500933598963226</v>
      </c>
      <c r="W99">
        <f>F99-V99</f>
        <v>-17.440733510835368</v>
      </c>
      <c r="Y99">
        <f>(1-H99)*U99</f>
        <v>-0.27947361987252456</v>
      </c>
      <c r="Z99">
        <f>C99-Y99</f>
        <v>-18.429691642980075</v>
      </c>
    </row>
    <row r="100" spans="1:26" x14ac:dyDescent="0.75">
      <c r="A100" s="1">
        <v>45367</v>
      </c>
      <c r="B100">
        <v>0.460338320174287</v>
      </c>
      <c r="C100">
        <v>-10.970973923848099</v>
      </c>
      <c r="D100">
        <v>14.0302164572234</v>
      </c>
      <c r="E100" t="s">
        <v>19</v>
      </c>
      <c r="F100">
        <v>-10.510635603673901</v>
      </c>
      <c r="G100">
        <v>5.625</v>
      </c>
      <c r="H100">
        <v>5.5125000000000002</v>
      </c>
      <c r="I100">
        <v>0.19437660754109401</v>
      </c>
      <c r="J100">
        <v>121.507113833815</v>
      </c>
      <c r="K100">
        <v>62.681914518831803</v>
      </c>
      <c r="L100">
        <v>0.277159377196251</v>
      </c>
      <c r="M100">
        <v>10498.2146352416</v>
      </c>
      <c r="N100">
        <f t="shared" si="7"/>
        <v>5415.7174144270684</v>
      </c>
      <c r="O100">
        <v>23946.570189756101</v>
      </c>
      <c r="P100">
        <f t="shared" si="8"/>
        <v>1194.7498589160477</v>
      </c>
      <c r="Q100">
        <f t="shared" si="9"/>
        <v>2.2554236512237393</v>
      </c>
      <c r="R100">
        <f t="shared" si="10"/>
        <v>2694.6670890954797</v>
      </c>
      <c r="T100">
        <f t="shared" si="11"/>
        <v>-4.9550000000000001</v>
      </c>
      <c r="U100">
        <f t="shared" si="12"/>
        <v>4.8023948063935833E-2</v>
      </c>
      <c r="V100">
        <f t="shared" si="13"/>
        <v>-0.23795866265680204</v>
      </c>
      <c r="W100">
        <f>F100-V100</f>
        <v>-10.272676941017099</v>
      </c>
      <c r="Y100">
        <f>(1-H100)*U100</f>
        <v>-0.21670806563851044</v>
      </c>
      <c r="Z100">
        <f>C100-Y100</f>
        <v>-10.754265858209589</v>
      </c>
    </row>
    <row r="101" spans="1:26" x14ac:dyDescent="0.75">
      <c r="A101" s="1">
        <v>45368</v>
      </c>
      <c r="B101">
        <v>0.63861334339143605</v>
      </c>
      <c r="C101">
        <v>-16.161008580879301</v>
      </c>
      <c r="D101">
        <v>20.281922284795002</v>
      </c>
      <c r="E101" t="s">
        <v>19</v>
      </c>
      <c r="F101">
        <v>-15.522395237487901</v>
      </c>
      <c r="G101">
        <v>5.3379166666666702</v>
      </c>
      <c r="H101">
        <v>5.21875</v>
      </c>
      <c r="I101">
        <v>0.189400745316642</v>
      </c>
      <c r="J101">
        <v>118.362406993292</v>
      </c>
      <c r="K101">
        <v>61.353257678407203</v>
      </c>
      <c r="L101">
        <v>0.27350854816102499</v>
      </c>
      <c r="M101">
        <v>10226.511964220501</v>
      </c>
      <c r="N101">
        <f t="shared" si="7"/>
        <v>5300.9214634143827</v>
      </c>
      <c r="O101">
        <v>23631.138561112599</v>
      </c>
      <c r="P101">
        <f t="shared" si="8"/>
        <v>815.59315534799725</v>
      </c>
      <c r="Q101">
        <f t="shared" si="9"/>
        <v>2.2848684476560339</v>
      </c>
      <c r="R101">
        <f t="shared" si="10"/>
        <v>1863.5230667788651</v>
      </c>
      <c r="T101">
        <f t="shared" si="11"/>
        <v>-4.6679166666666703</v>
      </c>
      <c r="U101">
        <f t="shared" si="12"/>
        <v>4.640023340383042E-2</v>
      </c>
      <c r="V101">
        <f t="shared" si="13"/>
        <v>-0.21659242284296357</v>
      </c>
      <c r="W101">
        <f>F101-V101</f>
        <v>-15.305802814644938</v>
      </c>
      <c r="Y101">
        <f>(1-H101)*U101</f>
        <v>-0.19575098467240959</v>
      </c>
      <c r="Z101">
        <f>C101-Y101</f>
        <v>-15.965257596206891</v>
      </c>
    </row>
    <row r="102" spans="1:26" x14ac:dyDescent="0.75">
      <c r="A102" s="1">
        <v>45369</v>
      </c>
      <c r="B102">
        <v>7.0416618059775699E-2</v>
      </c>
      <c r="C102">
        <v>-3.1562614012290102</v>
      </c>
      <c r="D102">
        <v>4.3380827063124103</v>
      </c>
      <c r="E102" t="s">
        <v>19</v>
      </c>
      <c r="F102">
        <v>-3.0858447831692399</v>
      </c>
      <c r="G102">
        <v>5.3004166666666697</v>
      </c>
      <c r="H102">
        <v>5.2356249999999998</v>
      </c>
      <c r="I102">
        <v>0.186923088846178</v>
      </c>
      <c r="J102">
        <v>116.79668565994901</v>
      </c>
      <c r="K102">
        <v>60.0096626499436</v>
      </c>
      <c r="L102">
        <v>0.27168366853791898</v>
      </c>
      <c r="M102">
        <v>10091.2336410196</v>
      </c>
      <c r="N102">
        <f t="shared" si="7"/>
        <v>5184.8348529551276</v>
      </c>
      <c r="O102">
        <v>23473.468961676201</v>
      </c>
      <c r="P102">
        <f t="shared" si="8"/>
        <v>3787.7166908928957</v>
      </c>
      <c r="Q102">
        <f t="shared" si="9"/>
        <v>2.2998739657317895</v>
      </c>
      <c r="R102">
        <f t="shared" si="10"/>
        <v>8711.2710069523346</v>
      </c>
      <c r="T102">
        <f t="shared" si="11"/>
        <v>-4.6304166666666697</v>
      </c>
      <c r="U102">
        <f t="shared" si="12"/>
        <v>4.5087991170032503E-2</v>
      </c>
      <c r="V102">
        <f t="shared" si="13"/>
        <v>-0.20877618578023813</v>
      </c>
      <c r="W102">
        <f>F102-V102</f>
        <v>-2.8770685973890018</v>
      </c>
      <c r="Y102">
        <f>(1-H102)*U102</f>
        <v>-0.19097582259956891</v>
      </c>
      <c r="Z102">
        <f>C102-Y102</f>
        <v>-2.9652855786294414</v>
      </c>
    </row>
    <row r="103" spans="1:26" x14ac:dyDescent="0.75">
      <c r="A103" s="1">
        <v>45370</v>
      </c>
      <c r="B103">
        <v>0.12542381669104399</v>
      </c>
      <c r="C103">
        <v>-2.8966986618034598</v>
      </c>
      <c r="D103">
        <v>5.5108905326148001</v>
      </c>
      <c r="E103" t="s">
        <v>19</v>
      </c>
      <c r="F103">
        <v>-2.7712748451124098</v>
      </c>
      <c r="G103">
        <v>6.41916666666667</v>
      </c>
      <c r="H103">
        <v>6.2268749999999997</v>
      </c>
      <c r="I103">
        <v>0.182126298949568</v>
      </c>
      <c r="J103">
        <v>113.766769573141</v>
      </c>
      <c r="K103">
        <v>58.6557088247081</v>
      </c>
      <c r="L103">
        <v>0.26808101083041003</v>
      </c>
      <c r="M103">
        <v>9829.4488911194094</v>
      </c>
      <c r="N103">
        <f t="shared" si="7"/>
        <v>5067.8532424547802</v>
      </c>
      <c r="O103">
        <v>23162.199335747398</v>
      </c>
      <c r="P103">
        <f t="shared" si="8"/>
        <v>2942.0906546895603</v>
      </c>
      <c r="Q103">
        <f t="shared" si="9"/>
        <v>2.3301115455012993</v>
      </c>
      <c r="R103">
        <f t="shared" si="10"/>
        <v>6855.399402403621</v>
      </c>
      <c r="T103">
        <f t="shared" si="11"/>
        <v>-5.7491666666666701</v>
      </c>
      <c r="U103">
        <f t="shared" si="12"/>
        <v>4.3498803756748777E-2</v>
      </c>
      <c r="V103">
        <f t="shared" si="13"/>
        <v>-0.25008187259817499</v>
      </c>
      <c r="W103">
        <f>F103-V103</f>
        <v>-2.521192972514235</v>
      </c>
      <c r="Y103">
        <f>(1-H103)*U103</f>
        <v>-0.22736280988605626</v>
      </c>
      <c r="Z103">
        <f>C103-Y103</f>
        <v>-2.6693358519174035</v>
      </c>
    </row>
    <row r="104" spans="1:26" x14ac:dyDescent="0.75">
      <c r="A104" s="1">
        <v>45371</v>
      </c>
      <c r="B104">
        <v>1.0944211218144699</v>
      </c>
      <c r="C104">
        <v>-17.0245337290207</v>
      </c>
      <c r="D104">
        <v>35.530931957962999</v>
      </c>
      <c r="E104" t="s">
        <v>19</v>
      </c>
      <c r="F104">
        <v>-15.930112607206199</v>
      </c>
      <c r="G104">
        <v>7.2183333333333302</v>
      </c>
      <c r="H104">
        <v>7.0287499999999996</v>
      </c>
      <c r="I104">
        <v>0.173439823243283</v>
      </c>
      <c r="J104">
        <v>108.281645281843</v>
      </c>
      <c r="K104">
        <v>57.294596719709702</v>
      </c>
      <c r="L104">
        <v>0.26146572414355901</v>
      </c>
      <c r="M104">
        <v>9355.5341523512107</v>
      </c>
      <c r="N104">
        <f t="shared" si="7"/>
        <v>4950.2531565829186</v>
      </c>
      <c r="O104">
        <v>22590.638566003501</v>
      </c>
      <c r="P104">
        <f t="shared" si="8"/>
        <v>445.06141901685828</v>
      </c>
      <c r="Q104">
        <f t="shared" si="9"/>
        <v>2.3877632242478795</v>
      </c>
      <c r="R104">
        <f t="shared" si="10"/>
        <v>1062.70128886003</v>
      </c>
      <c r="T104">
        <f t="shared" si="11"/>
        <v>-6.5483333333333302</v>
      </c>
      <c r="U104">
        <f t="shared" si="12"/>
        <v>4.1463517875749152E-2</v>
      </c>
      <c r="V104">
        <f t="shared" si="13"/>
        <v>-0.27151693622303058</v>
      </c>
      <c r="W104">
        <f>F104-V104</f>
        <v>-15.65859567098317</v>
      </c>
      <c r="Y104">
        <f>(1-H104)*U104</f>
        <v>-0.24997318339342267</v>
      </c>
      <c r="Z104">
        <f>C104-Y104</f>
        <v>-16.774560545627278</v>
      </c>
    </row>
    <row r="105" spans="1:26" x14ac:dyDescent="0.75">
      <c r="A105" s="1">
        <v>45372</v>
      </c>
      <c r="B105">
        <v>0.44002715101373902</v>
      </c>
      <c r="C105">
        <v>-5.6133242256544396</v>
      </c>
      <c r="D105">
        <v>11.2688002877267</v>
      </c>
      <c r="E105" t="s">
        <v>19</v>
      </c>
      <c r="F105">
        <v>-5.1732970746406997</v>
      </c>
      <c r="G105">
        <v>7.1283333333333303</v>
      </c>
      <c r="H105">
        <v>6.9406249999999998</v>
      </c>
      <c r="I105">
        <v>0.16468582846256599</v>
      </c>
      <c r="J105">
        <v>102.75693922802201</v>
      </c>
      <c r="K105">
        <v>55.928903761301697</v>
      </c>
      <c r="L105">
        <v>0.254635688703227</v>
      </c>
      <c r="M105">
        <v>8878.19954930112</v>
      </c>
      <c r="N105">
        <f t="shared" si="7"/>
        <v>4832.2572849764665</v>
      </c>
      <c r="O105">
        <v>22000.523503958801</v>
      </c>
      <c r="P105">
        <f t="shared" si="8"/>
        <v>1366.6376241971661</v>
      </c>
      <c r="Q105">
        <f t="shared" si="9"/>
        <v>2.4503925208870512</v>
      </c>
      <c r="R105">
        <f t="shared" si="10"/>
        <v>3348.7986130955842</v>
      </c>
      <c r="T105">
        <f t="shared" si="11"/>
        <v>-6.4583333333333304</v>
      </c>
      <c r="U105">
        <f t="shared" si="12"/>
        <v>3.9440679350646823E-2</v>
      </c>
      <c r="V105">
        <f t="shared" si="13"/>
        <v>-0.25472105413959395</v>
      </c>
      <c r="W105">
        <f>F105-V105</f>
        <v>-4.9185760205011055</v>
      </c>
      <c r="Y105">
        <f>(1-H105)*U105</f>
        <v>-0.23430228576743628</v>
      </c>
      <c r="Z105">
        <f>C105-Y105</f>
        <v>-5.3790219398870036</v>
      </c>
    </row>
    <row r="106" spans="1:26" x14ac:dyDescent="0.75">
      <c r="A106" s="1">
        <v>45374</v>
      </c>
      <c r="B106">
        <v>0.30631800708928297</v>
      </c>
      <c r="C106">
        <v>-14.256350239525901</v>
      </c>
      <c r="D106">
        <v>17.367091460302301</v>
      </c>
      <c r="E106" t="s">
        <v>19</v>
      </c>
      <c r="F106">
        <v>-13.950032232436699</v>
      </c>
      <c r="G106">
        <v>6.1858333333333304</v>
      </c>
      <c r="H106">
        <v>6.1287500000000001</v>
      </c>
      <c r="I106">
        <v>0.23726883347706099</v>
      </c>
      <c r="J106">
        <v>148.650180151863</v>
      </c>
      <c r="K106">
        <v>53.189488678464599</v>
      </c>
      <c r="L106">
        <v>0.30688823737394499</v>
      </c>
      <c r="M106">
        <v>12843.375565120999</v>
      </c>
      <c r="N106">
        <f t="shared" si="7"/>
        <v>4595.5718218193415</v>
      </c>
      <c r="O106">
        <v>26515.143709108899</v>
      </c>
      <c r="P106">
        <f t="shared" si="8"/>
        <v>1068.7224535439368</v>
      </c>
      <c r="Q106">
        <f t="shared" si="9"/>
        <v>2.0414770498987247</v>
      </c>
      <c r="R106">
        <f t="shared" si="10"/>
        <v>2181.772361621403</v>
      </c>
      <c r="T106">
        <f t="shared" si="11"/>
        <v>-5.5158333333333305</v>
      </c>
      <c r="U106">
        <f t="shared" si="12"/>
        <v>4.5022027771973464E-2</v>
      </c>
      <c r="V106">
        <f t="shared" si="13"/>
        <v>-0.24833400151891016</v>
      </c>
      <c r="W106">
        <f>F106-V106</f>
        <v>-13.701698230917788</v>
      </c>
      <c r="Y106">
        <f>(1-H106)*U106</f>
        <v>-0.2309067249355089</v>
      </c>
      <c r="Z106">
        <f>C106-Y106</f>
        <v>-14.025443514590393</v>
      </c>
    </row>
    <row r="107" spans="1:26" x14ac:dyDescent="0.75">
      <c r="A107" s="1">
        <v>45375</v>
      </c>
      <c r="B107">
        <v>0.13373826874542699</v>
      </c>
      <c r="C107">
        <v>-4.0106544460602196</v>
      </c>
      <c r="D107">
        <v>5.8416729532670999</v>
      </c>
      <c r="E107" t="s">
        <v>19</v>
      </c>
      <c r="F107">
        <v>-3.8769161773148002</v>
      </c>
      <c r="G107">
        <v>6.42458333333333</v>
      </c>
      <c r="H107">
        <v>6.335</v>
      </c>
      <c r="I107">
        <v>0.229724310812258</v>
      </c>
      <c r="J107">
        <v>143.871773577265</v>
      </c>
      <c r="K107">
        <v>51.818159902691498</v>
      </c>
      <c r="L107">
        <v>0.30185300352896299</v>
      </c>
      <c r="M107">
        <v>12430.5212370757</v>
      </c>
      <c r="N107">
        <f t="shared" si="7"/>
        <v>4477.0890155925454</v>
      </c>
      <c r="O107">
        <v>26080.099504902399</v>
      </c>
      <c r="P107">
        <f t="shared" si="8"/>
        <v>3125.1440810669687</v>
      </c>
      <c r="Q107">
        <f t="shared" si="9"/>
        <v>2.0747851863451792</v>
      </c>
      <c r="R107">
        <f t="shared" si="10"/>
        <v>6484.0026445920648</v>
      </c>
      <c r="T107">
        <f t="shared" si="11"/>
        <v>-5.7545833333333301</v>
      </c>
      <c r="U107">
        <f t="shared" si="12"/>
        <v>4.3157133037749568E-2</v>
      </c>
      <c r="V107">
        <f t="shared" si="13"/>
        <v>-0.24835131849348288</v>
      </c>
      <c r="W107">
        <f>F107-V107</f>
        <v>-3.6285648588213175</v>
      </c>
      <c r="Y107">
        <f>(1-H107)*U107</f>
        <v>-0.23024330475639393</v>
      </c>
      <c r="Z107">
        <f>C107-Y107</f>
        <v>-3.7804111413038255</v>
      </c>
    </row>
    <row r="108" spans="1:26" x14ac:dyDescent="0.75">
      <c r="A108" s="1">
        <v>45377</v>
      </c>
      <c r="B108">
        <v>0.44685906086066501</v>
      </c>
      <c r="C108">
        <v>-8.7208068248008406</v>
      </c>
      <c r="D108">
        <v>14.383985976807599</v>
      </c>
      <c r="E108" t="s">
        <v>19</v>
      </c>
      <c r="F108">
        <v>-8.2739477639401802</v>
      </c>
      <c r="G108">
        <v>6.28</v>
      </c>
      <c r="H108">
        <v>6.1831250000000004</v>
      </c>
      <c r="I108">
        <v>0.17207182808304999</v>
      </c>
      <c r="J108">
        <v>107.41831931073899</v>
      </c>
      <c r="K108">
        <v>49.077089783684599</v>
      </c>
      <c r="L108">
        <v>0.26039712328152897</v>
      </c>
      <c r="M108">
        <v>9280.9427884478391</v>
      </c>
      <c r="N108">
        <f t="shared" si="7"/>
        <v>4240.2605573103492</v>
      </c>
      <c r="O108">
        <v>22498.3114515241</v>
      </c>
      <c r="P108">
        <f t="shared" si="8"/>
        <v>1094.8855234884054</v>
      </c>
      <c r="Q108">
        <f t="shared" si="9"/>
        <v>2.3973552717462532</v>
      </c>
      <c r="R108">
        <f t="shared" si="10"/>
        <v>2624.8295816935847</v>
      </c>
      <c r="T108">
        <f t="shared" si="11"/>
        <v>-5.61</v>
      </c>
      <c r="U108">
        <f t="shared" si="12"/>
        <v>3.5374486270628627E-2</v>
      </c>
      <c r="V108">
        <f t="shared" si="13"/>
        <v>-0.19845086797822661</v>
      </c>
      <c r="W108">
        <f>F108-V108</f>
        <v>-8.0754968959619529</v>
      </c>
      <c r="Y108">
        <f>(1-H108)*U108</f>
        <v>-0.18335038415145202</v>
      </c>
      <c r="Z108">
        <f>C108-Y108</f>
        <v>-8.5374564406493878</v>
      </c>
    </row>
    <row r="109" spans="1:26" x14ac:dyDescent="0.75">
      <c r="A109" s="1">
        <v>45378</v>
      </c>
      <c r="B109">
        <v>0.13794203001430599</v>
      </c>
      <c r="C109">
        <v>-18.508080160404202</v>
      </c>
      <c r="D109">
        <v>29.906693186138199</v>
      </c>
      <c r="E109" t="s">
        <v>19</v>
      </c>
      <c r="F109">
        <v>-18.370138130389901</v>
      </c>
      <c r="G109">
        <v>5.80375</v>
      </c>
      <c r="H109">
        <v>5.7862499999999999</v>
      </c>
      <c r="I109">
        <v>0.169282996747812</v>
      </c>
      <c r="J109">
        <v>105.657569675967</v>
      </c>
      <c r="K109">
        <v>47.708962657622799</v>
      </c>
      <c r="L109">
        <v>0.25825893905066</v>
      </c>
      <c r="M109">
        <v>9128.8140200035305</v>
      </c>
      <c r="N109">
        <f t="shared" si="7"/>
        <v>4122.05437361861</v>
      </c>
      <c r="O109">
        <v>22313.572333977001</v>
      </c>
      <c r="P109">
        <f t="shared" si="8"/>
        <v>522.27441317462558</v>
      </c>
      <c r="Q109">
        <f t="shared" si="9"/>
        <v>2.4167510487881048</v>
      </c>
      <c r="R109">
        <f t="shared" si="10"/>
        <v>1262.2072357949683</v>
      </c>
      <c r="T109">
        <f t="shared" si="11"/>
        <v>-5.13375</v>
      </c>
      <c r="U109">
        <f t="shared" si="12"/>
        <v>3.4112362344360138E-2</v>
      </c>
      <c r="V109">
        <f t="shared" si="13"/>
        <v>-0.17512434018535886</v>
      </c>
      <c r="W109">
        <f>F109-V109</f>
        <v>-18.195013790204541</v>
      </c>
      <c r="Y109">
        <f>(1-H109)*U109</f>
        <v>-0.1632702942706937</v>
      </c>
      <c r="Z109">
        <f>C109-Y109</f>
        <v>-18.34480986613351</v>
      </c>
    </row>
    <row r="110" spans="1:26" x14ac:dyDescent="0.75">
      <c r="A110" s="1">
        <v>45381</v>
      </c>
      <c r="B110">
        <v>0.3617979020773</v>
      </c>
      <c r="C110">
        <v>-10.6380922923782</v>
      </c>
      <c r="D110">
        <v>21.432583619527001</v>
      </c>
      <c r="E110" t="s">
        <v>19</v>
      </c>
      <c r="F110">
        <v>-10.276294390300899</v>
      </c>
      <c r="G110">
        <v>6.83083333333333</v>
      </c>
      <c r="H110">
        <v>6.6926666666666703</v>
      </c>
      <c r="I110">
        <v>0.17481075401544799</v>
      </c>
      <c r="J110">
        <v>109.147888869179</v>
      </c>
      <c r="K110">
        <v>43.621586205260499</v>
      </c>
      <c r="L110">
        <v>0.26247995273799601</v>
      </c>
      <c r="M110">
        <v>9430.3775982970292</v>
      </c>
      <c r="N110">
        <f t="shared" si="7"/>
        <v>3768.9050481345075</v>
      </c>
      <c r="O110">
        <v>22678.2679165628</v>
      </c>
      <c r="P110">
        <f t="shared" si="8"/>
        <v>740.68473607309784</v>
      </c>
      <c r="Q110">
        <f t="shared" si="9"/>
        <v>2.3787623430256923</v>
      </c>
      <c r="R110">
        <f t="shared" si="10"/>
        <v>1761.9129582246087</v>
      </c>
      <c r="T110">
        <f t="shared" si="11"/>
        <v>-6.1608333333333301</v>
      </c>
      <c r="U110">
        <f t="shared" si="12"/>
        <v>3.1687949485030169E-2</v>
      </c>
      <c r="V110">
        <f t="shared" si="13"/>
        <v>-0.1952241754523566</v>
      </c>
      <c r="W110">
        <f>F110-V110</f>
        <v>-10.081070214848543</v>
      </c>
      <c r="Y110">
        <f>(1-H110)*U110</f>
        <v>-0.18038893376844853</v>
      </c>
      <c r="Z110">
        <f>C110-Y110</f>
        <v>-10.457703358609752</v>
      </c>
    </row>
    <row r="111" spans="1:26" x14ac:dyDescent="0.75">
      <c r="A111" s="1">
        <v>45382</v>
      </c>
      <c r="B111">
        <v>0.22116928830541299</v>
      </c>
      <c r="C111">
        <v>-3.1539369334474099</v>
      </c>
      <c r="D111">
        <v>5.9758539043486101</v>
      </c>
      <c r="E111" t="s">
        <v>19</v>
      </c>
      <c r="F111">
        <v>-2.9327676451419902</v>
      </c>
      <c r="G111">
        <v>6.7129166666666702</v>
      </c>
      <c r="H111">
        <v>6.57466666666667</v>
      </c>
      <c r="I111">
        <v>0.163276734735288</v>
      </c>
      <c r="J111">
        <v>101.868459337736</v>
      </c>
      <c r="K111">
        <v>42.265811686720298</v>
      </c>
      <c r="L111">
        <v>0.25349163697758897</v>
      </c>
      <c r="M111">
        <v>8801.4348867803801</v>
      </c>
      <c r="N111">
        <f t="shared" si="7"/>
        <v>3651.766129732634</v>
      </c>
      <c r="O111">
        <v>21901.677434863701</v>
      </c>
      <c r="P111">
        <f t="shared" si="8"/>
        <v>2565.520250293961</v>
      </c>
      <c r="Q111">
        <f t="shared" si="9"/>
        <v>2.461227706284165</v>
      </c>
      <c r="R111">
        <f t="shared" si="10"/>
        <v>6314.3295210565821</v>
      </c>
      <c r="T111">
        <f t="shared" si="11"/>
        <v>-6.0429166666666703</v>
      </c>
      <c r="U111">
        <f t="shared" si="12"/>
        <v>2.9674346021773688E-2</v>
      </c>
      <c r="V111">
        <f t="shared" si="13"/>
        <v>-0.17931960014741002</v>
      </c>
      <c r="W111">
        <f>F111-V111</f>
        <v>-2.7534480449945802</v>
      </c>
      <c r="Y111">
        <f>(1-H111)*U111</f>
        <v>-0.16542458762271448</v>
      </c>
      <c r="Z111">
        <f>C111-Y111</f>
        <v>-2.9885123458246956</v>
      </c>
    </row>
    <row r="112" spans="1:26" x14ac:dyDescent="0.75">
      <c r="A112" s="1">
        <v>45383</v>
      </c>
      <c r="B112">
        <v>0.63873339808791696</v>
      </c>
      <c r="C112">
        <v>-14.246040163535101</v>
      </c>
      <c r="D112">
        <v>26.541385860721999</v>
      </c>
      <c r="E112" t="s">
        <v>19</v>
      </c>
      <c r="F112">
        <v>-13.6073067654472</v>
      </c>
      <c r="G112">
        <v>6.35666666666667</v>
      </c>
      <c r="H112">
        <v>6.2326666666666704</v>
      </c>
      <c r="I112">
        <v>0.16209074751482799</v>
      </c>
      <c r="J112">
        <v>101.120198676833</v>
      </c>
      <c r="K112">
        <v>40.934256035462198</v>
      </c>
      <c r="L112">
        <v>0.25255437024057198</v>
      </c>
      <c r="M112">
        <v>8736.7851656784205</v>
      </c>
      <c r="N112">
        <f t="shared" si="7"/>
        <v>3536.7197214639341</v>
      </c>
      <c r="O112">
        <v>21820.697588785399</v>
      </c>
      <c r="P112">
        <f t="shared" si="8"/>
        <v>575.49701407092505</v>
      </c>
      <c r="Q112">
        <f t="shared" si="9"/>
        <v>2.4701583865173937</v>
      </c>
      <c r="R112">
        <f t="shared" si="10"/>
        <v>1421.5687757230141</v>
      </c>
      <c r="T112">
        <f t="shared" si="11"/>
        <v>-5.6866666666666701</v>
      </c>
      <c r="U112">
        <f t="shared" si="12"/>
        <v>2.8635570421459939E-2</v>
      </c>
      <c r="V112">
        <f t="shared" si="13"/>
        <v>-0.16284094379670228</v>
      </c>
      <c r="W112">
        <f>F112-V112</f>
        <v>-13.444465821650498</v>
      </c>
      <c r="Y112">
        <f>(1-H112)*U112</f>
        <v>-0.14984039482535949</v>
      </c>
      <c r="Z112">
        <f>C112-Y112</f>
        <v>-14.096199768709742</v>
      </c>
    </row>
    <row r="113" spans="1:26" x14ac:dyDescent="0.75">
      <c r="A113" s="1">
        <v>45384</v>
      </c>
      <c r="B113">
        <v>0.340332158594083</v>
      </c>
      <c r="C113">
        <v>-8.5641683963263695</v>
      </c>
      <c r="D113">
        <v>15.2790170221203</v>
      </c>
      <c r="E113" t="s">
        <v>19</v>
      </c>
      <c r="F113">
        <v>-8.2238362377322893</v>
      </c>
      <c r="G113">
        <v>5.9791666666666696</v>
      </c>
      <c r="H113">
        <v>5.8653333333333304</v>
      </c>
      <c r="I113">
        <v>0.153022642257406</v>
      </c>
      <c r="J113">
        <v>95.401519607305403</v>
      </c>
      <c r="K113">
        <v>39.6505650945955</v>
      </c>
      <c r="L113">
        <v>0.24524385419883599</v>
      </c>
      <c r="M113">
        <v>8242.6912940711809</v>
      </c>
      <c r="N113">
        <f t="shared" si="7"/>
        <v>3425.8088241730516</v>
      </c>
      <c r="O113">
        <v>21189.069002779401</v>
      </c>
      <c r="P113">
        <f t="shared" si="8"/>
        <v>970.76587325427727</v>
      </c>
      <c r="Q113">
        <f t="shared" si="9"/>
        <v>2.5421516996137443</v>
      </c>
      <c r="R113">
        <f t="shared" si="10"/>
        <v>2467.8341146203816</v>
      </c>
      <c r="T113">
        <f t="shared" si="11"/>
        <v>-5.3091666666666697</v>
      </c>
      <c r="U113">
        <f t="shared" si="12"/>
        <v>2.6952040861240267E-2</v>
      </c>
      <c r="V113">
        <f t="shared" si="13"/>
        <v>-0.14309287693913486</v>
      </c>
      <c r="W113">
        <f>F113-V113</f>
        <v>-8.0807433607931536</v>
      </c>
      <c r="Y113">
        <f>(1-H113)*U113</f>
        <v>-0.13113066280355423</v>
      </c>
      <c r="Z113">
        <f>C113-Y113</f>
        <v>-8.4330377335228146</v>
      </c>
    </row>
    <row r="114" spans="1:26" x14ac:dyDescent="0.75">
      <c r="A114" s="1">
        <v>45386</v>
      </c>
      <c r="B114">
        <v>7.8137641969018498E-2</v>
      </c>
      <c r="C114">
        <v>-1.7996641859306</v>
      </c>
      <c r="D114">
        <v>1.1839616714279</v>
      </c>
      <c r="E114" t="s">
        <v>19</v>
      </c>
      <c r="F114">
        <v>-1.7215265439615799</v>
      </c>
      <c r="G114">
        <v>5.4212499999999997</v>
      </c>
      <c r="H114">
        <v>5.3433333333333302</v>
      </c>
      <c r="I114">
        <v>0.50384881739460396</v>
      </c>
      <c r="J114">
        <v>318.35630552534599</v>
      </c>
      <c r="K114">
        <v>37.131624864123602</v>
      </c>
      <c r="L114">
        <v>0.45010194945321802</v>
      </c>
      <c r="M114">
        <v>27505.984797389901</v>
      </c>
      <c r="N114">
        <f t="shared" si="7"/>
        <v>3208.1723882602796</v>
      </c>
      <c r="O114">
        <v>38888.808432758</v>
      </c>
      <c r="P114">
        <f t="shared" si="8"/>
        <v>22992.438488401145</v>
      </c>
      <c r="Q114">
        <f t="shared" si="9"/>
        <v>1.4037905634069805</v>
      </c>
      <c r="R114">
        <f t="shared" si="10"/>
        <v>32276.568179732985</v>
      </c>
      <c r="T114">
        <f t="shared" si="11"/>
        <v>-4.7512499999999998</v>
      </c>
      <c r="U114">
        <f t="shared" si="12"/>
        <v>4.570727958840369E-2</v>
      </c>
      <c r="V114">
        <f t="shared" si="13"/>
        <v>-0.21716671214440303</v>
      </c>
      <c r="W114">
        <f>F114-V114</f>
        <v>-1.5043598318171769</v>
      </c>
      <c r="Y114">
        <f>(1-H114)*U114</f>
        <v>-0.19852195101229989</v>
      </c>
      <c r="Z114">
        <f>C114-Y114</f>
        <v>-1.6011422349183</v>
      </c>
    </row>
    <row r="115" spans="1:26" x14ac:dyDescent="0.75">
      <c r="A115" s="1">
        <v>45387</v>
      </c>
      <c r="B115">
        <v>7.0609923934450203E-2</v>
      </c>
      <c r="C115">
        <v>-4.5273529608490799</v>
      </c>
      <c r="D115">
        <v>3.87837875375256</v>
      </c>
      <c r="E115" t="s">
        <v>19</v>
      </c>
      <c r="F115">
        <v>-4.4567430369146299</v>
      </c>
      <c r="G115">
        <v>6.2720833333333301</v>
      </c>
      <c r="H115">
        <v>6.1580000000000004</v>
      </c>
      <c r="I115">
        <v>0.37939354954467502</v>
      </c>
      <c r="J115">
        <v>238.946703263952</v>
      </c>
      <c r="K115">
        <v>35.844111963760199</v>
      </c>
      <c r="L115">
        <v>0.38987641990996802</v>
      </c>
      <c r="M115">
        <v>20644.9951620055</v>
      </c>
      <c r="N115">
        <f t="shared" si="7"/>
        <v>3096.9312736688812</v>
      </c>
      <c r="O115">
        <v>33685.322680221201</v>
      </c>
      <c r="P115">
        <f t="shared" si="8"/>
        <v>6079.7893587211065</v>
      </c>
      <c r="Q115">
        <f t="shared" si="9"/>
        <v>1.615415072740146</v>
      </c>
      <c r="R115">
        <f t="shared" si="10"/>
        <v>9821.3833691632208</v>
      </c>
      <c r="T115">
        <f t="shared" si="11"/>
        <v>-5.6020833333333302</v>
      </c>
      <c r="U115">
        <f t="shared" si="12"/>
        <v>3.8342235700645225E-2</v>
      </c>
      <c r="V115">
        <f t="shared" si="13"/>
        <v>-0.21479639958132282</v>
      </c>
      <c r="W115">
        <f>F115-V115</f>
        <v>-4.2419466373333075</v>
      </c>
      <c r="Y115">
        <f>(1-H115)*U115</f>
        <v>-0.19776925174392809</v>
      </c>
      <c r="Z115">
        <f>C115-Y115</f>
        <v>-4.3295837091051519</v>
      </c>
    </row>
    <row r="116" spans="1:26" x14ac:dyDescent="0.75">
      <c r="A116" s="1">
        <v>45388</v>
      </c>
      <c r="B116">
        <v>9.0778194658431705E-2</v>
      </c>
      <c r="C116">
        <v>-5.6938637790061097</v>
      </c>
      <c r="D116">
        <v>6.3559123468371403</v>
      </c>
      <c r="E116" t="s">
        <v>19</v>
      </c>
      <c r="F116">
        <v>-5.6030855843476797</v>
      </c>
      <c r="G116">
        <v>6.6770833333333304</v>
      </c>
      <c r="H116">
        <v>6.5713333333333299</v>
      </c>
      <c r="I116">
        <v>0.31747562267851798</v>
      </c>
      <c r="J116">
        <v>199.55046961974</v>
      </c>
      <c r="K116">
        <v>34.534077982260001</v>
      </c>
      <c r="L116">
        <v>0.35603138000744</v>
      </c>
      <c r="M116">
        <v>17241.160575145499</v>
      </c>
      <c r="N116">
        <f t="shared" si="7"/>
        <v>2983.7443376672645</v>
      </c>
      <c r="O116">
        <v>30761.111232642801</v>
      </c>
      <c r="P116">
        <f t="shared" si="8"/>
        <v>3387.8343010134813</v>
      </c>
      <c r="Q116">
        <f t="shared" si="9"/>
        <v>1.7654445959591916</v>
      </c>
      <c r="R116">
        <f t="shared" si="10"/>
        <v>5981.0337587294352</v>
      </c>
      <c r="T116">
        <f t="shared" si="11"/>
        <v>-6.0070833333333304</v>
      </c>
      <c r="U116">
        <f t="shared" si="12"/>
        <v>3.380161965429624E-2</v>
      </c>
      <c r="V116">
        <f t="shared" si="13"/>
        <v>-0.20304914606499527</v>
      </c>
      <c r="W116">
        <f>F116-V116</f>
        <v>-5.400036438282684</v>
      </c>
      <c r="Y116">
        <f>(1-H116)*U116</f>
        <v>-0.18832009030063568</v>
      </c>
      <c r="Z116">
        <f>C116-Y116</f>
        <v>-5.5055436887054743</v>
      </c>
    </row>
    <row r="117" spans="1:26" x14ac:dyDescent="0.75">
      <c r="A117" s="1">
        <v>45389</v>
      </c>
      <c r="B117">
        <v>0.32869616678918001</v>
      </c>
      <c r="C117">
        <v>-13.311401080398401</v>
      </c>
      <c r="D117">
        <v>17.941346001067402</v>
      </c>
      <c r="E117" t="s">
        <v>19</v>
      </c>
      <c r="F117">
        <v>-12.9827049136093</v>
      </c>
      <c r="G117">
        <v>7.0004166666666698</v>
      </c>
      <c r="H117">
        <v>6.88</v>
      </c>
      <c r="I117">
        <v>0.27741039103290299</v>
      </c>
      <c r="J117">
        <v>174.10439487148699</v>
      </c>
      <c r="K117">
        <v>33.828275550873499</v>
      </c>
      <c r="L117">
        <v>0.332333848107628</v>
      </c>
      <c r="M117">
        <v>15042.619716896501</v>
      </c>
      <c r="N117">
        <f t="shared" si="7"/>
        <v>2922.7630075954708</v>
      </c>
      <c r="O117">
        <v>28713.644476499001</v>
      </c>
      <c r="P117">
        <f t="shared" si="8"/>
        <v>1120.2922641564071</v>
      </c>
      <c r="Q117">
        <f t="shared" si="9"/>
        <v>1.8884801888664211</v>
      </c>
      <c r="R117">
        <f t="shared" si="10"/>
        <v>2115.6497465996822</v>
      </c>
      <c r="T117">
        <f t="shared" si="11"/>
        <v>-6.3304166666666699</v>
      </c>
      <c r="U117">
        <f t="shared" si="12"/>
        <v>3.0953599882346538E-2</v>
      </c>
      <c r="V117">
        <f t="shared" si="13"/>
        <v>-0.19594918458853799</v>
      </c>
      <c r="W117">
        <f>F117-V117</f>
        <v>-12.786755729020761</v>
      </c>
      <c r="Y117">
        <f>(1-H117)*U117</f>
        <v>-0.18200716730819763</v>
      </c>
      <c r="Z117">
        <f>C117-Y117</f>
        <v>-13.129393913090203</v>
      </c>
    </row>
    <row r="118" spans="1:26" x14ac:dyDescent="0.75">
      <c r="A118" s="1">
        <v>45390</v>
      </c>
      <c r="B118">
        <v>0.457459214101608</v>
      </c>
      <c r="C118">
        <v>-16.521994309028901</v>
      </c>
      <c r="D118">
        <v>23.794334537691999</v>
      </c>
      <c r="E118" t="s">
        <v>19</v>
      </c>
      <c r="F118">
        <v>-16.064535094927301</v>
      </c>
      <c r="G118">
        <v>6.9037499999999996</v>
      </c>
      <c r="H118">
        <v>6.8120000000000003</v>
      </c>
      <c r="I118">
        <v>0.24878523908562999</v>
      </c>
      <c r="J118">
        <v>155.94908359734299</v>
      </c>
      <c r="K118">
        <v>33.694910579466502</v>
      </c>
      <c r="L118">
        <v>0.31435384653316101</v>
      </c>
      <c r="M118">
        <v>13474.0008228104</v>
      </c>
      <c r="N118">
        <f t="shared" si="7"/>
        <v>2911.2402740659059</v>
      </c>
      <c r="O118">
        <v>27160.172340465098</v>
      </c>
      <c r="P118">
        <f t="shared" si="8"/>
        <v>799.01880038750198</v>
      </c>
      <c r="Q118">
        <f t="shared" si="9"/>
        <v>1.9940655883809266</v>
      </c>
      <c r="R118">
        <f t="shared" si="10"/>
        <v>1593.2958943221263</v>
      </c>
      <c r="T118">
        <f t="shared" si="11"/>
        <v>-6.2337499999999997</v>
      </c>
      <c r="U118">
        <f t="shared" si="12"/>
        <v>2.9199042308630137E-2</v>
      </c>
      <c r="V118">
        <f t="shared" si="13"/>
        <v>-0.1820195299914231</v>
      </c>
      <c r="W118">
        <f>F118-V118</f>
        <v>-15.882515564935877</v>
      </c>
      <c r="Y118">
        <f>(1-H118)*U118</f>
        <v>-0.16970483389775837</v>
      </c>
      <c r="Z118">
        <f>C118-Y118</f>
        <v>-16.352289475131144</v>
      </c>
    </row>
    <row r="119" spans="1:26" x14ac:dyDescent="0.75">
      <c r="A119" s="1">
        <v>45391</v>
      </c>
      <c r="B119">
        <v>0.41382028430372197</v>
      </c>
      <c r="C119">
        <v>-17.106431817340098</v>
      </c>
      <c r="D119">
        <v>25.289766520874799</v>
      </c>
      <c r="E119" t="s">
        <v>19</v>
      </c>
      <c r="F119">
        <v>-16.692611533036299</v>
      </c>
      <c r="G119">
        <v>6.6266666666666696</v>
      </c>
      <c r="H119">
        <v>6.5526666666666697</v>
      </c>
      <c r="I119">
        <v>0.22599314804690199</v>
      </c>
      <c r="J119">
        <v>141.509932400845</v>
      </c>
      <c r="K119">
        <v>33.500233802228699</v>
      </c>
      <c r="L119">
        <v>0.29930074159299502</v>
      </c>
      <c r="M119">
        <v>12226.458159432999</v>
      </c>
      <c r="N119">
        <f t="shared" si="7"/>
        <v>2894.4202005125599</v>
      </c>
      <c r="O119">
        <v>25859.584073634702</v>
      </c>
      <c r="P119">
        <f t="shared" si="8"/>
        <v>715.77208261700196</v>
      </c>
      <c r="Q119">
        <f t="shared" si="9"/>
        <v>2.0921068369735756</v>
      </c>
      <c r="R119">
        <f t="shared" si="10"/>
        <v>1497.4716677578447</v>
      </c>
      <c r="T119">
        <f t="shared" si="11"/>
        <v>-5.9566666666666697</v>
      </c>
      <c r="U119">
        <f t="shared" si="12"/>
        <v>2.7669908145796267E-2</v>
      </c>
      <c r="V119">
        <f t="shared" si="13"/>
        <v>-0.16482041952179319</v>
      </c>
      <c r="W119">
        <f>F119-V119</f>
        <v>-16.527791113514507</v>
      </c>
      <c r="Y119">
        <f>(1-H119)*U119</f>
        <v>-0.15364177663089149</v>
      </c>
      <c r="Z119">
        <f>C119-Y119</f>
        <v>-16.952790040709207</v>
      </c>
    </row>
    <row r="120" spans="1:26" x14ac:dyDescent="0.75">
      <c r="A120" s="1">
        <v>45394</v>
      </c>
      <c r="B120">
        <v>8.3631161635082704E-2</v>
      </c>
      <c r="C120">
        <v>-3.2060745050207</v>
      </c>
      <c r="D120">
        <v>3.6262041024663199</v>
      </c>
      <c r="E120" t="s">
        <v>19</v>
      </c>
      <c r="F120">
        <v>-3.12244334338562</v>
      </c>
      <c r="G120">
        <v>6.0816666666666697</v>
      </c>
      <c r="H120">
        <v>6.0053333333333301</v>
      </c>
      <c r="I120">
        <v>0.280495719173257</v>
      </c>
      <c r="J120">
        <v>176.06363319236701</v>
      </c>
      <c r="K120">
        <v>32.525922422579299</v>
      </c>
      <c r="L120">
        <v>0.334169955798507</v>
      </c>
      <c r="M120">
        <v>15211.897907820499</v>
      </c>
      <c r="N120">
        <f t="shared" si="7"/>
        <v>2810.2396973108516</v>
      </c>
      <c r="O120">
        <v>28872.284180990999</v>
      </c>
      <c r="P120">
        <f t="shared" si="8"/>
        <v>5573.4863111945906</v>
      </c>
      <c r="Q120">
        <f t="shared" si="9"/>
        <v>1.8783478442603718</v>
      </c>
      <c r="R120">
        <f t="shared" si="10"/>
        <v>10468.945997647052</v>
      </c>
      <c r="T120">
        <f t="shared" si="11"/>
        <v>-5.4116666666666697</v>
      </c>
      <c r="U120">
        <f t="shared" si="12"/>
        <v>2.9922463040038538E-2</v>
      </c>
      <c r="V120">
        <f t="shared" si="13"/>
        <v>-0.16193039581834198</v>
      </c>
      <c r="W120">
        <f>F120-V120</f>
        <v>-2.960512947567278</v>
      </c>
      <c r="Y120">
        <f>(1-H120)*U120</f>
        <v>-0.14977190166973947</v>
      </c>
      <c r="Z120">
        <f>C120-Y120</f>
        <v>-3.0563026033509604</v>
      </c>
    </row>
    <row r="121" spans="1:26" x14ac:dyDescent="0.75">
      <c r="A121" s="1">
        <v>45395</v>
      </c>
      <c r="B121">
        <v>0.151081367413891</v>
      </c>
      <c r="C121">
        <v>-7.56093128204816</v>
      </c>
      <c r="D121">
        <v>11.023521012610299</v>
      </c>
      <c r="E121" t="s">
        <v>19</v>
      </c>
      <c r="F121">
        <v>-7.40984991463427</v>
      </c>
      <c r="G121">
        <v>6.5533333333333301</v>
      </c>
      <c r="H121">
        <v>6.4373333333333296</v>
      </c>
      <c r="I121">
        <v>0.23853114660774799</v>
      </c>
      <c r="J121">
        <v>149.45185302591599</v>
      </c>
      <c r="K121">
        <v>32.069268358842798</v>
      </c>
      <c r="L121">
        <v>0.30763176191300501</v>
      </c>
      <c r="M121">
        <v>12912.640101439199</v>
      </c>
      <c r="N121">
        <f t="shared" si="7"/>
        <v>2770.784786204018</v>
      </c>
      <c r="O121">
        <v>26579.3842292837</v>
      </c>
      <c r="P121">
        <f t="shared" si="8"/>
        <v>1687.8063677852881</v>
      </c>
      <c r="Q121">
        <f t="shared" si="9"/>
        <v>2.0366904897949949</v>
      </c>
      <c r="R121">
        <f t="shared" si="10"/>
        <v>3437.5391778837297</v>
      </c>
      <c r="T121">
        <f t="shared" si="11"/>
        <v>-5.8833333333333302</v>
      </c>
      <c r="U121">
        <f t="shared" si="12"/>
        <v>2.7208697640483552E-2</v>
      </c>
      <c r="V121">
        <f t="shared" si="13"/>
        <v>-0.1600778377848448</v>
      </c>
      <c r="W121">
        <f>F121-V121</f>
        <v>-7.2497720768494256</v>
      </c>
      <c r="Y121">
        <f>(1-H121)*U121</f>
        <v>-0.14794275863718914</v>
      </c>
      <c r="Z121">
        <f>C121-Y121</f>
        <v>-7.4129885234109709</v>
      </c>
    </row>
    <row r="122" spans="1:26" x14ac:dyDescent="0.75">
      <c r="A122" s="1">
        <v>45397</v>
      </c>
      <c r="B122">
        <v>0.18742399837273899</v>
      </c>
      <c r="C122">
        <v>-11.3785529132003</v>
      </c>
      <c r="D122">
        <v>19.751201226792301</v>
      </c>
      <c r="E122" t="s">
        <v>19</v>
      </c>
      <c r="F122">
        <v>-11.1911289148275</v>
      </c>
      <c r="G122">
        <v>6.3870833333333303</v>
      </c>
      <c r="H122">
        <v>6.3053333333333299</v>
      </c>
      <c r="I122">
        <v>0.18631248156435701</v>
      </c>
      <c r="J122">
        <v>116.412440778459</v>
      </c>
      <c r="K122">
        <v>30.9620917279438</v>
      </c>
      <c r="L122">
        <v>0.271150514009806</v>
      </c>
      <c r="M122">
        <v>10058.034883258901</v>
      </c>
      <c r="N122">
        <f t="shared" si="7"/>
        <v>2675.1247252943444</v>
      </c>
      <c r="O122">
        <v>23427.404410447201</v>
      </c>
      <c r="P122">
        <f t="shared" si="8"/>
        <v>830.28788472205508</v>
      </c>
      <c r="Q122">
        <f t="shared" si="9"/>
        <v>2.3043424086775586</v>
      </c>
      <c r="R122">
        <f t="shared" si="10"/>
        <v>1913.2675841762155</v>
      </c>
      <c r="T122">
        <f t="shared" si="11"/>
        <v>-5.7170833333333304</v>
      </c>
      <c r="U122">
        <f t="shared" si="12"/>
        <v>2.3218118238162139E-2</v>
      </c>
      <c r="V122">
        <f t="shared" si="13"/>
        <v>-0.13273991681075939</v>
      </c>
      <c r="W122">
        <f>F122-V122</f>
        <v>-11.05838899801674</v>
      </c>
      <c r="Y122">
        <f>(1-H122)*U122</f>
        <v>-0.12317985662619613</v>
      </c>
      <c r="Z122">
        <f>C122-Y122</f>
        <v>-11.255373056574104</v>
      </c>
    </row>
    <row r="123" spans="1:26" x14ac:dyDescent="0.75">
      <c r="A123" s="1">
        <v>45398</v>
      </c>
      <c r="B123">
        <v>0.16207321414210299</v>
      </c>
      <c r="C123">
        <v>-12.161837589515599</v>
      </c>
      <c r="D123">
        <v>23.0926483932382</v>
      </c>
      <c r="E123" t="s">
        <v>19</v>
      </c>
      <c r="F123">
        <v>-11.9997643753735</v>
      </c>
      <c r="G123">
        <v>6.2725</v>
      </c>
      <c r="H123">
        <v>6.18333333333333</v>
      </c>
      <c r="I123">
        <v>0.16718990544041701</v>
      </c>
      <c r="J123">
        <v>104.337899179799</v>
      </c>
      <c r="K123">
        <v>30.311492680651298</v>
      </c>
      <c r="L123">
        <v>0.256555572570829</v>
      </c>
      <c r="M123">
        <v>9014.7944891346397</v>
      </c>
      <c r="N123">
        <f t="shared" si="7"/>
        <v>2618.9129676082725</v>
      </c>
      <c r="O123">
        <v>22166.401470119599</v>
      </c>
      <c r="P123">
        <f t="shared" si="8"/>
        <v>671.92297586911366</v>
      </c>
      <c r="Q123">
        <f t="shared" si="9"/>
        <v>2.4324873119117902</v>
      </c>
      <c r="R123">
        <f t="shared" si="10"/>
        <v>1634.444113383631</v>
      </c>
      <c r="T123">
        <f t="shared" si="11"/>
        <v>-5.6025</v>
      </c>
      <c r="U123">
        <f t="shared" si="12"/>
        <v>2.1532798586726958E-2</v>
      </c>
      <c r="V123">
        <f t="shared" si="13"/>
        <v>-0.12063750408213778</v>
      </c>
      <c r="W123">
        <f>F123-V123</f>
        <v>-11.879126871291362</v>
      </c>
      <c r="Y123">
        <f>(1-H123)*U123</f>
        <v>-0.11161167267453466</v>
      </c>
      <c r="Z123">
        <f>C123-Y123</f>
        <v>-12.050225916841065</v>
      </c>
    </row>
    <row r="124" spans="1:26" x14ac:dyDescent="0.75">
      <c r="A124" s="1">
        <v>45399</v>
      </c>
      <c r="B124">
        <v>0.27352476239262502</v>
      </c>
      <c r="C124">
        <v>-12.411831964192601</v>
      </c>
      <c r="D124">
        <v>24.3333610651767</v>
      </c>
      <c r="E124" t="s">
        <v>19</v>
      </c>
      <c r="F124">
        <v>-12.1383072018</v>
      </c>
      <c r="G124">
        <v>6.0925000000000002</v>
      </c>
      <c r="H124">
        <v>6.0060000000000002</v>
      </c>
      <c r="I124">
        <v>0.15118494918808001</v>
      </c>
      <c r="J124">
        <v>94.243597256510995</v>
      </c>
      <c r="K124">
        <v>29.598287951995498</v>
      </c>
      <c r="L124">
        <v>0.243705954543392</v>
      </c>
      <c r="M124">
        <v>8142.6468029625503</v>
      </c>
      <c r="N124">
        <f t="shared" si="7"/>
        <v>2557.2920790524113</v>
      </c>
      <c r="O124">
        <v>21056.194472549101</v>
      </c>
      <c r="P124">
        <f t="shared" si="8"/>
        <v>605.72545203702782</v>
      </c>
      <c r="Q124">
        <f t="shared" si="9"/>
        <v>2.5578622697417956</v>
      </c>
      <c r="R124">
        <f t="shared" si="10"/>
        <v>1549.3622795878071</v>
      </c>
      <c r="T124">
        <f t="shared" si="11"/>
        <v>-5.4225000000000003</v>
      </c>
      <c r="U124">
        <f t="shared" si="12"/>
        <v>1.9995541662300356E-2</v>
      </c>
      <c r="V124">
        <f t="shared" si="13"/>
        <v>-0.10842582466382368</v>
      </c>
      <c r="W124">
        <f>F124-V124</f>
        <v>-12.029881377136176</v>
      </c>
      <c r="Y124">
        <f>(1-H124)*U124</f>
        <v>-0.10009768156147558</v>
      </c>
      <c r="Z124">
        <f>C124-Y124</f>
        <v>-12.311734282631125</v>
      </c>
    </row>
    <row r="125" spans="1:26" x14ac:dyDescent="0.75">
      <c r="A125" s="1">
        <v>45400</v>
      </c>
      <c r="B125">
        <v>3.8569670070851297E-2</v>
      </c>
      <c r="C125">
        <v>-1.8999534433710401</v>
      </c>
      <c r="D125">
        <v>3.28231524953706</v>
      </c>
      <c r="E125" t="s">
        <v>19</v>
      </c>
      <c r="F125">
        <v>-1.8613837733001799</v>
      </c>
      <c r="G125">
        <v>5.6862500000000002</v>
      </c>
      <c r="H125">
        <v>5.6120000000000001</v>
      </c>
      <c r="I125">
        <v>0.14740681663181501</v>
      </c>
      <c r="J125">
        <v>91.862021922475606</v>
      </c>
      <c r="K125">
        <v>28.8241124406543</v>
      </c>
      <c r="L125">
        <v>0.240600753837066</v>
      </c>
      <c r="M125">
        <v>7936.8786941018898</v>
      </c>
      <c r="N125">
        <f t="shared" si="7"/>
        <v>2490.4033148725316</v>
      </c>
      <c r="O125">
        <v>20787.905131522501</v>
      </c>
      <c r="P125">
        <f t="shared" si="8"/>
        <v>4433.3138305706943</v>
      </c>
      <c r="Q125">
        <f t="shared" si="9"/>
        <v>2.5901293262193557</v>
      </c>
      <c r="R125">
        <f t="shared" si="10"/>
        <v>11482.856164895024</v>
      </c>
      <c r="T125">
        <f t="shared" si="11"/>
        <v>-5.0162500000000003</v>
      </c>
      <c r="U125">
        <f t="shared" si="12"/>
        <v>1.9229953420956108E-2</v>
      </c>
      <c r="V125">
        <f t="shared" si="13"/>
        <v>-9.6462253847871077E-2</v>
      </c>
      <c r="W125">
        <f>F125-V125</f>
        <v>-1.7649215194523089</v>
      </c>
      <c r="Y125">
        <f>(1-H125)*U125</f>
        <v>-8.8688545177449576E-2</v>
      </c>
      <c r="Z125">
        <f>C125-Y125</f>
        <v>-1.8112648981935906</v>
      </c>
    </row>
    <row r="126" spans="1:26" x14ac:dyDescent="0.75">
      <c r="A126" s="1">
        <v>45401</v>
      </c>
      <c r="B126">
        <v>0.111113660367694</v>
      </c>
      <c r="C126">
        <v>-8.8250322088586799</v>
      </c>
      <c r="D126">
        <v>15.3748391887144</v>
      </c>
      <c r="E126" t="s">
        <v>19</v>
      </c>
      <c r="F126">
        <v>-8.7139185484909891</v>
      </c>
      <c r="G126">
        <v>5.3958333333333304</v>
      </c>
      <c r="H126">
        <v>5.3120000000000003</v>
      </c>
      <c r="I126">
        <v>0.14472660293805401</v>
      </c>
      <c r="J126">
        <v>90.173501340696902</v>
      </c>
      <c r="K126">
        <v>27.9909468208856</v>
      </c>
      <c r="L126">
        <v>0.238341381550741</v>
      </c>
      <c r="M126">
        <v>7790.9905158362099</v>
      </c>
      <c r="N126">
        <f t="shared" si="7"/>
        <v>2418.4178053245159</v>
      </c>
      <c r="O126">
        <v>20592.695365984098</v>
      </c>
      <c r="P126">
        <f t="shared" si="8"/>
        <v>937.56341638810977</v>
      </c>
      <c r="Q126">
        <f t="shared" si="9"/>
        <v>2.6141536635982976</v>
      </c>
      <c r="R126">
        <f t="shared" si="10"/>
        <v>2450.9348398067132</v>
      </c>
      <c r="T126">
        <f t="shared" si="11"/>
        <v>-4.7258333333333304</v>
      </c>
      <c r="U126">
        <f t="shared" si="12"/>
        <v>1.8502491563526857E-2</v>
      </c>
      <c r="V126">
        <f t="shared" si="13"/>
        <v>-8.7439691380633955E-2</v>
      </c>
      <c r="W126">
        <f>F126-V126</f>
        <v>-8.6264788571103548</v>
      </c>
      <c r="Y126">
        <f>(1-H126)*U126</f>
        <v>-7.9782743621927804E-2</v>
      </c>
      <c r="Z126">
        <f>C126-Y126</f>
        <v>-8.7452494652367516</v>
      </c>
    </row>
    <row r="127" spans="1:26" x14ac:dyDescent="0.75">
      <c r="A127" s="1">
        <v>45402</v>
      </c>
      <c r="B127">
        <v>0.116149682748363</v>
      </c>
      <c r="C127">
        <v>-8.0818239142019408</v>
      </c>
      <c r="D127">
        <v>14.2740942710947</v>
      </c>
      <c r="E127" t="s">
        <v>19</v>
      </c>
      <c r="F127">
        <v>-7.9656742314535798</v>
      </c>
      <c r="G127">
        <v>5.1533333333333298</v>
      </c>
      <c r="H127">
        <v>5.07</v>
      </c>
      <c r="I127">
        <v>0.13464864717608199</v>
      </c>
      <c r="J127">
        <v>83.826639860866806</v>
      </c>
      <c r="K127">
        <v>27.101256037532998</v>
      </c>
      <c r="L127">
        <v>0.229716201257012</v>
      </c>
      <c r="M127">
        <v>7242.6216839789004</v>
      </c>
      <c r="N127">
        <f t="shared" si="7"/>
        <v>2341.548521642851</v>
      </c>
      <c r="O127">
        <v>19847.479788605899</v>
      </c>
      <c r="P127">
        <f t="shared" si="8"/>
        <v>973.31820766787166</v>
      </c>
      <c r="Q127">
        <f t="shared" si="9"/>
        <v>2.7101194796637333</v>
      </c>
      <c r="R127">
        <f t="shared" si="10"/>
        <v>2637.8086345120901</v>
      </c>
      <c r="T127">
        <f t="shared" si="11"/>
        <v>-4.4833333333333298</v>
      </c>
      <c r="U127">
        <f t="shared" si="12"/>
        <v>1.7280039047823725E-2</v>
      </c>
      <c r="V127">
        <f t="shared" si="13"/>
        <v>-7.7472175064409635E-2</v>
      </c>
      <c r="W127">
        <f>F127-V127</f>
        <v>-7.8882020563891704</v>
      </c>
      <c r="Y127">
        <f>(1-H127)*U127</f>
        <v>-7.0329758924642563E-2</v>
      </c>
      <c r="Z127">
        <f>C127-Y127</f>
        <v>-8.0114941552772976</v>
      </c>
    </row>
    <row r="128" spans="1:26" x14ac:dyDescent="0.75">
      <c r="A128" s="1">
        <v>45403</v>
      </c>
      <c r="B128">
        <v>4.1232821057968501E-2</v>
      </c>
      <c r="C128">
        <v>-6.0163615096204603</v>
      </c>
      <c r="D128">
        <v>10.9157161225852</v>
      </c>
      <c r="E128" t="s">
        <v>19</v>
      </c>
      <c r="F128">
        <v>-5.9751286885625001</v>
      </c>
      <c r="G128">
        <v>5.2133333333333303</v>
      </c>
      <c r="H128">
        <v>5.13866666666667</v>
      </c>
      <c r="I128">
        <v>0.13624268445506599</v>
      </c>
      <c r="J128">
        <v>84.829780565402899</v>
      </c>
      <c r="K128">
        <v>26.157084109576299</v>
      </c>
      <c r="L128">
        <v>0.231125314181227</v>
      </c>
      <c r="M128">
        <v>7329.29304085081</v>
      </c>
      <c r="N128">
        <f t="shared" si="7"/>
        <v>2259.9720670673923</v>
      </c>
      <c r="O128">
        <v>19969.227145257999</v>
      </c>
      <c r="P128">
        <f t="shared" si="8"/>
        <v>1280.5810305709965</v>
      </c>
      <c r="Q128">
        <f t="shared" si="9"/>
        <v>2.6939382514302435</v>
      </c>
      <c r="R128">
        <f t="shared" si="10"/>
        <v>3449.8062223111697</v>
      </c>
      <c r="T128">
        <f t="shared" si="11"/>
        <v>-4.5433333333333303</v>
      </c>
      <c r="U128">
        <f t="shared" si="12"/>
        <v>1.6778202439254479E-2</v>
      </c>
      <c r="V128">
        <f t="shared" si="13"/>
        <v>-7.6228966415679472E-2</v>
      </c>
      <c r="W128">
        <f>F128-V128</f>
        <v>-5.8988997221468207</v>
      </c>
      <c r="Y128">
        <f>(1-H128)*U128</f>
        <v>-6.9439387161927921E-2</v>
      </c>
      <c r="Z128">
        <f>C128-Y128</f>
        <v>-5.946922122458532</v>
      </c>
    </row>
    <row r="129" spans="1:26" x14ac:dyDescent="0.75">
      <c r="A129" s="1">
        <v>45404</v>
      </c>
      <c r="B129">
        <v>3.8303076607103401E-2</v>
      </c>
      <c r="C129">
        <v>-3.3948328245282799</v>
      </c>
      <c r="D129">
        <v>7.14168167011705</v>
      </c>
      <c r="E129" t="s">
        <v>19</v>
      </c>
      <c r="F129">
        <v>-3.3565297479211802</v>
      </c>
      <c r="G129">
        <v>5.55833333333333</v>
      </c>
      <c r="H129">
        <v>5.4346666666666703</v>
      </c>
      <c r="I129">
        <v>0.13110829918629499</v>
      </c>
      <c r="J129">
        <v>81.598083902212593</v>
      </c>
      <c r="K129">
        <v>25.160113561616999</v>
      </c>
      <c r="L129">
        <v>0.22662194762976101</v>
      </c>
      <c r="M129">
        <v>7050.0744491511696</v>
      </c>
      <c r="N129">
        <f t="shared" si="7"/>
        <v>2173.833811723709</v>
      </c>
      <c r="O129">
        <v>19580.136275211298</v>
      </c>
      <c r="P129">
        <f t="shared" si="8"/>
        <v>1919.1691853192428</v>
      </c>
      <c r="Q129">
        <f t="shared" si="9"/>
        <v>2.7462989418814496</v>
      </c>
      <c r="R129">
        <f t="shared" si="10"/>
        <v>5270.6123029337205</v>
      </c>
      <c r="T129">
        <f t="shared" si="11"/>
        <v>-4.8883333333333301</v>
      </c>
      <c r="U129">
        <f t="shared" si="12"/>
        <v>1.5831006439775613E-2</v>
      </c>
      <c r="V129">
        <f t="shared" si="13"/>
        <v>-7.7387236479769736E-2</v>
      </c>
      <c r="W129">
        <f>F129-V129</f>
        <v>-3.2791425114414103</v>
      </c>
      <c r="Y129">
        <f>(1-H129)*U129</f>
        <v>-7.0205236558258305E-2</v>
      </c>
      <c r="Z129">
        <f>C129-Y129</f>
        <v>-3.3246275879700216</v>
      </c>
    </row>
    <row r="130" spans="1:26" x14ac:dyDescent="0.75">
      <c r="A130" s="1">
        <v>45405</v>
      </c>
      <c r="B130">
        <v>5.0971681963420598E-2</v>
      </c>
      <c r="C130">
        <v>-3.1957504844681699</v>
      </c>
      <c r="D130">
        <v>7.46740024007293</v>
      </c>
      <c r="E130" t="s">
        <v>19</v>
      </c>
      <c r="F130">
        <v>-3.1447788025047498</v>
      </c>
      <c r="G130">
        <v>6.1012500000000003</v>
      </c>
      <c r="H130">
        <v>5.94133333333333</v>
      </c>
      <c r="I130">
        <v>0.124291808280586</v>
      </c>
      <c r="J130">
        <v>77.309804739542102</v>
      </c>
      <c r="K130">
        <v>24.110648762647099</v>
      </c>
      <c r="L130">
        <v>0.22050875889878799</v>
      </c>
      <c r="M130">
        <v>6679.5671294964404</v>
      </c>
      <c r="N130">
        <f t="shared" si="7"/>
        <v>2083.1600530927094</v>
      </c>
      <c r="O130">
        <v>19051.956768855202</v>
      </c>
      <c r="P130">
        <f t="shared" si="8"/>
        <v>1785.9454842972755</v>
      </c>
      <c r="Q130">
        <f t="shared" si="9"/>
        <v>2.8207605751928146</v>
      </c>
      <c r="R130">
        <f t="shared" si="10"/>
        <v>5037.7246115493926</v>
      </c>
      <c r="T130">
        <f t="shared" si="11"/>
        <v>-5.4312500000000004</v>
      </c>
      <c r="U130">
        <f t="shared" si="12"/>
        <v>1.4770201139459092E-2</v>
      </c>
      <c r="V130">
        <f t="shared" si="13"/>
        <v>-8.02206549386872E-2</v>
      </c>
      <c r="W130">
        <f>F130-V130</f>
        <v>-3.0645581475660628</v>
      </c>
      <c r="Y130">
        <f>(1-H130)*U130</f>
        <v>-7.2984487230447148E-2</v>
      </c>
      <c r="Z130">
        <f>C130-Y130</f>
        <v>-3.1227659972377229</v>
      </c>
    </row>
    <row r="131" spans="1:26" x14ac:dyDescent="0.75">
      <c r="A131" s="1">
        <v>45406</v>
      </c>
      <c r="B131">
        <v>4.6762611497612502E-2</v>
      </c>
      <c r="C131">
        <v>-2.36990923582468</v>
      </c>
      <c r="D131">
        <v>5.4020094976040598</v>
      </c>
      <c r="E131" t="s">
        <v>19</v>
      </c>
      <c r="F131">
        <v>-2.32314662432707</v>
      </c>
      <c r="G131">
        <v>6.0420833333333297</v>
      </c>
      <c r="H131">
        <v>5.8986666666666698</v>
      </c>
      <c r="I131">
        <v>0.119770965905568</v>
      </c>
      <c r="J131">
        <v>74.466922583876098</v>
      </c>
      <c r="K131">
        <v>23.008397947849598</v>
      </c>
      <c r="L131">
        <v>0.21637897034308401</v>
      </c>
      <c r="M131">
        <v>6433.9421112468899</v>
      </c>
      <c r="N131">
        <f t="shared" ref="N131:N194" si="14">K131*86.4</f>
        <v>1987.9255826942053</v>
      </c>
      <c r="O131">
        <v>18695.1430376424</v>
      </c>
      <c r="P131">
        <f t="shared" ref="P131:P194" si="15">0.7*O131/D131</f>
        <v>2422.5429688996192</v>
      </c>
      <c r="Q131">
        <f t="shared" ref="Q131:Q194" si="16">M131/(O131*I131)</f>
        <v>2.8734047460849172</v>
      </c>
      <c r="R131">
        <f t="shared" ref="R131:R194" si="17">Q131*P131</f>
        <v>6960.9464644308118</v>
      </c>
      <c r="T131">
        <f t="shared" ref="T131:T194" si="18">0.67-G131</f>
        <v>-5.3720833333333298</v>
      </c>
      <c r="U131">
        <f t="shared" ref="U131:U194" si="19">(2*(10^-5)*N131)/Q131</f>
        <v>1.383672512828415E-2</v>
      </c>
      <c r="V131">
        <f t="shared" ref="V131:V194" si="20">T131*U131</f>
        <v>-7.4332040449569758E-2</v>
      </c>
      <c r="W131">
        <f>F131-V131</f>
        <v>-2.2488145838775004</v>
      </c>
      <c r="Y131">
        <f>(1-H131)*U131</f>
        <v>-6.7781504161754672E-2</v>
      </c>
      <c r="Z131">
        <f>C131-Y131</f>
        <v>-2.3021277316629254</v>
      </c>
    </row>
    <row r="132" spans="1:26" x14ac:dyDescent="0.75">
      <c r="A132" s="1">
        <v>45407</v>
      </c>
      <c r="B132">
        <v>5.15669115645538E-2</v>
      </c>
      <c r="C132">
        <v>-1.92406967852803</v>
      </c>
      <c r="D132">
        <v>3.9420916327939901</v>
      </c>
      <c r="E132" t="s">
        <v>19</v>
      </c>
      <c r="F132">
        <v>-1.87250276696347</v>
      </c>
      <c r="G132">
        <v>5.6641666666666701</v>
      </c>
      <c r="H132">
        <v>5.468</v>
      </c>
      <c r="I132">
        <v>0.114877300815208</v>
      </c>
      <c r="J132">
        <v>71.391272538606003</v>
      </c>
      <c r="K132">
        <v>21.853085055423701</v>
      </c>
      <c r="L132">
        <v>0.211800439301574</v>
      </c>
      <c r="M132">
        <v>6168.2059473355603</v>
      </c>
      <c r="N132">
        <f t="shared" si="14"/>
        <v>1888.1065487886078</v>
      </c>
      <c r="O132">
        <v>18299.557955656001</v>
      </c>
      <c r="P132">
        <f t="shared" si="15"/>
        <v>3249.4654518926609</v>
      </c>
      <c r="Q132">
        <f t="shared" si="16"/>
        <v>2.9341617005676452</v>
      </c>
      <c r="R132">
        <f t="shared" si="17"/>
        <v>9534.457076261182</v>
      </c>
      <c r="T132">
        <f t="shared" si="18"/>
        <v>-4.9941666666666702</v>
      </c>
      <c r="U132">
        <f t="shared" si="19"/>
        <v>1.286981933152037E-2</v>
      </c>
      <c r="V132">
        <f t="shared" si="20"/>
        <v>-6.4274022711501358E-2</v>
      </c>
      <c r="W132">
        <f>F132-V132</f>
        <v>-1.8082287442519687</v>
      </c>
      <c r="Y132">
        <f>(1-H132)*U132</f>
        <v>-5.7502352773233012E-2</v>
      </c>
      <c r="Z132">
        <f>C132-Y132</f>
        <v>-1.866567325754797</v>
      </c>
    </row>
    <row r="133" spans="1:26" x14ac:dyDescent="0.75">
      <c r="A133" s="1">
        <v>45408</v>
      </c>
      <c r="B133">
        <v>0.39546154234389902</v>
      </c>
      <c r="C133">
        <v>-7.1692408999102799</v>
      </c>
      <c r="D133">
        <v>15.136008696821699</v>
      </c>
      <c r="E133" t="s">
        <v>19</v>
      </c>
      <c r="F133">
        <v>-6.77377935756639</v>
      </c>
      <c r="G133">
        <v>5.3875000000000002</v>
      </c>
      <c r="H133">
        <v>5.21533333333333</v>
      </c>
      <c r="I133">
        <v>0.10969888136746</v>
      </c>
      <c r="J133">
        <v>68.137894718171694</v>
      </c>
      <c r="K133">
        <v>21.068146648402099</v>
      </c>
      <c r="L133">
        <v>0.20687403252053199</v>
      </c>
      <c r="M133">
        <v>5887.1141036500303</v>
      </c>
      <c r="N133">
        <f t="shared" si="14"/>
        <v>1820.2878704219415</v>
      </c>
      <c r="O133">
        <v>17873.916409773999</v>
      </c>
      <c r="P133">
        <f t="shared" si="15"/>
        <v>826.62092348487135</v>
      </c>
      <c r="Q133">
        <f t="shared" si="16"/>
        <v>3.0024828252525806</v>
      </c>
      <c r="R133">
        <f t="shared" si="17"/>
        <v>2481.9151257577537</v>
      </c>
      <c r="T133">
        <f t="shared" si="18"/>
        <v>-4.7175000000000002</v>
      </c>
      <c r="U133">
        <f t="shared" si="19"/>
        <v>1.2125217537381331E-2</v>
      </c>
      <c r="V133">
        <f t="shared" si="20"/>
        <v>-5.7200713732596435E-2</v>
      </c>
      <c r="W133">
        <f>F133-V133</f>
        <v>-6.7165786438337935</v>
      </c>
      <c r="Y133">
        <f>(1-H133)*U133</f>
        <v>-5.11118336592414E-2</v>
      </c>
      <c r="Z133">
        <f>C133-Y133</f>
        <v>-7.1181290662510381</v>
      </c>
    </row>
    <row r="134" spans="1:26" x14ac:dyDescent="0.75">
      <c r="A134" s="1">
        <v>45409</v>
      </c>
      <c r="B134">
        <v>0.44733451326224</v>
      </c>
      <c r="C134">
        <v>-6.1890464776061904</v>
      </c>
      <c r="D134">
        <v>13.340744142443</v>
      </c>
      <c r="E134" t="s">
        <v>19</v>
      </c>
      <c r="F134">
        <v>-5.74171196434395</v>
      </c>
      <c r="G134">
        <v>5.5258333333333303</v>
      </c>
      <c r="H134">
        <v>5.2960000000000003</v>
      </c>
      <c r="I134">
        <v>0.111307596706103</v>
      </c>
      <c r="J134">
        <v>69.147764920350497</v>
      </c>
      <c r="K134">
        <v>20.5589285392746</v>
      </c>
      <c r="L134">
        <v>0.20845885086208801</v>
      </c>
      <c r="M134">
        <v>5974.3668891182797</v>
      </c>
      <c r="N134">
        <f t="shared" si="14"/>
        <v>1776.2914257933255</v>
      </c>
      <c r="O134">
        <v>18010.844714484399</v>
      </c>
      <c r="P134">
        <f t="shared" si="15"/>
        <v>945.04408191358471</v>
      </c>
      <c r="Q134">
        <f t="shared" si="16"/>
        <v>2.9801148508162485</v>
      </c>
      <c r="R134">
        <f t="shared" si="17"/>
        <v>2816.3399031866811</v>
      </c>
      <c r="T134">
        <f t="shared" si="18"/>
        <v>-4.8558333333333303</v>
      </c>
      <c r="U134">
        <f t="shared" si="19"/>
        <v>1.1920959524810275E-2</v>
      </c>
      <c r="V134">
        <f t="shared" si="20"/>
        <v>-5.7886192625891189E-2</v>
      </c>
      <c r="W134">
        <f>F134-V134</f>
        <v>-5.6838257717180589</v>
      </c>
      <c r="Y134">
        <f>(1-H134)*U134</f>
        <v>-5.1212442118584944E-2</v>
      </c>
      <c r="Z134">
        <f>C134-Y134</f>
        <v>-6.1378340354876055</v>
      </c>
    </row>
    <row r="135" spans="1:26" x14ac:dyDescent="0.75">
      <c r="A135" s="1">
        <v>45410</v>
      </c>
      <c r="B135">
        <v>0.33452064051013702</v>
      </c>
      <c r="C135">
        <v>-3.7841537501084099</v>
      </c>
      <c r="D135">
        <v>7.97004993247704</v>
      </c>
      <c r="E135" t="s">
        <v>19</v>
      </c>
      <c r="F135">
        <v>-3.44963310959827</v>
      </c>
      <c r="G135">
        <v>5.4124999999999996</v>
      </c>
      <c r="H135">
        <v>5.2226666666666697</v>
      </c>
      <c r="I135">
        <v>0.106446223346992</v>
      </c>
      <c r="J135">
        <v>66.095933015799602</v>
      </c>
      <c r="K135">
        <v>20.031606793557799</v>
      </c>
      <c r="L135">
        <v>0.20367540040422399</v>
      </c>
      <c r="M135">
        <v>5710.6886125650799</v>
      </c>
      <c r="N135">
        <f t="shared" si="14"/>
        <v>1730.7308269633941</v>
      </c>
      <c r="O135">
        <v>17597.554594925001</v>
      </c>
      <c r="P135">
        <f t="shared" si="15"/>
        <v>1545.5722763105771</v>
      </c>
      <c r="Q135">
        <f t="shared" si="16"/>
        <v>3.0486382989998613</v>
      </c>
      <c r="R135">
        <f t="shared" si="17"/>
        <v>4711.8908354328214</v>
      </c>
      <c r="T135">
        <f t="shared" si="18"/>
        <v>-4.7424999999999997</v>
      </c>
      <c r="U135">
        <f t="shared" si="19"/>
        <v>1.1354123757686695E-2</v>
      </c>
      <c r="V135">
        <f t="shared" si="20"/>
        <v>-5.384693192082915E-2</v>
      </c>
      <c r="W135">
        <f>F135-V135</f>
        <v>-3.395786177677441</v>
      </c>
      <c r="Y135">
        <f>(1-H135)*U135</f>
        <v>-4.7944679920791718E-2</v>
      </c>
      <c r="Z135">
        <f>C135-Y135</f>
        <v>-3.7362090701876181</v>
      </c>
    </row>
    <row r="136" spans="1:26" x14ac:dyDescent="0.75">
      <c r="A136" s="1">
        <v>45411</v>
      </c>
      <c r="B136">
        <v>0.26164899578901901</v>
      </c>
      <c r="C136">
        <v>-3.8603557238579098</v>
      </c>
      <c r="D136">
        <v>9.3415800636741704</v>
      </c>
      <c r="E136" t="s">
        <v>19</v>
      </c>
      <c r="F136">
        <v>-3.59870672806889</v>
      </c>
      <c r="G136">
        <v>5.5291666666666703</v>
      </c>
      <c r="H136">
        <v>5.2893333333333299</v>
      </c>
      <c r="I136">
        <v>0.10179914965890501</v>
      </c>
      <c r="J136">
        <v>63.178542075446401</v>
      </c>
      <c r="K136">
        <v>19.527985636224699</v>
      </c>
      <c r="L136">
        <v>0.199108039589727</v>
      </c>
      <c r="M136">
        <v>5458.6260353185698</v>
      </c>
      <c r="N136">
        <f t="shared" si="14"/>
        <v>1687.2179589698142</v>
      </c>
      <c r="O136">
        <v>17202.934620552402</v>
      </c>
      <c r="P136">
        <f t="shared" si="15"/>
        <v>1289.0810925245528</v>
      </c>
      <c r="Q136">
        <f t="shared" si="16"/>
        <v>3.11699892974115</v>
      </c>
      <c r="R136">
        <f t="shared" si="17"/>
        <v>4018.0643857485834</v>
      </c>
      <c r="T136">
        <f t="shared" si="18"/>
        <v>-4.8591666666666704</v>
      </c>
      <c r="U136">
        <f t="shared" si="19"/>
        <v>1.0825912982330915E-2</v>
      </c>
      <c r="V136">
        <f t="shared" si="20"/>
        <v>-5.260491549997634E-2</v>
      </c>
      <c r="W136">
        <f>F136-V136</f>
        <v>-3.5461018125689137</v>
      </c>
      <c r="Y136">
        <f>(1-H136)*U136</f>
        <v>-4.6435949418878034E-2</v>
      </c>
      <c r="Z136">
        <f>C136-Y136</f>
        <v>-3.8139197744390319</v>
      </c>
    </row>
    <row r="137" spans="1:26" x14ac:dyDescent="0.75">
      <c r="A137" s="1">
        <v>45412</v>
      </c>
      <c r="B137">
        <v>0.34861086442988198</v>
      </c>
      <c r="C137">
        <v>-2.5096524067569699</v>
      </c>
      <c r="D137">
        <v>5.3446244697980898</v>
      </c>
      <c r="E137" t="s">
        <v>19</v>
      </c>
      <c r="F137">
        <v>-2.1610415423270899</v>
      </c>
      <c r="G137">
        <v>5.44166666666667</v>
      </c>
      <c r="H137">
        <v>5.2546666666666697</v>
      </c>
      <c r="I137">
        <v>9.8006339042981006E-2</v>
      </c>
      <c r="J137">
        <v>60.798655646711197</v>
      </c>
      <c r="K137">
        <v>19.053778989326201</v>
      </c>
      <c r="L137">
        <v>0.1952969386283</v>
      </c>
      <c r="M137">
        <v>5253.0038478758497</v>
      </c>
      <c r="N137">
        <f t="shared" si="14"/>
        <v>1646.2465046777838</v>
      </c>
      <c r="O137">
        <v>16873.655497485201</v>
      </c>
      <c r="P137">
        <f t="shared" si="15"/>
        <v>2209.9885436265008</v>
      </c>
      <c r="Q137">
        <f t="shared" si="16"/>
        <v>3.1764671922843477</v>
      </c>
      <c r="R137">
        <f t="shared" si="17"/>
        <v>7019.9561041538454</v>
      </c>
      <c r="T137">
        <f t="shared" si="18"/>
        <v>-4.7716666666666701</v>
      </c>
      <c r="U137">
        <f t="shared" si="19"/>
        <v>1.0365266851655347E-2</v>
      </c>
      <c r="V137">
        <f t="shared" si="20"/>
        <v>-4.9459598327148795E-2</v>
      </c>
      <c r="W137">
        <f>F137-V137</f>
        <v>-2.111581943999941</v>
      </c>
      <c r="Y137">
        <f>(1-H137)*U137</f>
        <v>-4.4100755364842981E-2</v>
      </c>
      <c r="Z137">
        <f>C137-Y137</f>
        <v>-2.465551651392127</v>
      </c>
    </row>
    <row r="138" spans="1:26" x14ac:dyDescent="0.75">
      <c r="A138" s="1">
        <v>45413</v>
      </c>
      <c r="B138">
        <v>0.16992212968880499</v>
      </c>
      <c r="C138">
        <v>-1.54300407307517</v>
      </c>
      <c r="D138">
        <v>3.2862731839150299</v>
      </c>
      <c r="E138" t="s">
        <v>19</v>
      </c>
      <c r="F138">
        <v>-1.3730819433863699</v>
      </c>
      <c r="G138">
        <v>5.1304166666666697</v>
      </c>
      <c r="H138">
        <v>5.0519999999999996</v>
      </c>
      <c r="I138">
        <v>9.6335975853769795E-2</v>
      </c>
      <c r="J138">
        <v>59.7514745148382</v>
      </c>
      <c r="K138">
        <v>18.6123346014787</v>
      </c>
      <c r="L138">
        <v>0.19355241729966299</v>
      </c>
      <c r="M138">
        <v>5162.5273980820202</v>
      </c>
      <c r="N138">
        <f t="shared" si="14"/>
        <v>1608.1057095677597</v>
      </c>
      <c r="O138">
        <v>16722.928854690901</v>
      </c>
      <c r="P138">
        <f t="shared" si="15"/>
        <v>3562.1050177994889</v>
      </c>
      <c r="Q138">
        <f t="shared" si="16"/>
        <v>3.2045092267315658</v>
      </c>
      <c r="R138">
        <f t="shared" si="17"/>
        <v>11414.79839612527</v>
      </c>
      <c r="T138">
        <f t="shared" si="18"/>
        <v>-4.4604166666666698</v>
      </c>
      <c r="U138">
        <f t="shared" si="19"/>
        <v>1.0036517892681774E-2</v>
      </c>
      <c r="V138">
        <f t="shared" si="20"/>
        <v>-4.4767051683816027E-2</v>
      </c>
      <c r="W138">
        <f>F138-V138</f>
        <v>-1.3283148917025538</v>
      </c>
      <c r="Y138">
        <f>(1-H138)*U138</f>
        <v>-4.0667970501146546E-2</v>
      </c>
      <c r="Z138">
        <f>C138-Y138</f>
        <v>-1.5023361025740234</v>
      </c>
    </row>
    <row r="139" spans="1:26" x14ac:dyDescent="0.75">
      <c r="A139" s="1">
        <v>45414</v>
      </c>
      <c r="B139">
        <v>0.29871224386829798</v>
      </c>
      <c r="C139">
        <v>-1.0823059565961399</v>
      </c>
      <c r="D139">
        <v>1.90004091731178</v>
      </c>
      <c r="E139" t="s">
        <v>19</v>
      </c>
      <c r="F139">
        <v>-0.78359371272783795</v>
      </c>
      <c r="G139">
        <v>5.0975000000000001</v>
      </c>
      <c r="H139">
        <v>5.0279999999999996</v>
      </c>
      <c r="I139">
        <v>9.3664568995804595E-2</v>
      </c>
      <c r="J139">
        <v>58.076708255414196</v>
      </c>
      <c r="K139">
        <v>18.204142646223598</v>
      </c>
      <c r="L139">
        <v>0.190762339651424</v>
      </c>
      <c r="M139">
        <v>5017.8275932677798</v>
      </c>
      <c r="N139">
        <f t="shared" si="14"/>
        <v>1572.837924633719</v>
      </c>
      <c r="O139">
        <v>16481.866145882999</v>
      </c>
      <c r="P139">
        <f t="shared" si="15"/>
        <v>6072.1357087621755</v>
      </c>
      <c r="Q139">
        <f t="shared" si="16"/>
        <v>3.2503790757981883</v>
      </c>
      <c r="R139">
        <f t="shared" si="17"/>
        <v>19736.742853167576</v>
      </c>
      <c r="T139">
        <f t="shared" si="18"/>
        <v>-4.4275000000000002</v>
      </c>
      <c r="U139">
        <f t="shared" si="19"/>
        <v>9.6778737984429142E-3</v>
      </c>
      <c r="V139">
        <f t="shared" si="20"/>
        <v>-4.2848786242606005E-2</v>
      </c>
      <c r="W139">
        <f>F139-V139</f>
        <v>-0.74074492648523194</v>
      </c>
      <c r="Y139">
        <f>(1-H139)*U139</f>
        <v>-3.8982475660128052E-2</v>
      </c>
      <c r="Z139">
        <f>C139-Y139</f>
        <v>-1.0433234809360119</v>
      </c>
    </row>
    <row r="140" spans="1:26" x14ac:dyDescent="0.75">
      <c r="A140" s="1">
        <v>45415</v>
      </c>
      <c r="B140">
        <v>0.32701559670425201</v>
      </c>
      <c r="C140">
        <v>-1.0166561199179101</v>
      </c>
      <c r="D140">
        <v>1.48122718089042</v>
      </c>
      <c r="E140" t="s">
        <v>19</v>
      </c>
      <c r="F140">
        <v>-0.68964052321365599</v>
      </c>
      <c r="G140">
        <v>4.8454166666666696</v>
      </c>
      <c r="H140">
        <v>4.8213333333333299</v>
      </c>
      <c r="I140">
        <v>9.1125264674771805E-2</v>
      </c>
      <c r="J140">
        <v>56.484869102372301</v>
      </c>
      <c r="K140">
        <v>17.823337923833598</v>
      </c>
      <c r="L140">
        <v>0.18810218785819199</v>
      </c>
      <c r="M140">
        <v>4880.2926904449696</v>
      </c>
      <c r="N140">
        <f t="shared" si="14"/>
        <v>1539.9363966192229</v>
      </c>
      <c r="O140">
        <v>16252.0290309478</v>
      </c>
      <c r="P140">
        <f t="shared" si="15"/>
        <v>7680.4020804051652</v>
      </c>
      <c r="Q140">
        <f t="shared" si="16"/>
        <v>3.2953342860453341</v>
      </c>
      <c r="R140">
        <f t="shared" si="17"/>
        <v>25309.492306173055</v>
      </c>
      <c r="T140">
        <f t="shared" si="18"/>
        <v>-4.1754166666666697</v>
      </c>
      <c r="U140">
        <f t="shared" si="19"/>
        <v>9.3461619547391683E-3</v>
      </c>
      <c r="V140">
        <f t="shared" si="20"/>
        <v>-3.9024120395183867E-2</v>
      </c>
      <c r="W140">
        <f>F140-V140</f>
        <v>-0.65061640281847211</v>
      </c>
      <c r="Y140">
        <f>(1-H140)*U140</f>
        <v>-3.5714800216376574E-2</v>
      </c>
      <c r="Z140">
        <f>C140-Y140</f>
        <v>-0.98094131970153353</v>
      </c>
    </row>
    <row r="141" spans="1:26" x14ac:dyDescent="0.75">
      <c r="A141" s="1">
        <v>45416</v>
      </c>
      <c r="B141">
        <v>0.34272874982097601</v>
      </c>
      <c r="C141">
        <v>-1.0592916733822799</v>
      </c>
      <c r="D141">
        <v>1.6504292656295301</v>
      </c>
      <c r="E141" t="s">
        <v>19</v>
      </c>
      <c r="F141">
        <v>-0.71656292356130602</v>
      </c>
      <c r="G141">
        <v>4.6529166666666697</v>
      </c>
      <c r="H141">
        <v>4.6006666666666698</v>
      </c>
      <c r="I141">
        <v>9.3036348042392997E-2</v>
      </c>
      <c r="J141">
        <v>57.681882760301299</v>
      </c>
      <c r="K141">
        <v>17.4628129150192</v>
      </c>
      <c r="L141">
        <v>0.19017808106025499</v>
      </c>
      <c r="M141">
        <v>4983.7146704900297</v>
      </c>
      <c r="N141">
        <f t="shared" si="14"/>
        <v>1508.787035857659</v>
      </c>
      <c r="O141">
        <v>16431.3862036061</v>
      </c>
      <c r="P141">
        <f t="shared" si="15"/>
        <v>6969.0780344573113</v>
      </c>
      <c r="Q141">
        <f t="shared" si="16"/>
        <v>3.2600653950342555</v>
      </c>
      <c r="R141">
        <f t="shared" si="17"/>
        <v>22719.650135427626</v>
      </c>
      <c r="T141">
        <f t="shared" si="18"/>
        <v>-3.9829166666666698</v>
      </c>
      <c r="U141">
        <f t="shared" si="19"/>
        <v>9.256176505881444E-3</v>
      </c>
      <c r="V141">
        <f t="shared" si="20"/>
        <v>-3.6866579674883666E-2</v>
      </c>
      <c r="W141">
        <f>F141-V141</f>
        <v>-0.67969634388642231</v>
      </c>
      <c r="Y141">
        <f>(1-H141)*U141</f>
        <v>-3.3328406205510482E-2</v>
      </c>
      <c r="Z141">
        <f>C141-Y141</f>
        <v>-1.0259632671767693</v>
      </c>
    </row>
    <row r="142" spans="1:26" x14ac:dyDescent="0.75">
      <c r="A142" s="1">
        <v>45417</v>
      </c>
      <c r="B142">
        <v>0.313781749004581</v>
      </c>
      <c r="C142">
        <v>-1.0812498427136401</v>
      </c>
      <c r="D142">
        <v>1.7588619544335899</v>
      </c>
      <c r="E142" t="s">
        <v>19</v>
      </c>
      <c r="F142">
        <v>-0.76746809370906299</v>
      </c>
      <c r="G142">
        <v>4.8033333333333301</v>
      </c>
      <c r="H142">
        <v>4.7539999999999996</v>
      </c>
      <c r="I142">
        <v>9.7304727791273901E-2</v>
      </c>
      <c r="J142">
        <v>60.359154827536102</v>
      </c>
      <c r="K142">
        <v>17.119496695469</v>
      </c>
      <c r="L142">
        <v>0.19453916108525601</v>
      </c>
      <c r="M142">
        <v>5215.0309770991198</v>
      </c>
      <c r="N142">
        <f t="shared" si="14"/>
        <v>1479.1245144885218</v>
      </c>
      <c r="O142">
        <v>16808.183517766101</v>
      </c>
      <c r="P142">
        <f t="shared" si="15"/>
        <v>6689.3984674455096</v>
      </c>
      <c r="Q142">
        <f t="shared" si="16"/>
        <v>3.1886156197642022</v>
      </c>
      <c r="R142">
        <f t="shared" si="17"/>
        <v>21329.920440123467</v>
      </c>
      <c r="T142">
        <f t="shared" si="18"/>
        <v>-4.1333333333333302</v>
      </c>
      <c r="U142">
        <f t="shared" si="19"/>
        <v>9.2775341456672843E-3</v>
      </c>
      <c r="V142">
        <f t="shared" si="20"/>
        <v>-3.8347141135424749E-2</v>
      </c>
      <c r="W142">
        <f>F142-V142</f>
        <v>-0.72912095257363829</v>
      </c>
      <c r="Y142">
        <f>(1-H142)*U142</f>
        <v>-3.4827863182834984E-2</v>
      </c>
      <c r="Z142">
        <f>C142-Y142</f>
        <v>-1.0464219795308052</v>
      </c>
    </row>
    <row r="143" spans="1:26" x14ac:dyDescent="0.75">
      <c r="A143" s="1">
        <v>45418</v>
      </c>
      <c r="B143">
        <v>0.42875528321645801</v>
      </c>
      <c r="C143">
        <v>-1.3971169484347601</v>
      </c>
      <c r="D143">
        <v>2.22847311442702</v>
      </c>
      <c r="E143" t="s">
        <v>19</v>
      </c>
      <c r="F143">
        <v>-0.96836166521830003</v>
      </c>
      <c r="G143">
        <v>4.7887500000000003</v>
      </c>
      <c r="H143">
        <v>4.5886666666666702</v>
      </c>
      <c r="I143">
        <v>9.6426979823656694E-2</v>
      </c>
      <c r="J143">
        <v>59.808944018791102</v>
      </c>
      <c r="K143">
        <v>16.791137815635899</v>
      </c>
      <c r="L143">
        <v>0.19361712154225</v>
      </c>
      <c r="M143">
        <v>5167.4927632235504</v>
      </c>
      <c r="N143">
        <f t="shared" si="14"/>
        <v>1450.7543072709418</v>
      </c>
      <c r="O143">
        <v>16728.519301250399</v>
      </c>
      <c r="P143">
        <f t="shared" si="15"/>
        <v>5254.7026190558818</v>
      </c>
      <c r="Q143">
        <f t="shared" si="16"/>
        <v>3.2034932322633307</v>
      </c>
      <c r="R143">
        <f t="shared" si="17"/>
        <v>16833.404277701917</v>
      </c>
      <c r="T143">
        <f t="shared" si="18"/>
        <v>-4.1187500000000004</v>
      </c>
      <c r="U143">
        <f t="shared" si="19"/>
        <v>9.057327124402605E-3</v>
      </c>
      <c r="V143">
        <f t="shared" si="20"/>
        <v>-3.7304866093633232E-2</v>
      </c>
      <c r="W143">
        <f>F143-V143</f>
        <v>-0.93105679912466677</v>
      </c>
      <c r="Y143">
        <f>(1-H143)*U143</f>
        <v>-3.2503727940439514E-2</v>
      </c>
      <c r="Z143">
        <f>C143-Y143</f>
        <v>-1.3646132204943207</v>
      </c>
    </row>
    <row r="144" spans="1:26" x14ac:dyDescent="0.75">
      <c r="A144" s="1">
        <v>45419</v>
      </c>
      <c r="B144">
        <v>0.14895424126758899</v>
      </c>
      <c r="C144">
        <v>-0.92710177293392804</v>
      </c>
      <c r="D144">
        <v>1.5860674830378101</v>
      </c>
      <c r="E144" t="s">
        <v>19</v>
      </c>
      <c r="F144">
        <v>-0.77814753166633899</v>
      </c>
      <c r="G144">
        <v>4.0379166666666704</v>
      </c>
      <c r="H144">
        <v>4.0353333333333303</v>
      </c>
      <c r="I144">
        <v>9.4821200096945599E-2</v>
      </c>
      <c r="J144">
        <v>58.802535102479801</v>
      </c>
      <c r="K144">
        <v>16.472538625033199</v>
      </c>
      <c r="L144">
        <v>0.19191926891111299</v>
      </c>
      <c r="M144">
        <v>5080.5390328542599</v>
      </c>
      <c r="N144">
        <f t="shared" si="14"/>
        <v>1423.2273372028685</v>
      </c>
      <c r="O144">
        <v>16581.824833920102</v>
      </c>
      <c r="P144">
        <f t="shared" si="15"/>
        <v>7318.2746055120824</v>
      </c>
      <c r="Q144">
        <f t="shared" si="16"/>
        <v>3.2312608716040168</v>
      </c>
      <c r="R144">
        <f t="shared" si="17"/>
        <v>23647.254380444512</v>
      </c>
      <c r="T144">
        <f t="shared" si="18"/>
        <v>-3.3679166666666704</v>
      </c>
      <c r="U144">
        <f t="shared" si="19"/>
        <v>8.8091144216181482E-3</v>
      </c>
      <c r="V144">
        <f t="shared" si="20"/>
        <v>-2.9668363279141487E-2</v>
      </c>
      <c r="W144">
        <f>F144-V144</f>
        <v>-0.74847916838719752</v>
      </c>
      <c r="Y144">
        <f>(1-H144)*U144</f>
        <v>-2.6738598641084927E-2</v>
      </c>
      <c r="Z144">
        <f>C144-Y144</f>
        <v>-0.90036317429284307</v>
      </c>
    </row>
    <row r="145" spans="1:26" x14ac:dyDescent="0.75">
      <c r="A145" s="1">
        <v>45420</v>
      </c>
      <c r="B145">
        <v>8.6676331136026505E-2</v>
      </c>
      <c r="C145">
        <v>-0.93799949316748799</v>
      </c>
      <c r="D145">
        <v>1.58055235687908</v>
      </c>
      <c r="E145" t="s">
        <v>19</v>
      </c>
      <c r="F145">
        <v>-0.85132316203146197</v>
      </c>
      <c r="G145">
        <v>3.4566666666666701</v>
      </c>
      <c r="H145">
        <v>3.57</v>
      </c>
      <c r="I145">
        <v>9.0934675715504995E-2</v>
      </c>
      <c r="J145">
        <v>56.366259330335701</v>
      </c>
      <c r="K145">
        <v>16.159410777270299</v>
      </c>
      <c r="L145">
        <v>0.18783855283501599</v>
      </c>
      <c r="M145">
        <v>4870.0448061409998</v>
      </c>
      <c r="N145">
        <f t="shared" si="14"/>
        <v>1396.173091156154</v>
      </c>
      <c r="O145">
        <v>16229.2509649454</v>
      </c>
      <c r="P145">
        <f t="shared" si="15"/>
        <v>7187.6617221930546</v>
      </c>
      <c r="Q145">
        <f t="shared" si="16"/>
        <v>3.2999317545506095</v>
      </c>
      <c r="R145">
        <f t="shared" si="17"/>
        <v>23718.793158032782</v>
      </c>
      <c r="T145">
        <f t="shared" si="18"/>
        <v>-2.7866666666666702</v>
      </c>
      <c r="U145">
        <f t="shared" si="19"/>
        <v>8.4618300922789085E-3</v>
      </c>
      <c r="V145">
        <f t="shared" si="20"/>
        <v>-2.3580299857150589E-2</v>
      </c>
      <c r="W145">
        <f>F145-V145</f>
        <v>-0.82774286217431137</v>
      </c>
      <c r="Y145">
        <f>(1-H145)*U145</f>
        <v>-2.1746903337156794E-2</v>
      </c>
      <c r="Z145">
        <f>C145-Y145</f>
        <v>-0.9162525898303312</v>
      </c>
    </row>
    <row r="146" spans="1:26" x14ac:dyDescent="0.75">
      <c r="A146" s="1">
        <v>45421</v>
      </c>
      <c r="B146">
        <v>0.23609029716943999</v>
      </c>
      <c r="C146">
        <v>-0.87044830646240401</v>
      </c>
      <c r="D146">
        <v>1.00981362686798</v>
      </c>
      <c r="E146" t="s">
        <v>19</v>
      </c>
      <c r="F146">
        <v>-0.63435800929296404</v>
      </c>
      <c r="G146">
        <v>3.1225000000000001</v>
      </c>
      <c r="H146">
        <v>3.43</v>
      </c>
      <c r="I146">
        <v>8.8095713161123398E-2</v>
      </c>
      <c r="J146">
        <v>54.586769679679698</v>
      </c>
      <c r="K146">
        <v>15.847419458578701</v>
      </c>
      <c r="L146">
        <v>0.18484947048731201</v>
      </c>
      <c r="M146">
        <v>4716.2969003243297</v>
      </c>
      <c r="N146">
        <f t="shared" si="14"/>
        <v>1369.2170412211999</v>
      </c>
      <c r="O146">
        <v>15970.9942501038</v>
      </c>
      <c r="P146">
        <f t="shared" si="15"/>
        <v>11071.048832790468</v>
      </c>
      <c r="Q146">
        <f t="shared" si="16"/>
        <v>3.3520802558591964</v>
      </c>
      <c r="R146">
        <f t="shared" si="17"/>
        <v>37111.044204049926</v>
      </c>
      <c r="T146">
        <f t="shared" si="18"/>
        <v>-2.4525000000000001</v>
      </c>
      <c r="U146">
        <f t="shared" si="19"/>
        <v>8.169357155622432E-3</v>
      </c>
      <c r="V146">
        <f t="shared" si="20"/>
        <v>-2.0035348424164014E-2</v>
      </c>
      <c r="W146">
        <f>F146-V146</f>
        <v>-0.61432266086880005</v>
      </c>
      <c r="Y146">
        <f>(1-H146)*U146</f>
        <v>-1.9851537888162511E-2</v>
      </c>
      <c r="Z146">
        <f>C146-Y146</f>
        <v>-0.85059676857424149</v>
      </c>
    </row>
    <row r="147" spans="1:26" x14ac:dyDescent="0.75">
      <c r="A147" s="1">
        <v>45422</v>
      </c>
      <c r="B147">
        <v>0.38094081057513202</v>
      </c>
      <c r="C147">
        <v>-1.9432063077586399</v>
      </c>
      <c r="D147">
        <v>3.8821092534558499</v>
      </c>
      <c r="E147" t="s">
        <v>19</v>
      </c>
      <c r="F147">
        <v>-1.5622654971835099</v>
      </c>
      <c r="G147">
        <v>4.6912500000000001</v>
      </c>
      <c r="H147">
        <v>4.30866666666667</v>
      </c>
      <c r="I147">
        <v>0.103551709982208</v>
      </c>
      <c r="J147">
        <v>64.277982984145197</v>
      </c>
      <c r="K147">
        <v>15.533509597667701</v>
      </c>
      <c r="L147">
        <v>0.20088593607842301</v>
      </c>
      <c r="M147">
        <v>5553.61772983014</v>
      </c>
      <c r="N147">
        <f t="shared" si="14"/>
        <v>1342.0952292384895</v>
      </c>
      <c r="O147">
        <v>17356.5448771757</v>
      </c>
      <c r="P147">
        <f t="shared" si="15"/>
        <v>3129.6340779712582</v>
      </c>
      <c r="Q147">
        <f t="shared" si="16"/>
        <v>3.0899783199561961</v>
      </c>
      <c r="R147">
        <f t="shared" si="17"/>
        <v>9670.5014503272869</v>
      </c>
      <c r="T147">
        <f t="shared" si="18"/>
        <v>-4.0212500000000002</v>
      </c>
      <c r="U147">
        <f t="shared" si="19"/>
        <v>8.6867614608863355E-3</v>
      </c>
      <c r="V147">
        <f t="shared" si="20"/>
        <v>-3.4931639524589178E-2</v>
      </c>
      <c r="W147">
        <f>F147-V147</f>
        <v>-1.5273338576589208</v>
      </c>
      <c r="Y147">
        <f>(1-H147)*U147</f>
        <v>-2.8741598086919284E-2</v>
      </c>
      <c r="Z147">
        <f>C147-Y147</f>
        <v>-1.9144647096717207</v>
      </c>
    </row>
    <row r="148" spans="1:26" x14ac:dyDescent="0.75">
      <c r="A148" s="1">
        <v>45423</v>
      </c>
      <c r="B148">
        <v>0.26246544826662299</v>
      </c>
      <c r="C148">
        <v>-0.93878805747936001</v>
      </c>
      <c r="D148">
        <v>1.4170542851567001</v>
      </c>
      <c r="E148" t="s">
        <v>19</v>
      </c>
      <c r="F148">
        <v>-0.67632260921273601</v>
      </c>
      <c r="G148">
        <v>5.2262500000000003</v>
      </c>
      <c r="H148">
        <v>5.1539999999999999</v>
      </c>
      <c r="I148">
        <v>9.6517983793543302E-2</v>
      </c>
      <c r="J148">
        <v>59.866460609737501</v>
      </c>
      <c r="K148">
        <v>15.2170821237974</v>
      </c>
      <c r="L148">
        <v>0.19367894547134701</v>
      </c>
      <c r="M148">
        <v>5172.4621966813202</v>
      </c>
      <c r="N148">
        <f t="shared" si="14"/>
        <v>1314.7558954960955</v>
      </c>
      <c r="O148">
        <v>16733.860888724401</v>
      </c>
      <c r="P148">
        <f t="shared" si="15"/>
        <v>8266.2342189747233</v>
      </c>
      <c r="Q148">
        <f t="shared" si="16"/>
        <v>3.2025279579483374</v>
      </c>
      <c r="R148">
        <f t="shared" si="17"/>
        <v>26472.846193215792</v>
      </c>
      <c r="T148">
        <f t="shared" si="18"/>
        <v>-4.5562500000000004</v>
      </c>
      <c r="U148">
        <f t="shared" si="19"/>
        <v>8.2107379717514077E-3</v>
      </c>
      <c r="V148">
        <f t="shared" si="20"/>
        <v>-3.7410174883792356E-2</v>
      </c>
      <c r="W148">
        <f>F148-V148</f>
        <v>-0.63891243432894362</v>
      </c>
      <c r="Y148">
        <f>(1-H148)*U148</f>
        <v>-3.4107405534655348E-2</v>
      </c>
      <c r="Z148">
        <f>C148-Y148</f>
        <v>-0.90468065194470471</v>
      </c>
    </row>
    <row r="149" spans="1:26" x14ac:dyDescent="0.75">
      <c r="A149" s="1">
        <v>45424</v>
      </c>
      <c r="B149">
        <v>0.31800256812745598</v>
      </c>
      <c r="C149">
        <v>-0.88805505724812095</v>
      </c>
      <c r="D149">
        <v>1.5356677127257501</v>
      </c>
      <c r="E149" t="s">
        <v>19</v>
      </c>
      <c r="F149">
        <v>-0.57005248912066397</v>
      </c>
      <c r="G149">
        <v>4.5858333333333299</v>
      </c>
      <c r="H149">
        <v>4.6546666666666701</v>
      </c>
      <c r="I149">
        <v>9.4104910785579199E-2</v>
      </c>
      <c r="J149">
        <v>58.352146939285497</v>
      </c>
      <c r="K149">
        <v>14.900608216522301</v>
      </c>
      <c r="L149">
        <v>0.19126774000556901</v>
      </c>
      <c r="M149">
        <v>5041.6254955542699</v>
      </c>
      <c r="N149">
        <f t="shared" si="14"/>
        <v>1287.4125499075269</v>
      </c>
      <c r="O149">
        <v>16525.532736481098</v>
      </c>
      <c r="P149">
        <f t="shared" si="15"/>
        <v>7532.7968542128465</v>
      </c>
      <c r="Q149">
        <f t="shared" si="16"/>
        <v>3.2419239732999183</v>
      </c>
      <c r="R149">
        <f t="shared" si="17"/>
        <v>24420.754707670836</v>
      </c>
      <c r="T149">
        <f t="shared" si="18"/>
        <v>-3.9158333333333299</v>
      </c>
      <c r="U149">
        <f t="shared" si="19"/>
        <v>7.9422747757843578E-3</v>
      </c>
      <c r="V149">
        <f t="shared" si="20"/>
        <v>-3.1100624309508888E-2</v>
      </c>
      <c r="W149">
        <f>F149-V149</f>
        <v>-0.53895186481115509</v>
      </c>
      <c r="Y149">
        <f>(1-H149)*U149</f>
        <v>-2.9026366880566593E-2</v>
      </c>
      <c r="Z149">
        <f>C149-Y149</f>
        <v>-0.85902869036755436</v>
      </c>
    </row>
    <row r="150" spans="1:26" x14ac:dyDescent="0.75">
      <c r="A150" s="1">
        <v>45425</v>
      </c>
      <c r="B150">
        <v>0.207522571238103</v>
      </c>
      <c r="C150">
        <v>-1.0116065957553499</v>
      </c>
      <c r="D150">
        <v>3.3623707840644399</v>
      </c>
      <c r="E150" t="s">
        <v>19</v>
      </c>
      <c r="F150">
        <v>-0.80408402451724503</v>
      </c>
      <c r="G150">
        <v>5.54958333333333</v>
      </c>
      <c r="H150">
        <v>5.2733333333333299</v>
      </c>
      <c r="I150">
        <v>9.8194218206618097E-2</v>
      </c>
      <c r="J150">
        <v>60.927364195071199</v>
      </c>
      <c r="K150">
        <v>14.590048413089299</v>
      </c>
      <c r="L150">
        <v>0.19475024295923099</v>
      </c>
      <c r="M150">
        <v>5264.1242664541496</v>
      </c>
      <c r="N150">
        <f t="shared" si="14"/>
        <v>1260.5801828909155</v>
      </c>
      <c r="O150">
        <v>16826.4209916775</v>
      </c>
      <c r="P150">
        <f t="shared" si="15"/>
        <v>3503.0326667115469</v>
      </c>
      <c r="Q150">
        <f t="shared" si="16"/>
        <v>3.1860197630476286</v>
      </c>
      <c r="R150">
        <f t="shared" si="17"/>
        <v>11160.731306744425</v>
      </c>
      <c r="T150">
        <f t="shared" si="18"/>
        <v>-4.8795833333333301</v>
      </c>
      <c r="U150">
        <f t="shared" si="19"/>
        <v>7.9131975106462703E-3</v>
      </c>
      <c r="V150">
        <f t="shared" si="20"/>
        <v>-3.8613106686324339E-2</v>
      </c>
      <c r="W150">
        <f>F150-V150</f>
        <v>-0.76547091783092069</v>
      </c>
      <c r="Y150">
        <f>(1-H150)*U150</f>
        <v>-3.3815730695495032E-2</v>
      </c>
      <c r="Z150">
        <f>C150-Y150</f>
        <v>-0.97779086505985491</v>
      </c>
    </row>
    <row r="151" spans="1:26" x14ac:dyDescent="0.75">
      <c r="A151" s="1">
        <v>45426</v>
      </c>
      <c r="B151">
        <v>3.9632935427275001E-2</v>
      </c>
      <c r="C151">
        <v>-2.5345195445452502</v>
      </c>
      <c r="D151">
        <v>4.2860615216567499</v>
      </c>
      <c r="E151" t="s">
        <v>19</v>
      </c>
      <c r="F151">
        <v>-2.49488660911797</v>
      </c>
      <c r="G151">
        <v>5.7537500000000001</v>
      </c>
      <c r="H151">
        <v>5.7273333333333296</v>
      </c>
      <c r="I151">
        <v>0.15319290774945199</v>
      </c>
      <c r="J151">
        <v>95.5163899874306</v>
      </c>
      <c r="K151">
        <v>14.2905254497038</v>
      </c>
      <c r="L151">
        <v>0.244949852634779</v>
      </c>
      <c r="M151">
        <v>8252.6160949139994</v>
      </c>
      <c r="N151">
        <f t="shared" si="14"/>
        <v>1234.7013988544084</v>
      </c>
      <c r="O151">
        <v>21163.667267644902</v>
      </c>
      <c r="P151">
        <f t="shared" si="15"/>
        <v>3456.4522726740875</v>
      </c>
      <c r="Q151">
        <f t="shared" si="16"/>
        <v>2.5454352729475658</v>
      </c>
      <c r="R151">
        <f t="shared" si="17"/>
        <v>8798.1755341244007</v>
      </c>
      <c r="T151">
        <f t="shared" si="18"/>
        <v>-5.0837500000000002</v>
      </c>
      <c r="U151">
        <f t="shared" si="19"/>
        <v>9.7012987285639962E-3</v>
      </c>
      <c r="V151">
        <f t="shared" si="20"/>
        <v>-4.9318977411337214E-2</v>
      </c>
      <c r="W151">
        <f>F151-V151</f>
        <v>-2.4455676317066328</v>
      </c>
      <c r="Y151">
        <f>(1-H151)*U151</f>
        <v>-4.5861272856164828E-2</v>
      </c>
      <c r="Z151">
        <f>C151-Y151</f>
        <v>-2.4886582716890855</v>
      </c>
    </row>
    <row r="152" spans="1:26" x14ac:dyDescent="0.75">
      <c r="A152" s="1">
        <v>45429</v>
      </c>
      <c r="B152">
        <v>0.122026740999997</v>
      </c>
      <c r="C152">
        <v>-11.600493465639101</v>
      </c>
      <c r="D152">
        <v>19.3488412727285</v>
      </c>
      <c r="E152" t="s">
        <v>19</v>
      </c>
      <c r="F152">
        <v>-11.4784667246391</v>
      </c>
      <c r="G152">
        <v>5.4595833333333301</v>
      </c>
      <c r="H152">
        <v>5.38</v>
      </c>
      <c r="I152">
        <v>0.16406054312108601</v>
      </c>
      <c r="J152">
        <v>102.362982590961</v>
      </c>
      <c r="K152">
        <v>13.471536483979101</v>
      </c>
      <c r="L152">
        <v>0.25411120740366699</v>
      </c>
      <c r="M152">
        <v>8844.1616958590494</v>
      </c>
      <c r="N152">
        <f t="shared" si="14"/>
        <v>1163.9407522157944</v>
      </c>
      <c r="O152">
        <v>21955.2083196768</v>
      </c>
      <c r="P152">
        <f t="shared" si="15"/>
        <v>794.29282648751246</v>
      </c>
      <c r="Q152">
        <f t="shared" si="16"/>
        <v>2.4553588150235548</v>
      </c>
      <c r="R152">
        <f t="shared" si="17"/>
        <v>1950.2738932260886</v>
      </c>
      <c r="T152">
        <f t="shared" si="18"/>
        <v>-4.7895833333333302</v>
      </c>
      <c r="U152">
        <f t="shared" si="19"/>
        <v>9.4808200340741524E-3</v>
      </c>
      <c r="V152">
        <f t="shared" si="20"/>
        <v>-4.5409177621534298E-2</v>
      </c>
      <c r="W152">
        <f>F152-V152</f>
        <v>-11.433057547017565</v>
      </c>
      <c r="Y152">
        <f>(1-H152)*U152</f>
        <v>-4.1525991749244789E-2</v>
      </c>
      <c r="Z152">
        <f>C152-Y152</f>
        <v>-11.558967473889856</v>
      </c>
    </row>
    <row r="153" spans="1:26" x14ac:dyDescent="0.75">
      <c r="A153" s="1">
        <v>45430</v>
      </c>
      <c r="B153">
        <v>0.133636903973989</v>
      </c>
      <c r="C153">
        <v>-16.8916694113821</v>
      </c>
      <c r="D153">
        <v>28.8003917404315</v>
      </c>
      <c r="E153" t="s">
        <v>19</v>
      </c>
      <c r="F153">
        <v>-16.7580325074081</v>
      </c>
      <c r="G153">
        <v>5.2241666666666697</v>
      </c>
      <c r="H153">
        <v>5.1886666666666699</v>
      </c>
      <c r="I153">
        <v>0.14941771080511901</v>
      </c>
      <c r="J153">
        <v>93.129254754421197</v>
      </c>
      <c r="K153">
        <v>13.159619562375299</v>
      </c>
      <c r="L153">
        <v>0.24227345977998399</v>
      </c>
      <c r="M153">
        <v>8046.3676107819902</v>
      </c>
      <c r="N153">
        <f t="shared" si="14"/>
        <v>1136.9911301892259</v>
      </c>
      <c r="O153">
        <v>20932.426924990599</v>
      </c>
      <c r="P153">
        <f t="shared" si="15"/>
        <v>508.76734523451609</v>
      </c>
      <c r="Q153">
        <f t="shared" si="16"/>
        <v>2.5726352022662624</v>
      </c>
      <c r="R153">
        <f t="shared" si="17"/>
        <v>1308.8727821138687</v>
      </c>
      <c r="T153">
        <f t="shared" si="18"/>
        <v>-4.5541666666666698</v>
      </c>
      <c r="U153">
        <f t="shared" si="19"/>
        <v>8.8391166317528282E-3</v>
      </c>
      <c r="V153">
        <f t="shared" si="20"/>
        <v>-4.0254810327107697E-2</v>
      </c>
      <c r="W153">
        <f>F153-V153</f>
        <v>-16.71777769708099</v>
      </c>
      <c r="Y153">
        <f>(1-H153)*U153</f>
        <v>-3.7024113198202042E-2</v>
      </c>
      <c r="Z153">
        <f>C153-Y153</f>
        <v>-16.854645298183897</v>
      </c>
    </row>
    <row r="154" spans="1:26" x14ac:dyDescent="0.75">
      <c r="A154" s="1">
        <v>45431</v>
      </c>
      <c r="B154">
        <v>7.2773517932194096E-2</v>
      </c>
      <c r="C154">
        <v>-7.1357727860402402</v>
      </c>
      <c r="D154">
        <v>12.808112759204</v>
      </c>
      <c r="E154" t="s">
        <v>19</v>
      </c>
      <c r="F154">
        <v>-7.0629992681080402</v>
      </c>
      <c r="G154">
        <v>5.0608333333333304</v>
      </c>
      <c r="H154">
        <v>4.9720000000000004</v>
      </c>
      <c r="I154">
        <v>0.13627497618631601</v>
      </c>
      <c r="J154">
        <v>84.851304819651205</v>
      </c>
      <c r="K154">
        <v>12.832933976640099</v>
      </c>
      <c r="L154">
        <v>0.23108095781226901</v>
      </c>
      <c r="M154">
        <v>7331.1527364178701</v>
      </c>
      <c r="N154">
        <f t="shared" si="14"/>
        <v>1108.7654955817047</v>
      </c>
      <c r="O154">
        <v>19965.39475498</v>
      </c>
      <c r="P154">
        <f t="shared" si="15"/>
        <v>1091.1659345318387</v>
      </c>
      <c r="Q154">
        <f t="shared" si="16"/>
        <v>2.6945003935700167</v>
      </c>
      <c r="R154">
        <f t="shared" si="17"/>
        <v>2940.1470400462345</v>
      </c>
      <c r="T154">
        <f t="shared" si="18"/>
        <v>-4.3908333333333305</v>
      </c>
      <c r="U154">
        <f t="shared" si="19"/>
        <v>8.2298410364132196E-3</v>
      </c>
      <c r="V154">
        <f t="shared" si="20"/>
        <v>-3.613586035071769E-2</v>
      </c>
      <c r="W154">
        <f>F154-V154</f>
        <v>-7.0268634077573227</v>
      </c>
      <c r="Y154">
        <f>(1-H154)*U154</f>
        <v>-3.2688928596633311E-2</v>
      </c>
      <c r="Z154">
        <f>C154-Y154</f>
        <v>-7.1030838574436066</v>
      </c>
    </row>
    <row r="155" spans="1:26" x14ac:dyDescent="0.75">
      <c r="A155" s="1">
        <v>45432</v>
      </c>
      <c r="B155">
        <v>0.22630951875343699</v>
      </c>
      <c r="C155">
        <v>-11.1133501509245</v>
      </c>
      <c r="D155">
        <v>21.128602796469199</v>
      </c>
      <c r="E155" t="s">
        <v>19</v>
      </c>
      <c r="F155">
        <v>-10.887040632171001</v>
      </c>
      <c r="G155">
        <v>4.9862500000000001</v>
      </c>
      <c r="H155">
        <v>4.88</v>
      </c>
      <c r="I155">
        <v>0.124324100011836</v>
      </c>
      <c r="J155">
        <v>77.329800497576201</v>
      </c>
      <c r="K155">
        <v>12.552563915599199</v>
      </c>
      <c r="L155">
        <v>0.22055782565697299</v>
      </c>
      <c r="M155">
        <v>6681.2947629905802</v>
      </c>
      <c r="N155">
        <f t="shared" si="14"/>
        <v>1084.5415223077709</v>
      </c>
      <c r="O155">
        <v>19056.196136762501</v>
      </c>
      <c r="P155">
        <f t="shared" si="15"/>
        <v>631.34024640582891</v>
      </c>
      <c r="Q155">
        <f t="shared" si="16"/>
        <v>2.8201297760125619</v>
      </c>
      <c r="R155">
        <f t="shared" si="17"/>
        <v>1780.461427684186</v>
      </c>
      <c r="T155">
        <f t="shared" si="18"/>
        <v>-4.3162500000000001</v>
      </c>
      <c r="U155">
        <f t="shared" si="19"/>
        <v>7.691429887607697E-3</v>
      </c>
      <c r="V155">
        <f t="shared" si="20"/>
        <v>-3.3198134252386727E-2</v>
      </c>
      <c r="W155">
        <f>F155-V155</f>
        <v>-10.853842497918613</v>
      </c>
      <c r="Y155">
        <f>(1-H155)*U155</f>
        <v>-2.9842747963917865E-2</v>
      </c>
      <c r="Z155">
        <f>C155-Y155</f>
        <v>-11.083507402960581</v>
      </c>
    </row>
    <row r="156" spans="1:26" x14ac:dyDescent="0.75">
      <c r="A156" s="1">
        <v>45433</v>
      </c>
      <c r="B156">
        <v>0.32959804585163699</v>
      </c>
      <c r="C156">
        <v>-11.0101199275787</v>
      </c>
      <c r="D156">
        <v>21.935729084207299</v>
      </c>
      <c r="E156" t="s">
        <v>19</v>
      </c>
      <c r="F156">
        <v>-10.680521881727</v>
      </c>
      <c r="G156">
        <v>5.0533333333333301</v>
      </c>
      <c r="H156">
        <v>4.9146666666666698</v>
      </c>
      <c r="I156">
        <v>0.11734615044987701</v>
      </c>
      <c r="J156">
        <v>72.942992600632493</v>
      </c>
      <c r="K156">
        <v>11.898297592138601</v>
      </c>
      <c r="L156">
        <v>0.214106617006732</v>
      </c>
      <c r="M156">
        <v>6302.2745606946501</v>
      </c>
      <c r="N156">
        <f t="shared" si="14"/>
        <v>1028.0129119607752</v>
      </c>
      <c r="O156">
        <v>18498.811709381702</v>
      </c>
      <c r="P156">
        <f t="shared" si="15"/>
        <v>590.32312748109143</v>
      </c>
      <c r="Q156">
        <f t="shared" si="16"/>
        <v>2.9032513750010835</v>
      </c>
      <c r="R156">
        <f t="shared" si="17"/>
        <v>1713.8564315544186</v>
      </c>
      <c r="T156">
        <f t="shared" si="18"/>
        <v>-4.3833333333333302</v>
      </c>
      <c r="U156">
        <f t="shared" si="19"/>
        <v>7.0818043577807084E-3</v>
      </c>
      <c r="V156">
        <f t="shared" si="20"/>
        <v>-3.1041909101605418E-2</v>
      </c>
      <c r="W156">
        <f>F156-V156</f>
        <v>-10.649479972625395</v>
      </c>
      <c r="Y156">
        <f>(1-H156)*U156</f>
        <v>-2.7722903459258902E-2</v>
      </c>
      <c r="Z156">
        <f>C156-Y156</f>
        <v>-10.982397024119441</v>
      </c>
    </row>
    <row r="157" spans="1:26" x14ac:dyDescent="0.75">
      <c r="A157" s="1">
        <v>45434</v>
      </c>
      <c r="B157">
        <v>0.29931934752061801</v>
      </c>
      <c r="C157">
        <v>-6.0423671718463003</v>
      </c>
      <c r="D157">
        <v>11.7930615849271</v>
      </c>
      <c r="E157" t="s">
        <v>19</v>
      </c>
      <c r="F157">
        <v>-5.7430478243256804</v>
      </c>
      <c r="G157">
        <v>4.8137499999999998</v>
      </c>
      <c r="H157">
        <v>4.6406666666666698</v>
      </c>
      <c r="I157">
        <v>0.107547077821428</v>
      </c>
      <c r="J157">
        <v>66.787485932279793</v>
      </c>
      <c r="K157">
        <v>10.966828387207</v>
      </c>
      <c r="L157">
        <v>0.204726962843261</v>
      </c>
      <c r="M157">
        <v>5770.43878454897</v>
      </c>
      <c r="N157">
        <f t="shared" si="14"/>
        <v>947.53397265468493</v>
      </c>
      <c r="O157">
        <v>17688.4095896578</v>
      </c>
      <c r="P157">
        <f t="shared" si="15"/>
        <v>1049.9297933444141</v>
      </c>
      <c r="Q157">
        <f t="shared" si="16"/>
        <v>3.0333424122188943</v>
      </c>
      <c r="R157">
        <f t="shared" si="17"/>
        <v>3184.7965720038301</v>
      </c>
      <c r="T157">
        <f t="shared" si="18"/>
        <v>-4.1437499999999998</v>
      </c>
      <c r="U157">
        <f t="shared" si="19"/>
        <v>6.247458043891342E-3</v>
      </c>
      <c r="V157">
        <f t="shared" si="20"/>
        <v>-2.5887904269374748E-2</v>
      </c>
      <c r="W157">
        <f>F157-V157</f>
        <v>-5.7171599200563055</v>
      </c>
      <c r="Y157">
        <f>(1-H157)*U157</f>
        <v>-2.2744912251793765E-2</v>
      </c>
      <c r="Z157">
        <f>C157-Y157</f>
        <v>-6.0196222595945068</v>
      </c>
    </row>
    <row r="158" spans="1:26" x14ac:dyDescent="0.75">
      <c r="A158" s="1">
        <v>45435</v>
      </c>
      <c r="B158">
        <v>0.52790546227114599</v>
      </c>
      <c r="C158">
        <v>-9.3232746245759603</v>
      </c>
      <c r="D158">
        <v>18.215115673742702</v>
      </c>
      <c r="E158" t="s">
        <v>19</v>
      </c>
      <c r="F158">
        <v>-8.7953691623048105</v>
      </c>
      <c r="G158">
        <v>4.2745833333333296</v>
      </c>
      <c r="H158">
        <v>4.0039999999999996</v>
      </c>
      <c r="I158">
        <v>9.6579631644111694E-2</v>
      </c>
      <c r="J158">
        <v>59.905136207805697</v>
      </c>
      <c r="K158">
        <v>10.0629984899102</v>
      </c>
      <c r="L158">
        <v>0.193741299188918</v>
      </c>
      <c r="M158">
        <v>5175.8037683544098</v>
      </c>
      <c r="N158">
        <f t="shared" si="14"/>
        <v>869.44306952824138</v>
      </c>
      <c r="O158">
        <v>16739.248249922501</v>
      </c>
      <c r="P158">
        <f t="shared" si="15"/>
        <v>643.2829735930045</v>
      </c>
      <c r="Q158">
        <f t="shared" si="16"/>
        <v>3.201520651570589</v>
      </c>
      <c r="R158">
        <f t="shared" si="17"/>
        <v>2059.4837247617415</v>
      </c>
      <c r="T158">
        <f t="shared" si="18"/>
        <v>-3.6045833333333297</v>
      </c>
      <c r="U158">
        <f t="shared" si="19"/>
        <v>5.4314381455057214E-3</v>
      </c>
      <c r="V158">
        <f t="shared" si="20"/>
        <v>-1.9578071415320811E-2</v>
      </c>
      <c r="W158">
        <f>F158-V158</f>
        <v>-8.7757910908894896</v>
      </c>
      <c r="Y158">
        <f>(1-H158)*U158</f>
        <v>-1.6316040189099185E-2</v>
      </c>
      <c r="Z158">
        <f>C158-Y158</f>
        <v>-9.3069585843868605</v>
      </c>
    </row>
    <row r="159" spans="1:26" x14ac:dyDescent="0.75">
      <c r="A159" s="1">
        <v>45436</v>
      </c>
      <c r="B159">
        <v>0.24539689627404199</v>
      </c>
      <c r="C159">
        <v>-1.5026638519342299</v>
      </c>
      <c r="D159">
        <v>2.53083771720567</v>
      </c>
      <c r="E159" t="s">
        <v>19</v>
      </c>
      <c r="F159">
        <v>-1.2572669556601901</v>
      </c>
      <c r="G159">
        <v>3.9874999999999998</v>
      </c>
      <c r="H159">
        <v>3.8746666666666698</v>
      </c>
      <c r="I159">
        <v>8.5770708511113999E-2</v>
      </c>
      <c r="J159">
        <v>53.131939713457903</v>
      </c>
      <c r="K159">
        <v>9.3214924196201707</v>
      </c>
      <c r="L159">
        <v>0.18221030484791501</v>
      </c>
      <c r="M159">
        <v>4590.5995912427597</v>
      </c>
      <c r="N159">
        <f t="shared" si="14"/>
        <v>805.37694505518277</v>
      </c>
      <c r="O159">
        <v>15742.970338859801</v>
      </c>
      <c r="P159">
        <f t="shared" si="15"/>
        <v>4354.3207698711203</v>
      </c>
      <c r="Q159">
        <f t="shared" si="16"/>
        <v>3.3997246087509634</v>
      </c>
      <c r="R159">
        <f t="shared" si="17"/>
        <v>14803.491475726289</v>
      </c>
      <c r="T159">
        <f t="shared" si="18"/>
        <v>-3.3174999999999999</v>
      </c>
      <c r="U159">
        <f t="shared" si="19"/>
        <v>4.7378951988177251E-3</v>
      </c>
      <c r="V159">
        <f t="shared" si="20"/>
        <v>-1.5717967322077801E-2</v>
      </c>
      <c r="W159">
        <f>F159-V159</f>
        <v>-1.2415489883381123</v>
      </c>
      <c r="Y159">
        <f>(1-H159)*U159</f>
        <v>-1.3619869398201369E-2</v>
      </c>
      <c r="Z159">
        <f>C159-Y159</f>
        <v>-1.4890439825360284</v>
      </c>
    </row>
    <row r="160" spans="1:26" x14ac:dyDescent="0.75">
      <c r="A160" s="1">
        <v>45437</v>
      </c>
      <c r="B160">
        <v>0.147005040129527</v>
      </c>
      <c r="C160">
        <v>-0.85827122665179101</v>
      </c>
      <c r="D160">
        <v>1.70836105121144</v>
      </c>
      <c r="E160" t="s">
        <v>19</v>
      </c>
      <c r="F160">
        <v>-0.71126618652226403</v>
      </c>
      <c r="G160">
        <v>3.8020833333333299</v>
      </c>
      <c r="H160">
        <v>3.7333333333333298</v>
      </c>
      <c r="I160">
        <v>7.7025520566192496E-2</v>
      </c>
      <c r="J160">
        <v>47.659060332802603</v>
      </c>
      <c r="K160">
        <v>8.6094640528509192</v>
      </c>
      <c r="L160">
        <v>0.17232685827028499</v>
      </c>
      <c r="M160">
        <v>4117.7428127541398</v>
      </c>
      <c r="N160">
        <f t="shared" si="14"/>
        <v>743.85769416631945</v>
      </c>
      <c r="O160">
        <v>14889.040554552599</v>
      </c>
      <c r="P160">
        <f t="shared" si="15"/>
        <v>6100.7761683609533</v>
      </c>
      <c r="Q160">
        <f t="shared" si="16"/>
        <v>3.5905242385942078</v>
      </c>
      <c r="R160">
        <f t="shared" si="17"/>
        <v>21904.984706737901</v>
      </c>
      <c r="T160">
        <f t="shared" si="18"/>
        <v>-3.13208333333333</v>
      </c>
      <c r="U160">
        <f t="shared" si="19"/>
        <v>4.1434489491571341E-3</v>
      </c>
      <c r="V160">
        <f t="shared" si="20"/>
        <v>-1.297762739617256E-2</v>
      </c>
      <c r="W160">
        <f>F160-V160</f>
        <v>-0.69828855912609145</v>
      </c>
      <c r="Y160">
        <f>(1-H160)*U160</f>
        <v>-1.1325427127696151E-2</v>
      </c>
      <c r="Z160">
        <f>C160-Y160</f>
        <v>-0.84694579952409488</v>
      </c>
    </row>
    <row r="161" spans="1:26" x14ac:dyDescent="0.75">
      <c r="A161" s="1">
        <v>45438</v>
      </c>
      <c r="B161">
        <v>0.10435389208684299</v>
      </c>
      <c r="C161">
        <v>-0.60166751508465</v>
      </c>
      <c r="D161">
        <v>1.5644634825931401</v>
      </c>
      <c r="E161" t="s">
        <v>19</v>
      </c>
      <c r="F161">
        <v>-0.49731362299780701</v>
      </c>
      <c r="G161">
        <v>3.6770833333333299</v>
      </c>
      <c r="H161">
        <v>3.8220000000000001</v>
      </c>
      <c r="I161">
        <v>7.2046722729809096E-2</v>
      </c>
      <c r="J161">
        <v>44.5448662416185</v>
      </c>
      <c r="K161">
        <v>7.9285052003016201</v>
      </c>
      <c r="L161">
        <v>0.16657051132914999</v>
      </c>
      <c r="M161">
        <v>3848.67644327584</v>
      </c>
      <c r="N161">
        <f t="shared" si="14"/>
        <v>685.02284930606004</v>
      </c>
      <c r="O161">
        <v>14391.692178838601</v>
      </c>
      <c r="P161">
        <f t="shared" si="15"/>
        <v>6439.386177610736</v>
      </c>
      <c r="Q161">
        <f t="shared" si="16"/>
        <v>3.7118063457791761</v>
      </c>
      <c r="R161">
        <f t="shared" si="17"/>
        <v>23901.754476978243</v>
      </c>
      <c r="T161">
        <f t="shared" si="18"/>
        <v>-3.00708333333333</v>
      </c>
      <c r="U161">
        <f t="shared" si="19"/>
        <v>3.6910484302879829E-3</v>
      </c>
      <c r="V161">
        <f t="shared" si="20"/>
        <v>-1.1099290217245143E-2</v>
      </c>
      <c r="W161">
        <f>F161-V161</f>
        <v>-0.48621433278056186</v>
      </c>
      <c r="Y161">
        <f>(1-H161)*U161</f>
        <v>-1.0416138670272688E-2</v>
      </c>
      <c r="Z161">
        <f>C161-Y161</f>
        <v>-0.59125137641437731</v>
      </c>
    </row>
    <row r="162" spans="1:26" x14ac:dyDescent="0.75">
      <c r="A162" s="1">
        <v>45439</v>
      </c>
      <c r="B162">
        <v>0.225753303965885</v>
      </c>
      <c r="C162">
        <v>-0.49959378171334101</v>
      </c>
      <c r="D162">
        <v>0.80657133162616201</v>
      </c>
      <c r="E162" t="s">
        <v>19</v>
      </c>
      <c r="F162">
        <v>-0.27384047774745501</v>
      </c>
      <c r="G162">
        <v>3.4158333333333299</v>
      </c>
      <c r="H162">
        <v>3.7473333333333301</v>
      </c>
      <c r="I162">
        <v>6.5356463137168697E-2</v>
      </c>
      <c r="J162">
        <v>40.365212635626897</v>
      </c>
      <c r="K162">
        <v>7.2804667992807399</v>
      </c>
      <c r="L162">
        <v>0.15841632803869701</v>
      </c>
      <c r="M162">
        <v>3487.5543717181699</v>
      </c>
      <c r="N162">
        <f t="shared" si="14"/>
        <v>629.032331457856</v>
      </c>
      <c r="O162">
        <v>13687.1707425434</v>
      </c>
      <c r="P162">
        <f t="shared" si="15"/>
        <v>11878.700796944626</v>
      </c>
      <c r="Q162">
        <f t="shared" si="16"/>
        <v>3.8986905057542991</v>
      </c>
      <c r="R162">
        <f t="shared" si="17"/>
        <v>46311.378017744042</v>
      </c>
      <c r="T162">
        <f t="shared" si="18"/>
        <v>-2.74583333333333</v>
      </c>
      <c r="U162">
        <f t="shared" si="19"/>
        <v>3.2268903137062637E-3</v>
      </c>
      <c r="V162">
        <f t="shared" si="20"/>
        <v>-8.8605029863851048E-3</v>
      </c>
      <c r="W162">
        <f>F162-V162</f>
        <v>-0.26497997476106994</v>
      </c>
      <c r="Y162">
        <f>(1-H162)*U162</f>
        <v>-8.8653433218556649E-3</v>
      </c>
      <c r="Z162">
        <f>C162-Y162</f>
        <v>-0.49072843839148533</v>
      </c>
    </row>
    <row r="163" spans="1:26" x14ac:dyDescent="0.75">
      <c r="A163" s="1">
        <v>45440</v>
      </c>
      <c r="B163">
        <v>0.19005960622464901</v>
      </c>
      <c r="C163">
        <v>-0.65051153001569395</v>
      </c>
      <c r="D163">
        <v>1.1932614454744199</v>
      </c>
      <c r="E163" t="s">
        <v>19</v>
      </c>
      <c r="F163">
        <v>-0.46045192379104499</v>
      </c>
      <c r="G163">
        <v>3.2391666666666699</v>
      </c>
      <c r="H163">
        <v>3.496</v>
      </c>
      <c r="I163">
        <v>6.1120375119538099E-2</v>
      </c>
      <c r="J163">
        <v>37.720865074503799</v>
      </c>
      <c r="K163">
        <v>6.6688504446411301</v>
      </c>
      <c r="L163">
        <v>0.153071451036286</v>
      </c>
      <c r="M163">
        <v>3259.08274243713</v>
      </c>
      <c r="N163">
        <f t="shared" si="14"/>
        <v>576.18867841699364</v>
      </c>
      <c r="O163">
        <v>13225.3733695351</v>
      </c>
      <c r="P163">
        <f t="shared" si="15"/>
        <v>7758.3679534654248</v>
      </c>
      <c r="Q163">
        <f t="shared" si="16"/>
        <v>4.0318227770795891</v>
      </c>
      <c r="R163">
        <f t="shared" si="17"/>
        <v>31280.364627746258</v>
      </c>
      <c r="T163">
        <f t="shared" si="18"/>
        <v>-2.5691666666666699</v>
      </c>
      <c r="U163">
        <f t="shared" si="19"/>
        <v>2.8582043917830648E-3</v>
      </c>
      <c r="V163">
        <f t="shared" si="20"/>
        <v>-7.3432034498893337E-3</v>
      </c>
      <c r="W163">
        <f>F163-V163</f>
        <v>-0.45310872034115568</v>
      </c>
      <c r="Y163">
        <f>(1-H163)*U163</f>
        <v>-7.1340781618905299E-3</v>
      </c>
      <c r="Z163">
        <f>C163-Y163</f>
        <v>-0.64337745185380346</v>
      </c>
    </row>
    <row r="164" spans="1:26" x14ac:dyDescent="0.75">
      <c r="A164" s="1">
        <v>45441</v>
      </c>
      <c r="B164">
        <v>2.6629632263377799E-2</v>
      </c>
      <c r="C164">
        <v>-4.9153456578329903E-2</v>
      </c>
      <c r="D164">
        <v>0.67405914185173199</v>
      </c>
      <c r="E164" t="s">
        <v>19</v>
      </c>
      <c r="F164">
        <v>-2.25238243149521E-2</v>
      </c>
      <c r="G164">
        <v>2.7016666666666702</v>
      </c>
      <c r="H164">
        <v>3.0453333333333301</v>
      </c>
      <c r="I164">
        <v>5.4741290391671603E-2</v>
      </c>
      <c r="J164">
        <v>33.7410755354218</v>
      </c>
      <c r="K164">
        <v>6.1000949022095501</v>
      </c>
      <c r="L164">
        <v>0.14481612183015499</v>
      </c>
      <c r="M164">
        <v>2915.2289262604399</v>
      </c>
      <c r="N164">
        <f t="shared" si="14"/>
        <v>527.04819955090511</v>
      </c>
      <c r="O164">
        <v>12512.112926125399</v>
      </c>
      <c r="P164">
        <f t="shared" si="15"/>
        <v>12993.635876263093</v>
      </c>
      <c r="Q164">
        <f t="shared" si="16"/>
        <v>4.2562485232499689</v>
      </c>
      <c r="R164">
        <f t="shared" si="17"/>
        <v>55304.143509992609</v>
      </c>
      <c r="T164">
        <f t="shared" si="18"/>
        <v>-2.0316666666666703</v>
      </c>
      <c r="U164">
        <f t="shared" si="19"/>
        <v>2.4765856442445886E-3</v>
      </c>
      <c r="V164">
        <f t="shared" si="20"/>
        <v>-5.0315965005569311E-3</v>
      </c>
      <c r="W164">
        <f>F164-V164</f>
        <v>-1.7492227814395168E-2</v>
      </c>
      <c r="Y164">
        <f>(1-H164)*U164</f>
        <v>-5.0654431710282569E-3</v>
      </c>
      <c r="Z164">
        <f>C164-Y164</f>
        <v>-4.4088013407301646E-2</v>
      </c>
    </row>
    <row r="165" spans="1:26" x14ac:dyDescent="0.75">
      <c r="A165" s="1">
        <v>45442</v>
      </c>
      <c r="B165">
        <v>1.79533698889996E-2</v>
      </c>
      <c r="C165">
        <v>-0.63926435310232699</v>
      </c>
      <c r="D165">
        <v>1.97236436990491</v>
      </c>
      <c r="E165" t="s">
        <v>19</v>
      </c>
      <c r="F165">
        <v>-0.62131098321332801</v>
      </c>
      <c r="G165">
        <v>4.4933333333333296</v>
      </c>
      <c r="H165">
        <v>5.282</v>
      </c>
      <c r="I165">
        <v>3.8657298433478003E-2</v>
      </c>
      <c r="J165">
        <v>23.737148934319698</v>
      </c>
      <c r="K165">
        <v>5.5825912946540202</v>
      </c>
      <c r="L165">
        <v>0.120970024775329</v>
      </c>
      <c r="M165">
        <v>2050.8896679252198</v>
      </c>
      <c r="N165">
        <f t="shared" si="14"/>
        <v>482.33588785810736</v>
      </c>
      <c r="O165">
        <v>10451.810140588401</v>
      </c>
      <c r="P165">
        <f t="shared" si="15"/>
        <v>3709.3892031544892</v>
      </c>
      <c r="Q165">
        <f t="shared" si="16"/>
        <v>5.0759727860861856</v>
      </c>
      <c r="R165">
        <f t="shared" si="17"/>
        <v>18828.758648214109</v>
      </c>
      <c r="T165">
        <f t="shared" si="18"/>
        <v>-3.8233333333333297</v>
      </c>
      <c r="U165">
        <f t="shared" si="19"/>
        <v>1.9004667999018613E-3</v>
      </c>
      <c r="V165">
        <f t="shared" si="20"/>
        <v>-7.2661180649581094E-3</v>
      </c>
      <c r="W165">
        <f>F165-V165</f>
        <v>-0.61404486514836987</v>
      </c>
      <c r="Y165">
        <f>(1-H165)*U165</f>
        <v>-8.1377988371797699E-3</v>
      </c>
      <c r="Z165">
        <f>C165-Y165</f>
        <v>-0.63112655426514719</v>
      </c>
    </row>
    <row r="166" spans="1:26" x14ac:dyDescent="0.75">
      <c r="A166" s="1">
        <v>45443</v>
      </c>
      <c r="B166">
        <v>5.01016102250861E-2</v>
      </c>
      <c r="C166">
        <v>-0.14458886437148799</v>
      </c>
      <c r="D166">
        <v>1.9524324175368699</v>
      </c>
      <c r="E166" t="s">
        <v>19</v>
      </c>
      <c r="F166">
        <v>-9.4487254146401994E-2</v>
      </c>
      <c r="G166">
        <v>3.81958333333333</v>
      </c>
      <c r="H166">
        <v>4.1020000000000003</v>
      </c>
      <c r="I166">
        <v>1.5292537251741E-2</v>
      </c>
      <c r="J166">
        <v>9.3146584006291402</v>
      </c>
      <c r="K166">
        <v>5.1219290145061498</v>
      </c>
      <c r="L166">
        <v>7.1022696618779094E-2</v>
      </c>
      <c r="M166">
        <v>804.786485814358</v>
      </c>
      <c r="N166">
        <f t="shared" si="14"/>
        <v>442.53466685333137</v>
      </c>
      <c r="O166">
        <v>6136.3609878625102</v>
      </c>
      <c r="P166">
        <f t="shared" si="15"/>
        <v>2200.0519213478183</v>
      </c>
      <c r="Q166">
        <f t="shared" si="16"/>
        <v>8.576107726757753</v>
      </c>
      <c r="R166">
        <f t="shared" si="17"/>
        <v>18867.882281939266</v>
      </c>
      <c r="T166">
        <f t="shared" si="18"/>
        <v>-3.1495833333333301</v>
      </c>
      <c r="U166">
        <f t="shared" si="19"/>
        <v>1.0320175094643644E-3</v>
      </c>
      <c r="V166">
        <f t="shared" si="20"/>
        <v>-3.2504251475171343E-3</v>
      </c>
      <c r="W166">
        <f>F166-V166</f>
        <v>-9.1236828998884856E-2</v>
      </c>
      <c r="Y166">
        <f>(1-H166)*U166</f>
        <v>-3.2013183143584588E-3</v>
      </c>
      <c r="Z166">
        <f>C166-Y166</f>
        <v>-0.14138754605712953</v>
      </c>
    </row>
    <row r="167" spans="1:26" x14ac:dyDescent="0.75">
      <c r="A167" s="1">
        <v>45449</v>
      </c>
      <c r="B167">
        <v>7.4264243933874402E-2</v>
      </c>
      <c r="C167">
        <v>-0.88047526395725695</v>
      </c>
      <c r="D167">
        <v>3.12161490211348</v>
      </c>
      <c r="E167" t="s">
        <v>19</v>
      </c>
      <c r="F167">
        <v>-0.80621102002338296</v>
      </c>
      <c r="G167">
        <v>5.1683333333333303</v>
      </c>
      <c r="H167">
        <v>5.4279999999999999</v>
      </c>
      <c r="I167">
        <v>4.6309374177189999E-2</v>
      </c>
      <c r="J167">
        <v>28.508393592893199</v>
      </c>
      <c r="K167">
        <v>4.3804880307607599</v>
      </c>
      <c r="L167">
        <v>0.13076459988877201</v>
      </c>
      <c r="M167">
        <v>2463.1252064259702</v>
      </c>
      <c r="N167">
        <f t="shared" si="14"/>
        <v>378.4741658577297</v>
      </c>
      <c r="O167">
        <v>11298.0614303899</v>
      </c>
      <c r="P167">
        <f t="shared" si="15"/>
        <v>2533.5101379476396</v>
      </c>
      <c r="Q167">
        <f t="shared" si="16"/>
        <v>4.7077527402649757</v>
      </c>
      <c r="R167">
        <f t="shared" si="17"/>
        <v>11927.139294412096</v>
      </c>
      <c r="T167">
        <f t="shared" si="18"/>
        <v>-4.4983333333333304</v>
      </c>
      <c r="U167">
        <f t="shared" si="19"/>
        <v>1.6078761427747682E-3</v>
      </c>
      <c r="V167">
        <f t="shared" si="20"/>
        <v>-7.2327628489151606E-3</v>
      </c>
      <c r="W167">
        <f>F167-V167</f>
        <v>-0.7989782571744678</v>
      </c>
      <c r="Y167">
        <f>(1-H167)*U167</f>
        <v>-7.1196755602066734E-3</v>
      </c>
      <c r="Z167">
        <f>C167-Y167</f>
        <v>-0.8733555883970503</v>
      </c>
    </row>
    <row r="168" spans="1:26" x14ac:dyDescent="0.75">
      <c r="A168" s="1">
        <v>45450</v>
      </c>
      <c r="B168">
        <v>6.3307828026647597E-2</v>
      </c>
      <c r="C168">
        <v>-0.46374458595643803</v>
      </c>
      <c r="D168">
        <v>2.2343087802556001</v>
      </c>
      <c r="E168" t="s">
        <v>19</v>
      </c>
      <c r="F168">
        <v>-0.40043675792979</v>
      </c>
      <c r="G168">
        <v>3.125</v>
      </c>
      <c r="H168">
        <v>3.286</v>
      </c>
      <c r="I168">
        <v>3.2213404426808999E-2</v>
      </c>
      <c r="J168">
        <v>19.742480993011299</v>
      </c>
      <c r="K168">
        <v>4.1026844445780597</v>
      </c>
      <c r="L168">
        <v>0.109899688903453</v>
      </c>
      <c r="M168">
        <v>1705.75035779618</v>
      </c>
      <c r="N168">
        <f t="shared" si="14"/>
        <v>354.47193601154436</v>
      </c>
      <c r="O168">
        <v>9495.3331212583598</v>
      </c>
      <c r="P168">
        <f t="shared" si="15"/>
        <v>2974.8498701779617</v>
      </c>
      <c r="Q168">
        <f t="shared" si="16"/>
        <v>5.5765890352116321</v>
      </c>
      <c r="R168">
        <f t="shared" si="17"/>
        <v>16589.515167435169</v>
      </c>
      <c r="T168">
        <f t="shared" si="18"/>
        <v>-2.4550000000000001</v>
      </c>
      <c r="U168">
        <f t="shared" si="19"/>
        <v>1.2712858479380206E-3</v>
      </c>
      <c r="V168">
        <f t="shared" si="20"/>
        <v>-3.1210067566878408E-3</v>
      </c>
      <c r="W168">
        <f>F168-V168</f>
        <v>-0.39731575117310214</v>
      </c>
      <c r="Y168">
        <f>(1-H168)*U168</f>
        <v>-2.9061594483863152E-3</v>
      </c>
      <c r="Z168">
        <f>C168-Y168</f>
        <v>-0.46083842650805174</v>
      </c>
    </row>
    <row r="169" spans="1:26" x14ac:dyDescent="0.75">
      <c r="A169" s="1">
        <v>45473</v>
      </c>
      <c r="B169">
        <v>3.57598315276604E-2</v>
      </c>
      <c r="C169">
        <v>-0.58354522406552201</v>
      </c>
      <c r="D169">
        <v>3.3210956379476801</v>
      </c>
      <c r="E169" t="s">
        <v>19</v>
      </c>
      <c r="F169">
        <v>-0.54778539253786196</v>
      </c>
      <c r="G169">
        <v>4.9820833333333301</v>
      </c>
      <c r="H169">
        <v>5.0620000000000003</v>
      </c>
      <c r="I169">
        <v>3.8020044827968398E-2</v>
      </c>
      <c r="J169">
        <v>23.348572860316398</v>
      </c>
      <c r="K169">
        <v>3.2984159946999001</v>
      </c>
      <c r="L169">
        <v>0.119063861825305</v>
      </c>
      <c r="M169">
        <v>2017.3166951313401</v>
      </c>
      <c r="N169">
        <f t="shared" si="14"/>
        <v>284.98314194207137</v>
      </c>
      <c r="O169">
        <v>10287.117661706299</v>
      </c>
      <c r="P169">
        <f t="shared" si="15"/>
        <v>2168.2550423764255</v>
      </c>
      <c r="Q169">
        <f t="shared" si="16"/>
        <v>5.1578386345800791</v>
      </c>
      <c r="R169">
        <f t="shared" si="17"/>
        <v>11183.509627192194</v>
      </c>
      <c r="T169">
        <f t="shared" si="18"/>
        <v>-4.3120833333333302</v>
      </c>
      <c r="U169">
        <f t="shared" si="19"/>
        <v>1.1050486924171603E-3</v>
      </c>
      <c r="V169">
        <f t="shared" si="20"/>
        <v>-4.7650620490938267E-3</v>
      </c>
      <c r="W169">
        <f>F169-V169</f>
        <v>-0.54302033048876819</v>
      </c>
      <c r="Y169">
        <f>(1-H169)*U169</f>
        <v>-4.4887077885985048E-3</v>
      </c>
      <c r="Z169">
        <f>C169-Y169</f>
        <v>-0.57905651627692345</v>
      </c>
    </row>
    <row r="170" spans="1:26" x14ac:dyDescent="0.75">
      <c r="A170" s="1">
        <v>45474</v>
      </c>
      <c r="B170">
        <v>5.2317235134001203E-2</v>
      </c>
      <c r="C170">
        <v>-0.41519453539495998</v>
      </c>
      <c r="D170">
        <v>2.5663976707474099</v>
      </c>
      <c r="E170" t="s">
        <v>19</v>
      </c>
      <c r="F170">
        <v>-0.36287730026095899</v>
      </c>
      <c r="G170">
        <v>3.8704166666666699</v>
      </c>
      <c r="H170">
        <v>4.3026666666666697</v>
      </c>
      <c r="I170">
        <v>2.2757798394384798E-2</v>
      </c>
      <c r="J170">
        <v>13.8928834491704</v>
      </c>
      <c r="K170">
        <v>3.0296296208020301</v>
      </c>
      <c r="L170">
        <v>9.2143573572311399E-2</v>
      </c>
      <c r="M170">
        <v>1200.34513000832</v>
      </c>
      <c r="N170">
        <f t="shared" si="14"/>
        <v>261.7599992372954</v>
      </c>
      <c r="O170">
        <v>7961.2047566477004</v>
      </c>
      <c r="P170">
        <f t="shared" si="15"/>
        <v>2171.4652382888175</v>
      </c>
      <c r="Q170">
        <f t="shared" si="16"/>
        <v>6.6251710459664812</v>
      </c>
      <c r="R170">
        <f t="shared" si="17"/>
        <v>14386.32862403378</v>
      </c>
      <c r="T170">
        <f t="shared" si="18"/>
        <v>-3.20041666666667</v>
      </c>
      <c r="U170">
        <f t="shared" si="19"/>
        <v>7.9019846407334473E-4</v>
      </c>
      <c r="V170">
        <f t="shared" si="20"/>
        <v>-2.5289643343947362E-3</v>
      </c>
      <c r="W170">
        <f>F170-V170</f>
        <v>-0.36034833592656423</v>
      </c>
      <c r="Y170">
        <f>(1-H170)*U170</f>
        <v>-2.6097621273462358E-3</v>
      </c>
      <c r="Z170">
        <f>C170-Y170</f>
        <v>-0.41258477326761372</v>
      </c>
    </row>
    <row r="171" spans="1:26" x14ac:dyDescent="0.75">
      <c r="A171" s="1">
        <v>45475</v>
      </c>
      <c r="B171">
        <v>9.5944006632633999E-2</v>
      </c>
      <c r="C171">
        <v>-2.8289080295909002</v>
      </c>
      <c r="D171">
        <v>9.4089413907722399</v>
      </c>
      <c r="E171" t="s">
        <v>19</v>
      </c>
      <c r="F171">
        <v>-2.7329640229582699</v>
      </c>
      <c r="G171">
        <v>5.1224999999999996</v>
      </c>
      <c r="H171">
        <v>5.1726666666666699</v>
      </c>
      <c r="I171">
        <v>8.3595420069627793E-2</v>
      </c>
      <c r="J171">
        <v>51.779019234321702</v>
      </c>
      <c r="K171">
        <v>2.8085817005178999</v>
      </c>
      <c r="L171">
        <v>0.17913022703293699</v>
      </c>
      <c r="M171">
        <v>4473.7072618453903</v>
      </c>
      <c r="N171">
        <f t="shared" si="14"/>
        <v>242.66145892474657</v>
      </c>
      <c r="O171">
        <v>15476.851615645801</v>
      </c>
      <c r="P171">
        <f t="shared" si="15"/>
        <v>1151.4362435690414</v>
      </c>
      <c r="Q171">
        <f t="shared" si="16"/>
        <v>3.4578206156175901</v>
      </c>
      <c r="R171">
        <f t="shared" si="17"/>
        <v>3981.4599805823082</v>
      </c>
      <c r="T171">
        <f t="shared" si="18"/>
        <v>-4.4524999999999997</v>
      </c>
      <c r="U171">
        <f t="shared" si="19"/>
        <v>1.4035514614537379E-3</v>
      </c>
      <c r="V171">
        <f t="shared" si="20"/>
        <v>-6.249312882122768E-3</v>
      </c>
      <c r="W171">
        <f>F171-V171</f>
        <v>-2.7267147100761471</v>
      </c>
      <c r="Y171">
        <f>(1-H171)*U171</f>
        <v>-5.8565523981593016E-3</v>
      </c>
      <c r="Z171">
        <f>C171-Y171</f>
        <v>-2.8230514771927409</v>
      </c>
    </row>
    <row r="172" spans="1:26" x14ac:dyDescent="0.75">
      <c r="A172" s="1">
        <v>45477</v>
      </c>
      <c r="B172">
        <v>4.8295271719150698E-2</v>
      </c>
      <c r="C172">
        <v>-1.44924406110523</v>
      </c>
      <c r="D172">
        <v>1.2844565275199</v>
      </c>
      <c r="E172" t="s">
        <v>19</v>
      </c>
      <c r="F172">
        <v>-1.4009487893860699</v>
      </c>
      <c r="G172">
        <v>4.5545833333333299</v>
      </c>
      <c r="H172">
        <v>4.5659999999999998</v>
      </c>
      <c r="I172">
        <v>0.309094450613144</v>
      </c>
      <c r="J172">
        <v>194.26295034475399</v>
      </c>
      <c r="K172">
        <v>2.51027380673013</v>
      </c>
      <c r="L172">
        <v>0.349691553232584</v>
      </c>
      <c r="M172">
        <v>16784.3189097867</v>
      </c>
      <c r="N172">
        <f t="shared" si="14"/>
        <v>216.88765690148324</v>
      </c>
      <c r="O172">
        <v>30213.350199295201</v>
      </c>
      <c r="P172">
        <f t="shared" si="15"/>
        <v>16465.598240481497</v>
      </c>
      <c r="Q172">
        <f t="shared" si="16"/>
        <v>1.7972712625067429</v>
      </c>
      <c r="R172">
        <f t="shared" si="17"/>
        <v>29593.146537598983</v>
      </c>
      <c r="T172">
        <f t="shared" si="18"/>
        <v>-3.8845833333333299</v>
      </c>
      <c r="U172">
        <f t="shared" si="19"/>
        <v>2.4135216695000106E-3</v>
      </c>
      <c r="V172">
        <f t="shared" si="20"/>
        <v>-9.3755260519785746E-3</v>
      </c>
      <c r="W172">
        <f>F172-V172</f>
        <v>-1.3915732633340914</v>
      </c>
      <c r="Y172">
        <f>(1-H172)*U172</f>
        <v>-8.6066182734370368E-3</v>
      </c>
      <c r="Z172">
        <f>C172-Y172</f>
        <v>-1.440637442831793</v>
      </c>
    </row>
    <row r="173" spans="1:26" x14ac:dyDescent="0.75">
      <c r="A173" s="1">
        <v>45479</v>
      </c>
      <c r="B173">
        <v>0.103004867534157</v>
      </c>
      <c r="C173">
        <v>-15.4552220115224</v>
      </c>
      <c r="D173">
        <v>15.4557433005132</v>
      </c>
      <c r="E173" t="s">
        <v>19</v>
      </c>
      <c r="F173">
        <v>-15.3522171439883</v>
      </c>
      <c r="G173">
        <v>4.78125</v>
      </c>
      <c r="H173">
        <v>4.7679999999999998</v>
      </c>
      <c r="I173">
        <v>0.23758881517763</v>
      </c>
      <c r="J173">
        <v>148.85306678381099</v>
      </c>
      <c r="K173">
        <v>2.4754962957098599</v>
      </c>
      <c r="L173">
        <v>0.307091622593609</v>
      </c>
      <c r="M173">
        <v>12860.904970121301</v>
      </c>
      <c r="N173">
        <f t="shared" si="14"/>
        <v>213.88287994933191</v>
      </c>
      <c r="O173">
        <v>26532.716192087799</v>
      </c>
      <c r="P173">
        <f t="shared" si="15"/>
        <v>1201.682829051952</v>
      </c>
      <c r="Q173">
        <f t="shared" si="16"/>
        <v>2.0401581088904766</v>
      </c>
      <c r="R173">
        <f t="shared" si="17"/>
        <v>2451.6229680047882</v>
      </c>
      <c r="T173">
        <f t="shared" si="18"/>
        <v>-4.1112500000000001</v>
      </c>
      <c r="U173">
        <f t="shared" si="19"/>
        <v>2.0967284743009492E-3</v>
      </c>
      <c r="V173">
        <f t="shared" si="20"/>
        <v>-8.6201749399697769E-3</v>
      </c>
      <c r="W173">
        <f>F173-V173</f>
        <v>-15.343596969048329</v>
      </c>
      <c r="Y173">
        <f>(1-H173)*U173</f>
        <v>-7.9004728911659765E-3</v>
      </c>
      <c r="Z173">
        <f>C173-Y173</f>
        <v>-15.447321538631234</v>
      </c>
    </row>
    <row r="174" spans="1:26" x14ac:dyDescent="0.75">
      <c r="A174" s="1">
        <v>45482</v>
      </c>
      <c r="B174">
        <v>0.109321318399923</v>
      </c>
      <c r="C174">
        <v>-1.27900832354367</v>
      </c>
      <c r="D174">
        <v>0.43841549934240298</v>
      </c>
      <c r="E174" t="s">
        <v>19</v>
      </c>
      <c r="F174">
        <v>-1.16968700514374</v>
      </c>
      <c r="G174">
        <v>3.66333333333333</v>
      </c>
      <c r="H174">
        <v>3.6506666666666701</v>
      </c>
      <c r="I174">
        <v>0.60909344076263905</v>
      </c>
      <c r="J174">
        <v>385.66405644461997</v>
      </c>
      <c r="K174">
        <v>2.9293081243254</v>
      </c>
      <c r="L174">
        <v>0.49611569576331899</v>
      </c>
      <c r="M174">
        <v>33321.374476815203</v>
      </c>
      <c r="N174">
        <f t="shared" si="14"/>
        <v>253.09222194171457</v>
      </c>
      <c r="O174">
        <v>42864.396113950701</v>
      </c>
      <c r="P174">
        <f t="shared" si="15"/>
        <v>68439.818676053445</v>
      </c>
      <c r="Q174">
        <f t="shared" si="16"/>
        <v>1.276269160166253</v>
      </c>
      <c r="R174">
        <f t="shared" si="17"/>
        <v>87347.629903617373</v>
      </c>
      <c r="T174">
        <f t="shared" si="18"/>
        <v>-2.9933333333333301</v>
      </c>
      <c r="U174">
        <f t="shared" si="19"/>
        <v>3.9661261094602581E-3</v>
      </c>
      <c r="V174">
        <f t="shared" si="20"/>
        <v>-1.1871937487651026E-2</v>
      </c>
      <c r="W174">
        <f>F174-V174</f>
        <v>-1.157815067656089</v>
      </c>
      <c r="Y174">
        <f>(1-H174)*U174</f>
        <v>-1.051287827414267E-2</v>
      </c>
      <c r="Z174">
        <f>C174-Y174</f>
        <v>-1.2684954452695274</v>
      </c>
    </row>
    <row r="175" spans="1:26" x14ac:dyDescent="0.75">
      <c r="A175" s="1">
        <v>45483</v>
      </c>
      <c r="B175">
        <v>7.7945365862604907E-2</v>
      </c>
      <c r="C175">
        <v>-1.55600752340552</v>
      </c>
      <c r="D175">
        <v>1.07672151605038</v>
      </c>
      <c r="E175" t="s">
        <v>19</v>
      </c>
      <c r="F175">
        <v>-1.47806215754292</v>
      </c>
      <c r="G175">
        <v>4.4454166666666701</v>
      </c>
      <c r="H175">
        <v>4.4080000000000004</v>
      </c>
      <c r="I175">
        <v>0.41498784421811202</v>
      </c>
      <c r="J175">
        <v>261.63833000099902</v>
      </c>
      <c r="K175">
        <v>3.13284196819852</v>
      </c>
      <c r="L175">
        <v>0.40774372320701602</v>
      </c>
      <c r="M175">
        <v>22605.551712086301</v>
      </c>
      <c r="N175">
        <f t="shared" si="14"/>
        <v>270.67754605235217</v>
      </c>
      <c r="O175">
        <v>35229.057685086103</v>
      </c>
      <c r="P175">
        <f t="shared" si="15"/>
        <v>22903.174137375008</v>
      </c>
      <c r="Q175">
        <f t="shared" si="16"/>
        <v>1.5462464252338046</v>
      </c>
      <c r="R175">
        <f t="shared" si="17"/>
        <v>35413.951136423435</v>
      </c>
      <c r="T175">
        <f t="shared" si="18"/>
        <v>-3.7754166666666702</v>
      </c>
      <c r="U175">
        <f t="shared" si="19"/>
        <v>3.501091955784779E-3</v>
      </c>
      <c r="V175">
        <f t="shared" si="20"/>
        <v>-1.3218080921402463E-2</v>
      </c>
      <c r="W175">
        <f>F175-V175</f>
        <v>-1.4648440766215176</v>
      </c>
      <c r="Y175">
        <f>(1-H175)*U175</f>
        <v>-1.1931721385314528E-2</v>
      </c>
      <c r="Z175">
        <f>C175-Y175</f>
        <v>-1.5440758020202054</v>
      </c>
    </row>
    <row r="176" spans="1:26" x14ac:dyDescent="0.75">
      <c r="A176" s="1">
        <v>45485</v>
      </c>
      <c r="B176">
        <v>7.5249481555183198E-2</v>
      </c>
      <c r="C176">
        <v>-4.1340871013579603</v>
      </c>
      <c r="D176">
        <v>5.3303851496914003</v>
      </c>
      <c r="E176" t="s">
        <v>19</v>
      </c>
      <c r="F176">
        <v>-4.0588376198027802</v>
      </c>
      <c r="G176">
        <v>5.6912500000000001</v>
      </c>
      <c r="H176">
        <v>5.6413333333333302</v>
      </c>
      <c r="I176">
        <v>0.25715173309134498</v>
      </c>
      <c r="J176">
        <v>161.25569740850301</v>
      </c>
      <c r="K176">
        <v>3.4968345219875099</v>
      </c>
      <c r="L176">
        <v>0.31959823574705998</v>
      </c>
      <c r="M176">
        <v>13932.4922560947</v>
      </c>
      <c r="N176">
        <f t="shared" si="14"/>
        <v>302.12650269972085</v>
      </c>
      <c r="O176">
        <v>27613.287568545999</v>
      </c>
      <c r="P176">
        <f t="shared" si="15"/>
        <v>3626.2485271071373</v>
      </c>
      <c r="Q176">
        <f t="shared" si="16"/>
        <v>1.9621004572849996</v>
      </c>
      <c r="R176">
        <f t="shared" si="17"/>
        <v>7115.0638932659704</v>
      </c>
      <c r="T176">
        <f t="shared" si="18"/>
        <v>-5.0212500000000002</v>
      </c>
      <c r="U176">
        <f t="shared" si="19"/>
        <v>3.0796231821665215E-3</v>
      </c>
      <c r="V176">
        <f t="shared" si="20"/>
        <v>-1.5463557903453646E-2</v>
      </c>
      <c r="W176">
        <f>F176-V176</f>
        <v>-4.0433740618993266</v>
      </c>
      <c r="Y176">
        <f>(1-H176)*U176</f>
        <v>-1.4293557729495539E-2</v>
      </c>
      <c r="Z176">
        <f>C176-Y176</f>
        <v>-4.1197935436284645</v>
      </c>
    </row>
    <row r="177" spans="1:26" x14ac:dyDescent="0.75">
      <c r="A177" s="1">
        <v>45488</v>
      </c>
      <c r="B177">
        <v>9.2197595451840905E-2</v>
      </c>
      <c r="C177">
        <v>-12.3234598298286</v>
      </c>
      <c r="D177">
        <v>21.7474131434324</v>
      </c>
      <c r="E177" t="s">
        <v>19</v>
      </c>
      <c r="F177">
        <v>-12.2312622343768</v>
      </c>
      <c r="G177">
        <v>5.5337500000000004</v>
      </c>
      <c r="H177">
        <v>5.5253333333333297</v>
      </c>
      <c r="I177">
        <v>0.172984803393849</v>
      </c>
      <c r="J177">
        <v>107.994381585843</v>
      </c>
      <c r="K177">
        <v>4.1216611174030398</v>
      </c>
      <c r="L177">
        <v>0.26111595575345398</v>
      </c>
      <c r="M177">
        <v>9330.7145690168509</v>
      </c>
      <c r="N177">
        <f t="shared" si="14"/>
        <v>356.11152054362265</v>
      </c>
      <c r="O177">
        <v>22560.4185770984</v>
      </c>
      <c r="P177">
        <f t="shared" si="15"/>
        <v>726.16880452919827</v>
      </c>
      <c r="Q177">
        <f t="shared" si="16"/>
        <v>2.3908911195884555</v>
      </c>
      <c r="R177">
        <f t="shared" si="17"/>
        <v>1736.1905460710252</v>
      </c>
      <c r="T177">
        <f t="shared" si="18"/>
        <v>-4.8637500000000005</v>
      </c>
      <c r="U177">
        <f t="shared" si="19"/>
        <v>2.9789020305108684E-3</v>
      </c>
      <c r="V177">
        <f t="shared" si="20"/>
        <v>-1.4488634750897237E-2</v>
      </c>
      <c r="W177">
        <f>F177-V177</f>
        <v>-12.216773599625903</v>
      </c>
      <c r="Y177">
        <f>(1-H177)*U177</f>
        <v>-1.3480524655405172E-2</v>
      </c>
      <c r="Z177">
        <f>C177-Y177</f>
        <v>-12.309979305173195</v>
      </c>
    </row>
    <row r="178" spans="1:26" x14ac:dyDescent="0.75">
      <c r="A178" s="1">
        <v>45489</v>
      </c>
      <c r="B178">
        <v>6.8717255007500894E-2</v>
      </c>
      <c r="C178">
        <v>-10.649830790127</v>
      </c>
      <c r="D178">
        <v>19.2075008332952</v>
      </c>
      <c r="E178" t="s">
        <v>19</v>
      </c>
      <c r="F178">
        <v>-10.581113535119499</v>
      </c>
      <c r="G178">
        <v>5.4962499999999999</v>
      </c>
      <c r="H178">
        <v>5.4346666666666703</v>
      </c>
      <c r="I178">
        <v>0.16568980774325201</v>
      </c>
      <c r="J178">
        <v>103.392259188615</v>
      </c>
      <c r="K178">
        <v>4.4282255745022603</v>
      </c>
      <c r="L178">
        <v>0.255325417663749</v>
      </c>
      <c r="M178">
        <v>8933.09119389636</v>
      </c>
      <c r="N178">
        <f t="shared" si="14"/>
        <v>382.59868963699529</v>
      </c>
      <c r="O178">
        <v>22060.1160861479</v>
      </c>
      <c r="P178">
        <f t="shared" si="15"/>
        <v>803.96098348909015</v>
      </c>
      <c r="Q178">
        <f t="shared" si="16"/>
        <v>2.4439829962955981</v>
      </c>
      <c r="R178">
        <f t="shared" si="17"/>
        <v>1964.8669733324225</v>
      </c>
      <c r="T178">
        <f t="shared" si="18"/>
        <v>-4.8262499999999999</v>
      </c>
      <c r="U178">
        <f t="shared" si="19"/>
        <v>3.1309439567861891E-3</v>
      </c>
      <c r="V178">
        <f t="shared" si="20"/>
        <v>-1.5110718271439345E-2</v>
      </c>
      <c r="W178">
        <f>F178-V178</f>
        <v>-10.56600281684806</v>
      </c>
      <c r="Y178">
        <f>(1-H178)*U178</f>
        <v>-1.3884692800361165E-2</v>
      </c>
      <c r="Z178">
        <f>C178-Y178</f>
        <v>-10.635946097326638</v>
      </c>
    </row>
    <row r="179" spans="1:26" x14ac:dyDescent="0.75">
      <c r="A179" s="1">
        <v>45490</v>
      </c>
      <c r="B179">
        <v>0.18673788917737</v>
      </c>
      <c r="C179">
        <v>-17.2306903404831</v>
      </c>
      <c r="D179">
        <v>32.541711963881198</v>
      </c>
      <c r="E179" t="s">
        <v>19</v>
      </c>
      <c r="F179">
        <v>-17.043952451305699</v>
      </c>
      <c r="G179">
        <v>5.2954166666666698</v>
      </c>
      <c r="H179">
        <v>5.22</v>
      </c>
      <c r="I179">
        <v>0.147497820601702</v>
      </c>
      <c r="J179">
        <v>91.920832625293301</v>
      </c>
      <c r="K179">
        <v>4.7953193180073503</v>
      </c>
      <c r="L179">
        <v>0.24059121420856</v>
      </c>
      <c r="M179">
        <v>7941.95993882534</v>
      </c>
      <c r="N179">
        <f t="shared" si="14"/>
        <v>414.31558907583508</v>
      </c>
      <c r="O179">
        <v>20787.080907619598</v>
      </c>
      <c r="P179">
        <f t="shared" si="15"/>
        <v>447.14785293054535</v>
      </c>
      <c r="Q179">
        <f t="shared" si="16"/>
        <v>2.5902911534275606</v>
      </c>
      <c r="R179">
        <f t="shared" si="17"/>
        <v>1158.2431277201194</v>
      </c>
      <c r="T179">
        <f t="shared" si="18"/>
        <v>-4.6254166666666698</v>
      </c>
      <c r="U179">
        <f t="shared" si="19"/>
        <v>3.1989885656490678E-3</v>
      </c>
      <c r="V179">
        <f t="shared" si="20"/>
        <v>-1.4796655028029302E-2</v>
      </c>
      <c r="W179">
        <f>F179-V179</f>
        <v>-17.029155796277671</v>
      </c>
      <c r="Y179">
        <f>(1-H179)*U179</f>
        <v>-1.3499731747039065E-2</v>
      </c>
      <c r="Z179">
        <f>C179-Y179</f>
        <v>-17.217190608736061</v>
      </c>
    </row>
    <row r="180" spans="1:26" x14ac:dyDescent="0.75">
      <c r="A180" s="1">
        <v>45491</v>
      </c>
      <c r="B180">
        <v>0.33833732851204901</v>
      </c>
      <c r="C180">
        <v>-11.9763970082368</v>
      </c>
      <c r="D180">
        <v>22.7321913799016</v>
      </c>
      <c r="E180" t="s">
        <v>19</v>
      </c>
      <c r="F180">
        <v>-11.6380596797247</v>
      </c>
      <c r="G180">
        <v>5.1029166666666699</v>
      </c>
      <c r="H180">
        <v>4.9866666666666699</v>
      </c>
      <c r="I180">
        <v>0.133750349924942</v>
      </c>
      <c r="J180">
        <v>83.262130546693797</v>
      </c>
      <c r="K180">
        <v>5.2228694856045301</v>
      </c>
      <c r="L180">
        <v>0.22887327499090701</v>
      </c>
      <c r="M180">
        <v>7193.8480792343398</v>
      </c>
      <c r="N180">
        <f t="shared" si="14"/>
        <v>451.25592355623144</v>
      </c>
      <c r="O180">
        <v>19774.650959214399</v>
      </c>
      <c r="P180">
        <f t="shared" si="15"/>
        <v>608.9274650260312</v>
      </c>
      <c r="Q180">
        <f t="shared" si="16"/>
        <v>2.719928631120148</v>
      </c>
      <c r="R180">
        <f t="shared" si="17"/>
        <v>1656.2392463997148</v>
      </c>
      <c r="T180">
        <f t="shared" si="18"/>
        <v>-4.4329166666666699</v>
      </c>
      <c r="U180">
        <f t="shared" si="19"/>
        <v>3.3181453247939875E-3</v>
      </c>
      <c r="V180">
        <f t="shared" si="20"/>
        <v>-1.4709061712701359E-2</v>
      </c>
      <c r="W180">
        <f>F180-V180</f>
        <v>-11.623350618011999</v>
      </c>
      <c r="Y180">
        <f>(1-H180)*U180</f>
        <v>-1.3228339361512041E-2</v>
      </c>
      <c r="Z180">
        <f>C180-Y180</f>
        <v>-11.963168668875287</v>
      </c>
    </row>
    <row r="181" spans="1:26" x14ac:dyDescent="0.75">
      <c r="A181" s="1">
        <v>45492</v>
      </c>
      <c r="B181">
        <v>0.11434964948915199</v>
      </c>
      <c r="C181">
        <v>-1.3233052787595601</v>
      </c>
      <c r="D181">
        <v>2.1474405459332</v>
      </c>
      <c r="E181" t="s">
        <v>19</v>
      </c>
      <c r="F181">
        <v>-1.2089556292704</v>
      </c>
      <c r="G181">
        <v>4.9712500000000004</v>
      </c>
      <c r="H181">
        <v>4.8620000000000001</v>
      </c>
      <c r="I181">
        <v>0.13501266305562901</v>
      </c>
      <c r="J181">
        <v>84.061490807061602</v>
      </c>
      <c r="K181">
        <v>5.7047311450051899</v>
      </c>
      <c r="L181">
        <v>0.229696482438254</v>
      </c>
      <c r="M181">
        <v>7262.9128057301205</v>
      </c>
      <c r="N181">
        <f t="shared" si="14"/>
        <v>492.88877092844842</v>
      </c>
      <c r="O181">
        <v>19845.776082665099</v>
      </c>
      <c r="P181">
        <f t="shared" si="15"/>
        <v>6469.1165881980633</v>
      </c>
      <c r="Q181">
        <f t="shared" si="16"/>
        <v>2.7106175119668308</v>
      </c>
      <c r="R181">
        <f t="shared" si="17"/>
        <v>17535.300710924788</v>
      </c>
      <c r="T181">
        <f t="shared" si="18"/>
        <v>-4.3012500000000005</v>
      </c>
      <c r="U181">
        <f t="shared" si="19"/>
        <v>3.6367268251787182E-3</v>
      </c>
      <c r="V181">
        <f t="shared" si="20"/>
        <v>-1.5642471256799965E-2</v>
      </c>
      <c r="W181">
        <f>F181-V181</f>
        <v>-1.1933131580136001</v>
      </c>
      <c r="Y181">
        <f>(1-H181)*U181</f>
        <v>-1.4045038998840209E-2</v>
      </c>
      <c r="Z181">
        <f>C181-Y181</f>
        <v>-1.3092602397607198</v>
      </c>
    </row>
    <row r="182" spans="1:26" x14ac:dyDescent="0.75">
      <c r="A182" s="1">
        <v>45495</v>
      </c>
      <c r="B182">
        <v>9.99083661445066E-2</v>
      </c>
      <c r="C182">
        <v>-9.5232679917552598</v>
      </c>
      <c r="D182">
        <v>13.4897197534321</v>
      </c>
      <c r="E182" t="s">
        <v>19</v>
      </c>
      <c r="F182">
        <v>-9.4233596256107592</v>
      </c>
      <c r="G182">
        <v>5.6524999999999999</v>
      </c>
      <c r="H182">
        <v>5.6486666666666698</v>
      </c>
      <c r="I182">
        <v>0.22377969665030301</v>
      </c>
      <c r="J182">
        <v>140.107927262944</v>
      </c>
      <c r="K182">
        <v>7.45669832061402</v>
      </c>
      <c r="L182">
        <v>0.29782767344303601</v>
      </c>
      <c r="M182">
        <v>12105.3249155183</v>
      </c>
      <c r="N182">
        <f t="shared" si="14"/>
        <v>644.25873490105141</v>
      </c>
      <c r="O182">
        <v>25732.3109854783</v>
      </c>
      <c r="P182">
        <f t="shared" si="15"/>
        <v>1335.2847960575295</v>
      </c>
      <c r="Q182">
        <f t="shared" si="16"/>
        <v>2.1022142638918067</v>
      </c>
      <c r="R182">
        <f t="shared" si="17"/>
        <v>2807.0547446300006</v>
      </c>
      <c r="T182">
        <f t="shared" si="18"/>
        <v>-4.9824999999999999</v>
      </c>
      <c r="U182">
        <f t="shared" si="19"/>
        <v>6.1293346350751341E-3</v>
      </c>
      <c r="V182">
        <f t="shared" si="20"/>
        <v>-3.0539409819261856E-2</v>
      </c>
      <c r="W182">
        <f>F182-V182</f>
        <v>-9.3928202157914971</v>
      </c>
      <c r="Y182">
        <f>(1-H182)*U182</f>
        <v>-2.8493233606919292E-2</v>
      </c>
      <c r="Z182">
        <f>C182-Y182</f>
        <v>-9.4947747581483402</v>
      </c>
    </row>
    <row r="183" spans="1:26" x14ac:dyDescent="0.75">
      <c r="A183" s="1">
        <v>45496</v>
      </c>
      <c r="B183">
        <v>0.20902900628710699</v>
      </c>
      <c r="C183">
        <v>-15.2866440570218</v>
      </c>
      <c r="D183">
        <v>22.357099733847701</v>
      </c>
      <c r="E183" t="s">
        <v>19</v>
      </c>
      <c r="F183">
        <v>-15.0776150507347</v>
      </c>
      <c r="G183">
        <v>5.7420833333333299</v>
      </c>
      <c r="H183">
        <v>5.6879999999999997</v>
      </c>
      <c r="I183">
        <v>0.220421356600289</v>
      </c>
      <c r="J183">
        <v>137.98321627413199</v>
      </c>
      <c r="K183">
        <v>8.1378566848909308</v>
      </c>
      <c r="L183">
        <v>0.29547646665806598</v>
      </c>
      <c r="M183">
        <v>11921.749886084999</v>
      </c>
      <c r="N183">
        <f t="shared" si="14"/>
        <v>703.11081757457646</v>
      </c>
      <c r="O183">
        <v>25529.1667192569</v>
      </c>
      <c r="P183">
        <f t="shared" si="15"/>
        <v>799.31730484812294</v>
      </c>
      <c r="Q183">
        <f t="shared" si="16"/>
        <v>2.1186035505333596</v>
      </c>
      <c r="R183">
        <f t="shared" si="17"/>
        <v>1693.436480053989</v>
      </c>
      <c r="T183">
        <f t="shared" si="18"/>
        <v>-5.0720833333333299</v>
      </c>
      <c r="U183">
        <f t="shared" si="19"/>
        <v>6.63749305430521E-3</v>
      </c>
      <c r="V183">
        <f t="shared" si="20"/>
        <v>-3.3665917895857198E-2</v>
      </c>
      <c r="W183">
        <f>F183-V183</f>
        <v>-15.043949132838842</v>
      </c>
      <c r="Y183">
        <f>(1-H183)*U183</f>
        <v>-3.1116567438582824E-2</v>
      </c>
      <c r="Z183">
        <f>C183-Y183</f>
        <v>-15.255527489583217</v>
      </c>
    </row>
    <row r="184" spans="1:26" x14ac:dyDescent="0.75">
      <c r="A184" s="1">
        <v>45497</v>
      </c>
      <c r="B184">
        <v>6.2170927616499103E-2</v>
      </c>
      <c r="C184">
        <v>-2.1021704982339098</v>
      </c>
      <c r="D184">
        <v>1.84684988874417</v>
      </c>
      <c r="E184" t="s">
        <v>19</v>
      </c>
      <c r="F184">
        <v>-2.0399995706174101</v>
      </c>
      <c r="G184">
        <v>5.3370833333333296</v>
      </c>
      <c r="H184">
        <v>5.3079999999999998</v>
      </c>
      <c r="I184">
        <v>0.26695080571979302</v>
      </c>
      <c r="J184">
        <v>167.47321182150901</v>
      </c>
      <c r="K184">
        <v>8.9725976239502696</v>
      </c>
      <c r="L184">
        <v>0.325642244245196</v>
      </c>
      <c r="M184">
        <v>14469.685501378401</v>
      </c>
      <c r="N184">
        <f t="shared" si="14"/>
        <v>775.23243470930333</v>
      </c>
      <c r="O184">
        <v>28135.489902784899</v>
      </c>
      <c r="P184">
        <f t="shared" si="15"/>
        <v>10664.01934016501</v>
      </c>
      <c r="Q184">
        <f t="shared" si="16"/>
        <v>1.9265193446326403</v>
      </c>
      <c r="R184">
        <f t="shared" si="17"/>
        <v>20544.439550364496</v>
      </c>
      <c r="T184">
        <f t="shared" si="18"/>
        <v>-4.6670833333333297</v>
      </c>
      <c r="U184">
        <f t="shared" si="19"/>
        <v>8.0480109049424486E-3</v>
      </c>
      <c r="V184">
        <f t="shared" si="20"/>
        <v>-3.756073756094179E-2</v>
      </c>
      <c r="W184">
        <f>F184-V184</f>
        <v>-2.0024388330564684</v>
      </c>
      <c r="Y184">
        <f>(1-H184)*U184</f>
        <v>-3.4670830978492065E-2</v>
      </c>
      <c r="Z184">
        <f>C184-Y184</f>
        <v>-2.0674996672554178</v>
      </c>
    </row>
    <row r="185" spans="1:26" x14ac:dyDescent="0.75">
      <c r="A185" s="1">
        <v>45498</v>
      </c>
      <c r="B185">
        <v>1.1877171976491001</v>
      </c>
      <c r="C185">
        <v>-2.7652131341967001</v>
      </c>
      <c r="D185">
        <v>0.64451287044825201</v>
      </c>
      <c r="E185" t="s">
        <v>19</v>
      </c>
      <c r="F185">
        <v>-1.57749593654761</v>
      </c>
      <c r="G185">
        <v>5.26291666666667</v>
      </c>
      <c r="H185">
        <v>5.1453333333333298</v>
      </c>
      <c r="I185">
        <v>0.33301675224562499</v>
      </c>
      <c r="J185">
        <v>209.505818651357</v>
      </c>
      <c r="K185">
        <v>9.9469711371448195</v>
      </c>
      <c r="L185">
        <v>0.36198410999790698</v>
      </c>
      <c r="M185">
        <v>18101.302731477299</v>
      </c>
      <c r="N185">
        <f t="shared" si="14"/>
        <v>859.41830624931242</v>
      </c>
      <c r="O185">
        <v>31275.4271038191</v>
      </c>
      <c r="P185">
        <f t="shared" si="15"/>
        <v>33967.977951234941</v>
      </c>
      <c r="Q185">
        <f t="shared" si="16"/>
        <v>1.7379629002131209</v>
      </c>
      <c r="R185">
        <f t="shared" si="17"/>
        <v>59035.085474503627</v>
      </c>
      <c r="T185">
        <f t="shared" si="18"/>
        <v>-4.5929166666666701</v>
      </c>
      <c r="U185">
        <f t="shared" si="19"/>
        <v>9.8899499654903425E-3</v>
      </c>
      <c r="V185">
        <f t="shared" si="20"/>
        <v>-4.5423716029000055E-2</v>
      </c>
      <c r="W185">
        <f>F185-V185</f>
        <v>-1.5320722205186099</v>
      </c>
      <c r="Y185">
        <f>(1-H185)*U185</f>
        <v>-4.0997139256945932E-2</v>
      </c>
      <c r="Z185">
        <f>C185-Y185</f>
        <v>-2.7242159949397542</v>
      </c>
    </row>
    <row r="186" spans="1:26" x14ac:dyDescent="0.75">
      <c r="A186" s="1">
        <v>45499</v>
      </c>
      <c r="B186">
        <v>4.5779533931933596</v>
      </c>
      <c r="C186">
        <v>-52.686683825798397</v>
      </c>
      <c r="D186">
        <v>17.666545493491899</v>
      </c>
      <c r="E186" t="s">
        <v>19</v>
      </c>
      <c r="F186">
        <v>-48.1087304326051</v>
      </c>
      <c r="G186">
        <v>4.3033333333333301</v>
      </c>
      <c r="H186">
        <v>4.4193333333333298</v>
      </c>
      <c r="I186">
        <v>0.55431198650276103</v>
      </c>
      <c r="J186">
        <v>350.64076889115398</v>
      </c>
      <c r="K186">
        <v>10.965307459210001</v>
      </c>
      <c r="L186">
        <v>0.47185415019138499</v>
      </c>
      <c r="M186">
        <v>30295.3624321957</v>
      </c>
      <c r="N186">
        <f t="shared" si="14"/>
        <v>947.40256447574416</v>
      </c>
      <c r="O186">
        <v>40768.198576535702</v>
      </c>
      <c r="P186">
        <f t="shared" si="15"/>
        <v>1615.354796674193</v>
      </c>
      <c r="Q186">
        <f t="shared" si="16"/>
        <v>1.3406035367756055</v>
      </c>
      <c r="R186">
        <f t="shared" si="17"/>
        <v>2165.5503535688622</v>
      </c>
      <c r="T186">
        <f t="shared" si="18"/>
        <v>-3.6333333333333302</v>
      </c>
      <c r="U186">
        <f t="shared" si="19"/>
        <v>1.4133970834575287E-2</v>
      </c>
      <c r="V186">
        <f t="shared" si="20"/>
        <v>-5.1353427365623497E-2</v>
      </c>
      <c r="W186">
        <f>F186-V186</f>
        <v>-48.057377005239474</v>
      </c>
      <c r="Y186">
        <f>(1-H186)*U186</f>
        <v>-4.8328757607024382E-2</v>
      </c>
      <c r="Z186">
        <f>C186-Y186</f>
        <v>-52.638355068191373</v>
      </c>
    </row>
    <row r="187" spans="1:26" x14ac:dyDescent="0.75">
      <c r="A187" s="1">
        <v>45500</v>
      </c>
      <c r="B187">
        <v>0.116064538733</v>
      </c>
      <c r="C187">
        <v>-5.0648480472640101</v>
      </c>
      <c r="D187">
        <v>1.72569244770884</v>
      </c>
      <c r="E187" t="s">
        <v>19</v>
      </c>
      <c r="F187">
        <v>-4.9487835085310099</v>
      </c>
      <c r="G187">
        <v>4.2037500000000003</v>
      </c>
      <c r="H187">
        <v>4.1766666666666703</v>
      </c>
      <c r="I187">
        <v>0.60997705995411999</v>
      </c>
      <c r="J187">
        <v>386.211181495321</v>
      </c>
      <c r="K187">
        <v>12.0204090778363</v>
      </c>
      <c r="L187">
        <v>0.49701076407682299</v>
      </c>
      <c r="M187">
        <v>33368.646081195802</v>
      </c>
      <c r="N187">
        <f t="shared" si="14"/>
        <v>1038.5633443250563</v>
      </c>
      <c r="O187">
        <v>42941.730016237503</v>
      </c>
      <c r="P187">
        <f t="shared" si="15"/>
        <v>17418.637400467931</v>
      </c>
      <c r="Q187">
        <f t="shared" si="16"/>
        <v>1.2739299449446679</v>
      </c>
      <c r="R187">
        <f t="shared" si="17"/>
        <v>22190.123784589246</v>
      </c>
      <c r="T187">
        <f t="shared" si="18"/>
        <v>-3.5337500000000004</v>
      </c>
      <c r="U187">
        <f t="shared" si="19"/>
        <v>1.6304873724750469E-2</v>
      </c>
      <c r="V187">
        <f t="shared" si="20"/>
        <v>-5.7617347524836979E-2</v>
      </c>
      <c r="W187">
        <f>F187-V187</f>
        <v>-4.891166161006173</v>
      </c>
      <c r="Y187">
        <f>(1-H187)*U187</f>
        <v>-5.1795148865624051E-2</v>
      </c>
      <c r="Z187">
        <f>C187-Y187</f>
        <v>-5.013052898398386</v>
      </c>
    </row>
    <row r="188" spans="1:26" x14ac:dyDescent="0.75">
      <c r="A188" s="1">
        <v>45501</v>
      </c>
      <c r="B188">
        <v>0.20961109265167499</v>
      </c>
      <c r="C188">
        <v>-9.8726430688962505</v>
      </c>
      <c r="D188">
        <v>3.73674788408373</v>
      </c>
      <c r="E188" t="s">
        <v>19</v>
      </c>
      <c r="F188">
        <v>-9.6630319762445698</v>
      </c>
      <c r="G188">
        <v>4.2704166666666703</v>
      </c>
      <c r="H188">
        <v>4.234</v>
      </c>
      <c r="I188">
        <v>0.54501783912658697</v>
      </c>
      <c r="J188">
        <v>344.64395558193701</v>
      </c>
      <c r="K188">
        <v>13.105517589258</v>
      </c>
      <c r="L188">
        <v>0.46934656525295099</v>
      </c>
      <c r="M188">
        <v>29777.237762279401</v>
      </c>
      <c r="N188">
        <f t="shared" si="14"/>
        <v>1132.3167197118912</v>
      </c>
      <c r="O188">
        <v>40551.543237855003</v>
      </c>
      <c r="P188">
        <f t="shared" si="15"/>
        <v>7596.4665391009958</v>
      </c>
      <c r="Q188">
        <f t="shared" si="16"/>
        <v>1.3473061887061368</v>
      </c>
      <c r="R188">
        <f t="shared" si="17"/>
        <v>10234.766380429861</v>
      </c>
      <c r="T188">
        <f t="shared" si="18"/>
        <v>-3.6004166666666704</v>
      </c>
      <c r="U188">
        <f t="shared" si="19"/>
        <v>1.6808602665134242E-2</v>
      </c>
      <c r="V188">
        <f t="shared" si="20"/>
        <v>-6.051797317892714E-2</v>
      </c>
      <c r="W188">
        <f>F188-V188</f>
        <v>-9.6025140030656431</v>
      </c>
      <c r="Y188">
        <f>(1-H188)*U188</f>
        <v>-5.4359021019044135E-2</v>
      </c>
      <c r="Z188">
        <f>C188-Y188</f>
        <v>-9.8182840478772064</v>
      </c>
    </row>
    <row r="189" spans="1:26" x14ac:dyDescent="0.75">
      <c r="A189" s="1">
        <v>45502</v>
      </c>
      <c r="B189">
        <v>7.3582191603428104E-2</v>
      </c>
      <c r="C189">
        <v>-3.6081836521549202</v>
      </c>
      <c r="D189">
        <v>1.66261452825812</v>
      </c>
      <c r="E189" t="s">
        <v>19</v>
      </c>
      <c r="F189">
        <v>-3.5346014605514902</v>
      </c>
      <c r="G189">
        <v>4.29958333333333</v>
      </c>
      <c r="H189">
        <v>4.2553333333333301</v>
      </c>
      <c r="I189">
        <v>0.47694777291652501</v>
      </c>
      <c r="J189">
        <v>301.15616574912201</v>
      </c>
      <c r="K189">
        <v>14.214109340155</v>
      </c>
      <c r="L189">
        <v>0.43823682832045702</v>
      </c>
      <c r="M189">
        <v>26019.892720724201</v>
      </c>
      <c r="N189">
        <f t="shared" si="14"/>
        <v>1228.099046989392</v>
      </c>
      <c r="O189">
        <v>37863.661966887499</v>
      </c>
      <c r="P189">
        <f t="shared" si="15"/>
        <v>15941.496315799322</v>
      </c>
      <c r="Q189">
        <f t="shared" si="16"/>
        <v>1.4408277429669625</v>
      </c>
      <c r="R189">
        <f t="shared" si="17"/>
        <v>22968.950156209285</v>
      </c>
      <c r="T189">
        <f t="shared" si="18"/>
        <v>-3.6295833333333301</v>
      </c>
      <c r="U189">
        <f t="shared" si="19"/>
        <v>1.7047132150030397E-2</v>
      </c>
      <c r="V189">
        <f t="shared" si="20"/>
        <v>-6.1873986732881109E-2</v>
      </c>
      <c r="W189">
        <f>F189-V189</f>
        <v>-3.4727274738186091</v>
      </c>
      <c r="Y189">
        <f>(1-H189)*U189</f>
        <v>-5.5494097525732235E-2</v>
      </c>
      <c r="Z189">
        <f>C189-Y189</f>
        <v>-3.5526895546291879</v>
      </c>
    </row>
    <row r="190" spans="1:26" x14ac:dyDescent="0.75">
      <c r="A190" s="1">
        <v>45503</v>
      </c>
      <c r="B190">
        <v>6.1726868736549E-2</v>
      </c>
      <c r="C190">
        <v>-3.3662558995078098</v>
      </c>
      <c r="D190">
        <v>2.0183226718614402</v>
      </c>
      <c r="E190" t="s">
        <v>19</v>
      </c>
      <c r="F190">
        <v>-3.3045290307712598</v>
      </c>
      <c r="G190">
        <v>4.5445833333333301</v>
      </c>
      <c r="H190">
        <v>4.5060000000000002</v>
      </c>
      <c r="I190">
        <v>0.39536034284189803</v>
      </c>
      <c r="J190">
        <v>249.11556907107499</v>
      </c>
      <c r="K190">
        <v>15.3398237920936</v>
      </c>
      <c r="L190">
        <v>0.39824216022450798</v>
      </c>
      <c r="M190">
        <v>21523.585167740901</v>
      </c>
      <c r="N190">
        <f t="shared" si="14"/>
        <v>1325.3607756368872</v>
      </c>
      <c r="O190">
        <v>34408.122643397503</v>
      </c>
      <c r="P190">
        <f t="shared" si="15"/>
        <v>11933.515976493849</v>
      </c>
      <c r="Q190">
        <f t="shared" si="16"/>
        <v>1.5821969060802785</v>
      </c>
      <c r="R190">
        <f t="shared" si="17"/>
        <v>18881.17205666814</v>
      </c>
      <c r="T190">
        <f t="shared" si="18"/>
        <v>-3.8745833333333302</v>
      </c>
      <c r="U190">
        <f t="shared" si="19"/>
        <v>1.6753423932806506E-2</v>
      </c>
      <c r="V190">
        <f t="shared" si="20"/>
        <v>-6.4912537146319824E-2</v>
      </c>
      <c r="W190">
        <f>F190-V190</f>
        <v>-3.2396164936249399</v>
      </c>
      <c r="Y190">
        <f>(1-H190)*U190</f>
        <v>-5.8737504308419612E-2</v>
      </c>
      <c r="Z190">
        <f>C190-Y190</f>
        <v>-3.3075183951993901</v>
      </c>
    </row>
    <row r="191" spans="1:26" x14ac:dyDescent="0.75">
      <c r="A191" s="1">
        <v>45504</v>
      </c>
      <c r="B191">
        <v>3.82236889540995E-2</v>
      </c>
      <c r="C191">
        <v>-2.35007374587784</v>
      </c>
      <c r="D191">
        <v>1.7918040718009201</v>
      </c>
      <c r="E191" t="s">
        <v>19</v>
      </c>
      <c r="F191">
        <v>-2.3118500569237401</v>
      </c>
      <c r="G191">
        <v>4.7958333333333298</v>
      </c>
      <c r="H191">
        <v>4.79266666666667</v>
      </c>
      <c r="I191">
        <v>0.33744365503882601</v>
      </c>
      <c r="J191">
        <v>212.246430308497</v>
      </c>
      <c r="K191">
        <v>16.476642358335098</v>
      </c>
      <c r="L191">
        <v>0.36728589528178801</v>
      </c>
      <c r="M191">
        <v>18338.091578654199</v>
      </c>
      <c r="N191">
        <f t="shared" si="14"/>
        <v>1423.5818997601525</v>
      </c>
      <c r="O191">
        <v>31733.5013523464</v>
      </c>
      <c r="P191">
        <f t="shared" si="15"/>
        <v>12397.254418735645</v>
      </c>
      <c r="Q191">
        <f t="shared" si="16"/>
        <v>1.7125169456090068</v>
      </c>
      <c r="R191">
        <f t="shared" si="17"/>
        <v>21230.508271110932</v>
      </c>
      <c r="T191">
        <f t="shared" si="18"/>
        <v>-4.1258333333333299</v>
      </c>
      <c r="U191">
        <f t="shared" si="19"/>
        <v>1.6625609497299278E-2</v>
      </c>
      <c r="V191">
        <f t="shared" si="20"/>
        <v>-6.8594493850940547E-2</v>
      </c>
      <c r="W191">
        <f>F191-V191</f>
        <v>-2.2432555630727995</v>
      </c>
      <c r="Y191">
        <f>(1-H191)*U191</f>
        <v>-6.3055394953423785E-2</v>
      </c>
      <c r="Z191">
        <f>C191-Y191</f>
        <v>-2.2870183509244164</v>
      </c>
    </row>
    <row r="192" spans="1:26" x14ac:dyDescent="0.75">
      <c r="A192" s="1">
        <v>45506</v>
      </c>
      <c r="B192">
        <v>0.15994711398660599</v>
      </c>
      <c r="C192">
        <v>-2.4245922902084001</v>
      </c>
      <c r="D192">
        <v>0.18718573650987599</v>
      </c>
      <c r="E192" t="s">
        <v>19</v>
      </c>
      <c r="F192">
        <v>-2.2646451762217898</v>
      </c>
      <c r="G192">
        <v>7.0304166666666701</v>
      </c>
      <c r="H192">
        <v>6.66733333333333</v>
      </c>
      <c r="I192">
        <v>0.35442617006446098</v>
      </c>
      <c r="J192">
        <v>223.22574316833499</v>
      </c>
      <c r="K192">
        <v>18.760541898389</v>
      </c>
      <c r="L192">
        <v>0.37053987737410399</v>
      </c>
      <c r="M192">
        <v>19286.704209744199</v>
      </c>
      <c r="N192">
        <f t="shared" si="14"/>
        <v>1620.9108200208098</v>
      </c>
      <c r="O192">
        <v>32014.645405122599</v>
      </c>
      <c r="P192">
        <f t="shared" si="15"/>
        <v>119722.00554075575</v>
      </c>
      <c r="Q192">
        <f t="shared" si="16"/>
        <v>1.6997440996759956</v>
      </c>
      <c r="R192">
        <f t="shared" si="17"/>
        <v>203496.77251927645</v>
      </c>
      <c r="T192">
        <f t="shared" si="18"/>
        <v>-6.3604166666666702</v>
      </c>
      <c r="U192">
        <f t="shared" si="19"/>
        <v>1.9072410021364831E-2</v>
      </c>
      <c r="V192">
        <f t="shared" si="20"/>
        <v>-0.12130847457338929</v>
      </c>
      <c r="W192">
        <f>F192-V192</f>
        <v>-2.1433367016484004</v>
      </c>
      <c r="Y192">
        <f>(1-H192)*U192</f>
        <v>-0.10808970506108156</v>
      </c>
      <c r="Z192">
        <f>C192-Y192</f>
        <v>-2.3165025851473184</v>
      </c>
    </row>
    <row r="193" spans="1:26" x14ac:dyDescent="0.75">
      <c r="A193" s="1">
        <v>45507</v>
      </c>
      <c r="B193">
        <v>0.33758090228332699</v>
      </c>
      <c r="C193">
        <v>-4.0935732154194904</v>
      </c>
      <c r="D193">
        <v>1.1773042097302799</v>
      </c>
      <c r="E193" t="s">
        <v>19</v>
      </c>
      <c r="F193">
        <v>-3.7559923131361601</v>
      </c>
      <c r="G193">
        <v>3.6812499999999999</v>
      </c>
      <c r="H193">
        <v>3.6720000000000002</v>
      </c>
      <c r="I193">
        <v>0.608556223779114</v>
      </c>
      <c r="J193">
        <v>385.31883347727</v>
      </c>
      <c r="K193">
        <v>19.895343489562201</v>
      </c>
      <c r="L193">
        <v>0.49593490239398402</v>
      </c>
      <c r="M193">
        <v>33291.547212436199</v>
      </c>
      <c r="N193">
        <f t="shared" si="14"/>
        <v>1718.9576774981742</v>
      </c>
      <c r="O193">
        <v>42848.775566840297</v>
      </c>
      <c r="P193">
        <f t="shared" si="15"/>
        <v>25476.969035607079</v>
      </c>
      <c r="Q193">
        <f t="shared" si="16"/>
        <v>1.2767176277437464</v>
      </c>
      <c r="R193">
        <f t="shared" si="17"/>
        <v>32526.895469241153</v>
      </c>
      <c r="T193">
        <f t="shared" si="18"/>
        <v>-3.01125</v>
      </c>
      <c r="U193">
        <f t="shared" si="19"/>
        <v>2.6927766017235427E-2</v>
      </c>
      <c r="V193">
        <f t="shared" si="20"/>
        <v>-8.1086235419400174E-2</v>
      </c>
      <c r="W193">
        <f>F193-V193</f>
        <v>-3.6749060777167601</v>
      </c>
      <c r="Y193">
        <f>(1-H193)*U193</f>
        <v>-7.1950990798053061E-2</v>
      </c>
      <c r="Z193">
        <f>C193-Y193</f>
        <v>-4.0216222246214377</v>
      </c>
    </row>
    <row r="194" spans="1:26" x14ac:dyDescent="0.75">
      <c r="A194" s="1">
        <v>45508</v>
      </c>
      <c r="B194">
        <v>0.439727341134167</v>
      </c>
      <c r="C194">
        <v>-6.4791176434268696</v>
      </c>
      <c r="D194">
        <v>2.2063134725982199</v>
      </c>
      <c r="E194" t="s">
        <v>19</v>
      </c>
      <c r="F194">
        <v>-6.03939030229271</v>
      </c>
      <c r="G194">
        <v>3.8562500000000002</v>
      </c>
      <c r="H194">
        <v>3.86933333333333</v>
      </c>
      <c r="I194">
        <v>0.55035478161865403</v>
      </c>
      <c r="J194">
        <v>348.078876061735</v>
      </c>
      <c r="K194">
        <v>21.017060300503701</v>
      </c>
      <c r="L194">
        <v>0.47104098645450398</v>
      </c>
      <c r="M194">
        <v>30074.014891733899</v>
      </c>
      <c r="N194">
        <f t="shared" si="14"/>
        <v>1815.8740099635199</v>
      </c>
      <c r="O194">
        <v>40697.941229669101</v>
      </c>
      <c r="P194">
        <f t="shared" si="15"/>
        <v>12912.289760538606</v>
      </c>
      <c r="Q194">
        <f t="shared" si="16"/>
        <v>1.3426914581309386</v>
      </c>
      <c r="R194">
        <f t="shared" si="17"/>
        <v>17337.221166386767</v>
      </c>
      <c r="T194">
        <f t="shared" si="18"/>
        <v>-3.1862500000000002</v>
      </c>
      <c r="U194">
        <f t="shared" si="19"/>
        <v>2.7048269339424624E-2</v>
      </c>
      <c r="V194">
        <f t="shared" si="20"/>
        <v>-8.6182548182741708E-2</v>
      </c>
      <c r="W194">
        <f>F194-V194</f>
        <v>-5.9532077541099682</v>
      </c>
      <c r="Y194">
        <f>(1-H194)*U194</f>
        <v>-7.7610500824588965E-2</v>
      </c>
      <c r="Z194">
        <f>C194-Y194</f>
        <v>-6.4015071426022807</v>
      </c>
    </row>
    <row r="195" spans="1:26" x14ac:dyDescent="0.75">
      <c r="A195" s="1">
        <v>45510</v>
      </c>
      <c r="B195">
        <v>0.218086636322782</v>
      </c>
      <c r="C195">
        <v>-7.8286526457008296</v>
      </c>
      <c r="D195">
        <v>1.30085415208565</v>
      </c>
      <c r="E195" t="s">
        <v>19</v>
      </c>
      <c r="F195">
        <v>-7.6105660093780498</v>
      </c>
      <c r="G195">
        <v>4.24125</v>
      </c>
      <c r="H195">
        <v>4.21</v>
      </c>
      <c r="I195">
        <v>1.2327906161872899</v>
      </c>
      <c r="J195">
        <v>786.72091651057701</v>
      </c>
      <c r="K195">
        <v>23.198229085988</v>
      </c>
      <c r="L195">
        <v>0.71178123198365495</v>
      </c>
      <c r="M195">
        <v>67972.687186513896</v>
      </c>
      <c r="N195">
        <f t="shared" ref="N195:N258" si="21">K195*86.4</f>
        <v>2004.3269930293634</v>
      </c>
      <c r="O195">
        <v>61497.898443387799</v>
      </c>
      <c r="P195">
        <f t="shared" ref="P195:P258" si="22">0.7*O195/D195</f>
        <v>33092.509903091035</v>
      </c>
      <c r="Q195">
        <f t="shared" ref="Q195:Q258" si="23">M195/(O195*I195)</f>
        <v>0.89657132445204579</v>
      </c>
      <c r="R195">
        <f t="shared" ref="R195:R258" si="24">Q195*P195</f>
        <v>29669.795433256772</v>
      </c>
      <c r="T195">
        <f t="shared" ref="T195:T258" si="25">0.67-G195</f>
        <v>-3.57125</v>
      </c>
      <c r="U195">
        <f t="shared" ref="U195:U258" si="26">(2*(10^-5)*N195)/Q195</f>
        <v>4.4710932379068466E-2</v>
      </c>
      <c r="V195">
        <f t="shared" ref="V195:V258" si="27">T195*U195</f>
        <v>-0.15967391725874827</v>
      </c>
      <c r="W195">
        <f>F195-V195</f>
        <v>-7.4508920921193011</v>
      </c>
      <c r="Y195">
        <f>(1-H195)*U195</f>
        <v>-0.14352209293680979</v>
      </c>
      <c r="Z195">
        <f>C195-Y195</f>
        <v>-7.6851305527640195</v>
      </c>
    </row>
    <row r="196" spans="1:26" x14ac:dyDescent="0.75">
      <c r="A196" s="1">
        <v>45511</v>
      </c>
      <c r="B196">
        <v>0.30880379534152202</v>
      </c>
      <c r="C196">
        <v>-12.7499310088951</v>
      </c>
      <c r="D196">
        <v>2.4744578396047299</v>
      </c>
      <c r="E196" t="s">
        <v>19</v>
      </c>
      <c r="F196">
        <v>-12.4411272135535</v>
      </c>
      <c r="G196">
        <v>4.0125000000000002</v>
      </c>
      <c r="H196">
        <v>3.94933333333333</v>
      </c>
      <c r="I196">
        <v>0.96709425146123096</v>
      </c>
      <c r="J196">
        <v>615.48937396490999</v>
      </c>
      <c r="K196">
        <v>24.2475514963526</v>
      </c>
      <c r="L196">
        <v>0.62882278762453703</v>
      </c>
      <c r="M196">
        <v>53178.281910568199</v>
      </c>
      <c r="N196">
        <f t="shared" si="21"/>
        <v>2094.9884492848646</v>
      </c>
      <c r="O196">
        <v>54330.28885076</v>
      </c>
      <c r="P196">
        <f t="shared" si="22"/>
        <v>15369.509064501621</v>
      </c>
      <c r="Q196">
        <f t="shared" si="23"/>
        <v>1.0121001429591703</v>
      </c>
      <c r="R196">
        <f t="shared" si="24"/>
        <v>15555.482321394355</v>
      </c>
      <c r="T196">
        <f t="shared" si="25"/>
        <v>-3.3425000000000002</v>
      </c>
      <c r="U196">
        <f t="shared" si="26"/>
        <v>4.1398837137984278E-2</v>
      </c>
      <c r="V196">
        <f t="shared" si="27"/>
        <v>-0.13837561313371247</v>
      </c>
      <c r="W196">
        <f>F196-V196</f>
        <v>-12.302751600419787</v>
      </c>
      <c r="Y196">
        <f>(1-H196)*U196</f>
        <v>-0.12209897033229483</v>
      </c>
      <c r="Z196">
        <f>C196-Y196</f>
        <v>-12.627832038562804</v>
      </c>
    </row>
    <row r="197" spans="1:26" x14ac:dyDescent="0.75">
      <c r="A197" s="1">
        <v>45512</v>
      </c>
      <c r="B197">
        <v>0.144521668890076</v>
      </c>
      <c r="C197">
        <v>-10.916262317284801</v>
      </c>
      <c r="D197">
        <v>2.3740633383122902</v>
      </c>
      <c r="E197" t="s">
        <v>19</v>
      </c>
      <c r="F197">
        <v>-10.771740648394699</v>
      </c>
      <c r="G197">
        <v>3.50166666666667</v>
      </c>
      <c r="H197">
        <v>3.4513333333333298</v>
      </c>
      <c r="I197">
        <v>0.78771661997869502</v>
      </c>
      <c r="J197">
        <v>500.177160673934</v>
      </c>
      <c r="K197">
        <v>25.261647223705001</v>
      </c>
      <c r="L197">
        <v>0.56632229660111799</v>
      </c>
      <c r="M197">
        <v>43215.3066822279</v>
      </c>
      <c r="N197">
        <f t="shared" si="21"/>
        <v>2182.6063201281122</v>
      </c>
      <c r="O197">
        <v>48930.246426336598</v>
      </c>
      <c r="P197">
        <f t="shared" si="22"/>
        <v>14427.236184349069</v>
      </c>
      <c r="Q197">
        <f t="shared" si="23"/>
        <v>1.1212183262306394</v>
      </c>
      <c r="R197">
        <f t="shared" si="24"/>
        <v>16176.08160674998</v>
      </c>
      <c r="T197">
        <f t="shared" si="25"/>
        <v>-2.8316666666666701</v>
      </c>
      <c r="U197">
        <f t="shared" si="26"/>
        <v>3.8932762140370884E-2</v>
      </c>
      <c r="V197">
        <f t="shared" si="27"/>
        <v>-0.11024460479415035</v>
      </c>
      <c r="W197">
        <f>F197-V197</f>
        <v>-10.661496043600549</v>
      </c>
      <c r="Y197">
        <f>(1-H197)*U197</f>
        <v>-9.5437177593429026E-2</v>
      </c>
      <c r="Z197">
        <f>C197-Y197</f>
        <v>-10.820825139691372</v>
      </c>
    </row>
    <row r="198" spans="1:26" x14ac:dyDescent="0.75">
      <c r="A198" s="1">
        <v>45513</v>
      </c>
      <c r="B198">
        <v>0.10249356521778399</v>
      </c>
      <c r="C198">
        <v>-6.6916490817604597</v>
      </c>
      <c r="D198">
        <v>1.6723860564736199</v>
      </c>
      <c r="E198" t="s">
        <v>19</v>
      </c>
      <c r="F198">
        <v>-6.5891555165426796</v>
      </c>
      <c r="G198">
        <v>3.1037499999999998</v>
      </c>
      <c r="H198">
        <v>3.0739999999999998</v>
      </c>
      <c r="I198">
        <v>0.65184475732587799</v>
      </c>
      <c r="J198">
        <v>413.02643398594</v>
      </c>
      <c r="K198">
        <v>26.231524928047399</v>
      </c>
      <c r="L198">
        <v>0.51414994473755804</v>
      </c>
      <c r="M198">
        <v>35685.483896385202</v>
      </c>
      <c r="N198">
        <f t="shared" si="21"/>
        <v>2266.4037537832955</v>
      </c>
      <c r="O198">
        <v>44422.555225324999</v>
      </c>
      <c r="P198">
        <f t="shared" si="22"/>
        <v>18593.666538511949</v>
      </c>
      <c r="Q198">
        <f t="shared" si="23"/>
        <v>1.2323778311179863</v>
      </c>
      <c r="R198">
        <f t="shared" si="24"/>
        <v>22914.422441262432</v>
      </c>
      <c r="T198">
        <f t="shared" si="25"/>
        <v>-2.4337499999999999</v>
      </c>
      <c r="U198">
        <f t="shared" si="26"/>
        <v>3.6780988696092719E-2</v>
      </c>
      <c r="V198">
        <f t="shared" si="27"/>
        <v>-8.9515731239115645E-2</v>
      </c>
      <c r="W198">
        <f>F198-V198</f>
        <v>-6.4996397853035637</v>
      </c>
      <c r="Y198">
        <f>(1-H198)*U198</f>
        <v>-7.6283770555696295E-2</v>
      </c>
      <c r="Z198">
        <f>C198-Y198</f>
        <v>-6.615365311204763</v>
      </c>
    </row>
    <row r="199" spans="1:26" x14ac:dyDescent="0.75">
      <c r="A199" s="1">
        <v>45514</v>
      </c>
      <c r="B199">
        <v>8.12183096235643E-2</v>
      </c>
      <c r="C199">
        <v>-5.7429132797213596</v>
      </c>
      <c r="D199">
        <v>1.6897743570998001</v>
      </c>
      <c r="E199" t="s">
        <v>19</v>
      </c>
      <c r="F199">
        <v>-5.6616949700978001</v>
      </c>
      <c r="G199">
        <v>3.04708333333333</v>
      </c>
      <c r="H199">
        <v>3.0179999999999998</v>
      </c>
      <c r="I199">
        <v>0.55922620087664399</v>
      </c>
      <c r="J199">
        <v>353.73325844444099</v>
      </c>
      <c r="K199">
        <v>27.147987260341399</v>
      </c>
      <c r="L199">
        <v>0.47547166517690398</v>
      </c>
      <c r="M199">
        <v>30562.5535295997</v>
      </c>
      <c r="N199">
        <f t="shared" si="21"/>
        <v>2345.5860992934972</v>
      </c>
      <c r="O199">
        <v>41080.751871284498</v>
      </c>
      <c r="P199">
        <f t="shared" si="22"/>
        <v>17017.968221067491</v>
      </c>
      <c r="Q199">
        <f t="shared" si="23"/>
        <v>1.330343349126363</v>
      </c>
      <c r="R199">
        <f t="shared" si="24"/>
        <v>22639.74083854094</v>
      </c>
      <c r="T199">
        <f t="shared" si="25"/>
        <v>-2.3770833333333301</v>
      </c>
      <c r="U199">
        <f t="shared" si="26"/>
        <v>3.5262868053331418E-2</v>
      </c>
      <c r="V199">
        <f t="shared" si="27"/>
        <v>-8.3822775935106439E-2</v>
      </c>
      <c r="W199">
        <f>F199-V199</f>
        <v>-5.5778721941626941</v>
      </c>
      <c r="Y199">
        <f>(1-H199)*U199</f>
        <v>-7.1160467731622795E-2</v>
      </c>
      <c r="Z199">
        <f>C199-Y199</f>
        <v>-5.6717528119897365</v>
      </c>
    </row>
    <row r="200" spans="1:26" x14ac:dyDescent="0.75">
      <c r="A200" s="1">
        <v>45515</v>
      </c>
      <c r="B200">
        <v>7.8497740594787702E-2</v>
      </c>
      <c r="C200">
        <v>-5.1034123950872399</v>
      </c>
      <c r="D200">
        <v>1.7560137695039799</v>
      </c>
      <c r="E200" t="s">
        <v>19</v>
      </c>
      <c r="F200">
        <v>-5.0249146544924503</v>
      </c>
      <c r="G200">
        <v>3.0887500000000001</v>
      </c>
      <c r="H200">
        <v>3.0579999999999998</v>
      </c>
      <c r="I200">
        <v>0.47960359844962103</v>
      </c>
      <c r="J200">
        <v>302.84951787877299</v>
      </c>
      <c r="K200">
        <v>27.6709452418098</v>
      </c>
      <c r="L200">
        <v>0.43955877001112997</v>
      </c>
      <c r="M200">
        <v>26166.198344725999</v>
      </c>
      <c r="N200">
        <f t="shared" si="21"/>
        <v>2390.769668892367</v>
      </c>
      <c r="O200">
        <v>37977.877728961597</v>
      </c>
      <c r="P200">
        <f t="shared" si="22"/>
        <v>15139.126396362159</v>
      </c>
      <c r="Q200">
        <f t="shared" si="23"/>
        <v>1.4365723533399199</v>
      </c>
      <c r="R200">
        <f t="shared" si="24"/>
        <v>21748.450434732487</v>
      </c>
      <c r="T200">
        <f t="shared" si="25"/>
        <v>-2.4187500000000002</v>
      </c>
      <c r="U200">
        <f t="shared" si="26"/>
        <v>3.3284361394454128E-2</v>
      </c>
      <c r="V200">
        <f t="shared" si="27"/>
        <v>-8.0506549122835933E-2</v>
      </c>
      <c r="W200">
        <f>F200-V200</f>
        <v>-4.9444081053696145</v>
      </c>
      <c r="Y200">
        <f>(1-H200)*U200</f>
        <v>-6.8499215749786582E-2</v>
      </c>
      <c r="Z200">
        <f>C200-Y200</f>
        <v>-5.0349131793374529</v>
      </c>
    </row>
    <row r="201" spans="1:26" x14ac:dyDescent="0.75">
      <c r="A201" s="1">
        <v>45516</v>
      </c>
      <c r="B201">
        <v>0.50837930076292903</v>
      </c>
      <c r="C201">
        <v>-6.2232628736391904</v>
      </c>
      <c r="D201">
        <v>2.1626987399538198</v>
      </c>
      <c r="E201" t="s">
        <v>19</v>
      </c>
      <c r="F201">
        <v>-5.7148835728762597</v>
      </c>
      <c r="G201">
        <v>3.2266666666666701</v>
      </c>
      <c r="H201">
        <v>3.1533333333333302</v>
      </c>
      <c r="I201">
        <v>0.439958159310258</v>
      </c>
      <c r="J201">
        <v>277.54803629829797</v>
      </c>
      <c r="K201">
        <v>27.7842080656125</v>
      </c>
      <c r="L201">
        <v>0.42058354513242402</v>
      </c>
      <c r="M201">
        <v>23980.150336172901</v>
      </c>
      <c r="N201">
        <f t="shared" si="21"/>
        <v>2400.5555768689201</v>
      </c>
      <c r="O201">
        <v>36338.4182994414</v>
      </c>
      <c r="P201">
        <f t="shared" si="22"/>
        <v>11761.644069831074</v>
      </c>
      <c r="Q201">
        <f t="shared" si="23"/>
        <v>1.4999421353267477</v>
      </c>
      <c r="R201">
        <f t="shared" si="24"/>
        <v>17641.785521055601</v>
      </c>
      <c r="T201">
        <f t="shared" si="25"/>
        <v>-2.5566666666666702</v>
      </c>
      <c r="U201">
        <f t="shared" si="26"/>
        <v>3.2008642471344176E-2</v>
      </c>
      <c r="V201">
        <f t="shared" si="27"/>
        <v>-8.1835429251736716E-2</v>
      </c>
      <c r="W201">
        <f>F201-V201</f>
        <v>-5.6330481436245226</v>
      </c>
      <c r="Y201">
        <f>(1-H201)*U201</f>
        <v>-6.8925276788294354E-2</v>
      </c>
      <c r="Z201">
        <f>C201-Y201</f>
        <v>-6.1543375968508958</v>
      </c>
    </row>
    <row r="202" spans="1:26" x14ac:dyDescent="0.75">
      <c r="A202" s="1">
        <v>45517</v>
      </c>
      <c r="B202">
        <v>6.2174872576292797E-2</v>
      </c>
      <c r="C202">
        <v>-3.0868358062426302</v>
      </c>
      <c r="D202">
        <v>1.29184425568144</v>
      </c>
      <c r="E202" t="s">
        <v>19</v>
      </c>
      <c r="F202">
        <v>-3.0246609336663401</v>
      </c>
      <c r="G202">
        <v>3.2070833333333302</v>
      </c>
      <c r="H202">
        <v>3.1779999999999999</v>
      </c>
      <c r="I202">
        <v>0.41215204309196501</v>
      </c>
      <c r="J202">
        <v>259.82144303756297</v>
      </c>
      <c r="K202">
        <v>27.824759899690999</v>
      </c>
      <c r="L202">
        <v>0.40662977158923802</v>
      </c>
      <c r="M202">
        <v>22448.572678445398</v>
      </c>
      <c r="N202">
        <f t="shared" si="21"/>
        <v>2404.0592553333026</v>
      </c>
      <c r="O202">
        <v>35132.812265310196</v>
      </c>
      <c r="P202">
        <f t="shared" si="22"/>
        <v>19037.100236780861</v>
      </c>
      <c r="Q202">
        <f t="shared" si="23"/>
        <v>1.5503093307989679</v>
      </c>
      <c r="R202">
        <f t="shared" si="24"/>
        <v>29513.394128436612</v>
      </c>
      <c r="T202">
        <f t="shared" si="25"/>
        <v>-2.5370833333333302</v>
      </c>
      <c r="U202">
        <f t="shared" si="26"/>
        <v>3.1013930027684811E-2</v>
      </c>
      <c r="V202">
        <f t="shared" si="27"/>
        <v>-7.868492497440524E-2</v>
      </c>
      <c r="W202">
        <f>F202-V202</f>
        <v>-2.9459760086919351</v>
      </c>
      <c r="Y202">
        <f>(1-H202)*U202</f>
        <v>-6.7548339600297519E-2</v>
      </c>
      <c r="Z202">
        <f>C202-Y202</f>
        <v>-3.0192874666423326</v>
      </c>
    </row>
    <row r="203" spans="1:26" x14ac:dyDescent="0.75">
      <c r="A203" s="1">
        <v>45518</v>
      </c>
      <c r="B203">
        <v>5.1180765376299002E-2</v>
      </c>
      <c r="C203">
        <v>-2.8667056418834602</v>
      </c>
      <c r="D203">
        <v>1.5632672763517499</v>
      </c>
      <c r="E203" t="s">
        <v>19</v>
      </c>
      <c r="F203">
        <v>-2.8155248765071601</v>
      </c>
      <c r="G203">
        <v>3.3070833333333298</v>
      </c>
      <c r="H203">
        <v>3.29</v>
      </c>
      <c r="I203">
        <v>0.32578046883366502</v>
      </c>
      <c r="J203">
        <v>204.832760721211</v>
      </c>
      <c r="K203">
        <v>27.797475411971298</v>
      </c>
      <c r="L203">
        <v>0.36063532556974298</v>
      </c>
      <c r="M203">
        <v>17697.5505263126</v>
      </c>
      <c r="N203">
        <f t="shared" si="21"/>
        <v>2401.7018755943204</v>
      </c>
      <c r="O203">
        <v>31158.892129225798</v>
      </c>
      <c r="P203">
        <f t="shared" si="22"/>
        <v>13952.332285340006</v>
      </c>
      <c r="Q203">
        <f t="shared" si="23"/>
        <v>1.7434364006490266</v>
      </c>
      <c r="R203">
        <f t="shared" si="24"/>
        <v>24325.003980212387</v>
      </c>
      <c r="T203">
        <f t="shared" si="25"/>
        <v>-2.6370833333333299</v>
      </c>
      <c r="U203">
        <f t="shared" si="26"/>
        <v>2.7551356329376196E-2</v>
      </c>
      <c r="V203">
        <f t="shared" si="27"/>
        <v>-7.2655222586925708E-2</v>
      </c>
      <c r="W203">
        <f>F203-V203</f>
        <v>-2.7428696539202342</v>
      </c>
      <c r="Y203">
        <f>(1-H203)*U203</f>
        <v>-6.3092605994271495E-2</v>
      </c>
      <c r="Z203">
        <f>C203-Y203</f>
        <v>-2.8036130358891889</v>
      </c>
    </row>
    <row r="204" spans="1:26" x14ac:dyDescent="0.75">
      <c r="A204" s="1">
        <v>45519</v>
      </c>
      <c r="B204">
        <v>4.9328274621365999E-2</v>
      </c>
      <c r="C204">
        <v>-2.2977912596688199</v>
      </c>
      <c r="D204">
        <v>1.63445147164861</v>
      </c>
      <c r="E204" t="s">
        <v>19</v>
      </c>
      <c r="F204">
        <v>-2.24846298504746</v>
      </c>
      <c r="G204">
        <v>3.5429166666666698</v>
      </c>
      <c r="H204">
        <v>3.5606666666666702</v>
      </c>
      <c r="I204">
        <v>0.27186795570560801</v>
      </c>
      <c r="J204">
        <v>170.58804674598301</v>
      </c>
      <c r="K204">
        <v>27.7047565163627</v>
      </c>
      <c r="L204">
        <v>0.32889986377839298</v>
      </c>
      <c r="M204">
        <v>14738.8072388529</v>
      </c>
      <c r="N204">
        <f t="shared" si="21"/>
        <v>2393.6909630137375</v>
      </c>
      <c r="O204">
        <v>28416.948230453101</v>
      </c>
      <c r="P204">
        <f t="shared" si="22"/>
        <v>12170.36058051512</v>
      </c>
      <c r="Q204">
        <f t="shared" si="23"/>
        <v>1.9077738049567965</v>
      </c>
      <c r="R204">
        <f t="shared" si="24"/>
        <v>23218.295112385538</v>
      </c>
      <c r="T204">
        <f t="shared" si="25"/>
        <v>-2.8729166666666699</v>
      </c>
      <c r="U204">
        <f t="shared" si="26"/>
        <v>2.5094075165456475E-2</v>
      </c>
      <c r="V204">
        <f t="shared" si="27"/>
        <v>-7.2093186777426085E-2</v>
      </c>
      <c r="W204">
        <f>F204-V204</f>
        <v>-2.1763697982700339</v>
      </c>
      <c r="Y204">
        <f>(1-H204)*U204</f>
        <v>-6.4257561807012309E-2</v>
      </c>
      <c r="Z204">
        <f>C204-Y204</f>
        <v>-2.2335336978618074</v>
      </c>
    </row>
    <row r="205" spans="1:26" x14ac:dyDescent="0.75">
      <c r="A205" s="1">
        <v>45522</v>
      </c>
      <c r="B205">
        <v>1.3075805665282001E-2</v>
      </c>
      <c r="C205">
        <v>-0.106248164904332</v>
      </c>
      <c r="D205">
        <v>1.8941618599979799</v>
      </c>
      <c r="E205" t="s">
        <v>19</v>
      </c>
      <c r="F205">
        <v>-9.3172359239049804E-2</v>
      </c>
      <c r="G205">
        <v>8.2891666666666701</v>
      </c>
      <c r="H205">
        <v>8.4293333333333305</v>
      </c>
      <c r="I205">
        <v>0.159034775493793</v>
      </c>
      <c r="J205">
        <v>99.195172901047499</v>
      </c>
      <c r="K205">
        <v>27.047724986604599</v>
      </c>
      <c r="L205">
        <v>0.24996860544062399</v>
      </c>
      <c r="M205">
        <v>8570.4629386505003</v>
      </c>
      <c r="N205">
        <f t="shared" si="21"/>
        <v>2336.9234388426376</v>
      </c>
      <c r="O205">
        <v>21597.287510069898</v>
      </c>
      <c r="P205">
        <f t="shared" si="22"/>
        <v>7981.4199495417197</v>
      </c>
      <c r="Q205">
        <f t="shared" si="23"/>
        <v>2.495243720437613</v>
      </c>
      <c r="R205">
        <f t="shared" si="24"/>
        <v>19915.588009269468</v>
      </c>
      <c r="T205">
        <f t="shared" si="25"/>
        <v>-7.6191666666666702</v>
      </c>
      <c r="U205">
        <f t="shared" si="26"/>
        <v>1.8731023504451827E-2</v>
      </c>
      <c r="V205">
        <f t="shared" si="27"/>
        <v>-0.14271478991766928</v>
      </c>
      <c r="W205">
        <f>F205-V205</f>
        <v>4.9542430678619478E-2</v>
      </c>
      <c r="Y205">
        <f>(1-H205)*U205</f>
        <v>-0.13915901728907407</v>
      </c>
      <c r="Z205">
        <f>C205-Y205</f>
        <v>3.2910852384742062E-2</v>
      </c>
    </row>
    <row r="206" spans="1:26" x14ac:dyDescent="0.75">
      <c r="A206" s="1">
        <v>45523</v>
      </c>
      <c r="B206">
        <v>2.0011944809218699E-2</v>
      </c>
      <c r="C206">
        <v>-7.8104593440896403E-2</v>
      </c>
      <c r="D206">
        <v>3.0077019274855901</v>
      </c>
      <c r="E206" t="s">
        <v>19</v>
      </c>
      <c r="F206">
        <v>-5.80926486316777E-2</v>
      </c>
      <c r="G206">
        <v>8.1870833333333302</v>
      </c>
      <c r="H206">
        <v>8.2693333333333303</v>
      </c>
      <c r="I206">
        <v>0.13501266305562901</v>
      </c>
      <c r="J206">
        <v>84.056575971317798</v>
      </c>
      <c r="K206">
        <v>26.721398919492302</v>
      </c>
      <c r="L206">
        <v>0.22998584320431301</v>
      </c>
      <c r="M206">
        <v>7262.4881639218602</v>
      </c>
      <c r="N206">
        <f t="shared" si="21"/>
        <v>2308.728866644135</v>
      </c>
      <c r="O206">
        <v>19870.776852852701</v>
      </c>
      <c r="P206">
        <f t="shared" si="22"/>
        <v>4624.6417139563873</v>
      </c>
      <c r="Q206">
        <f t="shared" si="23"/>
        <v>2.7070488178053869</v>
      </c>
      <c r="R206">
        <f t="shared" si="24"/>
        <v>12519.130884539116</v>
      </c>
      <c r="T206">
        <f t="shared" si="25"/>
        <v>-7.5170833333333302</v>
      </c>
      <c r="U206">
        <f t="shared" si="26"/>
        <v>1.7057164624876095E-2</v>
      </c>
      <c r="V206">
        <f t="shared" si="27"/>
        <v>-0.12822012791557896</v>
      </c>
      <c r="W206">
        <f>F206-V206</f>
        <v>7.0127479283901256E-2</v>
      </c>
      <c r="Y206">
        <f>(1-H206)*U206</f>
        <v>-0.1239942153797659</v>
      </c>
      <c r="Z206">
        <f>C206-Y206</f>
        <v>4.5889621938869501E-2</v>
      </c>
    </row>
    <row r="207" spans="1:26" x14ac:dyDescent="0.75">
      <c r="A207" s="1">
        <v>45524</v>
      </c>
      <c r="B207">
        <v>1.9161163280195601E-2</v>
      </c>
      <c r="C207">
        <v>-9.7471941374581497E-3</v>
      </c>
      <c r="D207">
        <v>2.7512727653766298</v>
      </c>
      <c r="E207" t="s">
        <v>19</v>
      </c>
      <c r="F207">
        <v>9.4139691427374498E-3</v>
      </c>
      <c r="G207">
        <v>8.1054166666666703</v>
      </c>
      <c r="H207">
        <v>8.1813333333333293</v>
      </c>
      <c r="I207">
        <v>0.114466315144752</v>
      </c>
      <c r="J207">
        <v>71.135162047107798</v>
      </c>
      <c r="K207">
        <v>26.3374916756297</v>
      </c>
      <c r="L207">
        <v>0.21127063556643999</v>
      </c>
      <c r="M207">
        <v>6146.0780008701104</v>
      </c>
      <c r="N207">
        <f t="shared" si="21"/>
        <v>2275.559280774406</v>
      </c>
      <c r="O207">
        <v>18253.7829129405</v>
      </c>
      <c r="P207">
        <f t="shared" si="22"/>
        <v>4644.2679911125351</v>
      </c>
      <c r="Q207">
        <f t="shared" si="23"/>
        <v>2.9414907293625756</v>
      </c>
      <c r="R207">
        <f t="shared" si="24"/>
        <v>13661.071240532874</v>
      </c>
      <c r="T207">
        <f t="shared" si="25"/>
        <v>-7.4354166666666703</v>
      </c>
      <c r="U207">
        <f t="shared" si="26"/>
        <v>1.5472149941247799E-2</v>
      </c>
      <c r="V207">
        <f t="shared" si="27"/>
        <v>-0.11504188154231963</v>
      </c>
      <c r="W207">
        <f>F207-V207</f>
        <v>0.12445585068505709</v>
      </c>
      <c r="Y207">
        <f>(1-H207)*U207</f>
        <v>-0.11111066611141414</v>
      </c>
      <c r="Z207">
        <f>C207-Y207</f>
        <v>0.10136347197395598</v>
      </c>
    </row>
    <row r="208" spans="1:26" x14ac:dyDescent="0.75">
      <c r="A208" s="1">
        <v>45525</v>
      </c>
      <c r="B208">
        <v>1.9050513947785501E-2</v>
      </c>
      <c r="C208">
        <v>-2.2814739144191801E-2</v>
      </c>
      <c r="D208">
        <v>2.9921587876381701</v>
      </c>
      <c r="E208" t="s">
        <v>19</v>
      </c>
      <c r="F208">
        <v>-3.7642251964062502E-3</v>
      </c>
      <c r="G208">
        <v>8.2504166666666698</v>
      </c>
      <c r="H208">
        <v>8.3933333333333309</v>
      </c>
      <c r="I208">
        <v>8.9540034231583396E-2</v>
      </c>
      <c r="J208">
        <v>55.493474710332997</v>
      </c>
      <c r="K208">
        <v>25.9023290166168</v>
      </c>
      <c r="L208">
        <v>0.18626586455625299</v>
      </c>
      <c r="M208">
        <v>4794.6362149727702</v>
      </c>
      <c r="N208">
        <f t="shared" si="21"/>
        <v>2237.9612270356915</v>
      </c>
      <c r="O208">
        <v>16093.370697660301</v>
      </c>
      <c r="P208">
        <f t="shared" si="22"/>
        <v>3764.9604475885471</v>
      </c>
      <c r="Q208">
        <f t="shared" si="23"/>
        <v>3.3272956351292287</v>
      </c>
      <c r="R208">
        <f t="shared" si="24"/>
        <v>12527.13646369556</v>
      </c>
      <c r="T208">
        <f t="shared" si="25"/>
        <v>-7.5804166666666699</v>
      </c>
      <c r="U208">
        <f t="shared" si="26"/>
        <v>1.345213333860411E-2</v>
      </c>
      <c r="V208">
        <f t="shared" si="27"/>
        <v>-0.10197277576217695</v>
      </c>
      <c r="W208">
        <f>F208-V208</f>
        <v>9.82085505657707E-2</v>
      </c>
      <c r="Y208">
        <f>(1-H208)*U208</f>
        <v>-9.9456105816746354E-2</v>
      </c>
      <c r="Z208">
        <f>C208-Y208</f>
        <v>7.6641366672554556E-2</v>
      </c>
    </row>
    <row r="209" spans="1:26" x14ac:dyDescent="0.75">
      <c r="A209" s="1">
        <v>45527</v>
      </c>
      <c r="B209">
        <v>1.4743251751464299E-2</v>
      </c>
      <c r="C209">
        <v>-0.45051245898293701</v>
      </c>
      <c r="D209">
        <v>1.6230519029218</v>
      </c>
      <c r="E209" t="s">
        <v>19</v>
      </c>
      <c r="F209">
        <v>-0.435769207231472</v>
      </c>
      <c r="G209">
        <v>6.7454166666666699</v>
      </c>
      <c r="H209">
        <v>7.0286666666666697</v>
      </c>
      <c r="I209">
        <v>6.3754457768655903E-2</v>
      </c>
      <c r="J209">
        <v>39.370271115688801</v>
      </c>
      <c r="K209">
        <v>24.8985669654605</v>
      </c>
      <c r="L209">
        <v>0.15593841433791</v>
      </c>
      <c r="M209">
        <v>3401.5914243955099</v>
      </c>
      <c r="N209">
        <f t="shared" si="21"/>
        <v>2151.2361858157874</v>
      </c>
      <c r="O209">
        <v>13473.078998795399</v>
      </c>
      <c r="P209">
        <f t="shared" si="22"/>
        <v>5810.7539766158543</v>
      </c>
      <c r="Q209">
        <f t="shared" si="23"/>
        <v>3.9600870742491874</v>
      </c>
      <c r="R209">
        <f t="shared" si="24"/>
        <v>23011.091714438509</v>
      </c>
      <c r="T209">
        <f t="shared" si="25"/>
        <v>-6.07541666666667</v>
      </c>
      <c r="U209">
        <f t="shared" si="26"/>
        <v>1.0864590325825858E-2</v>
      </c>
      <c r="V209">
        <f t="shared" si="27"/>
        <v>-6.600691314202789E-2</v>
      </c>
      <c r="W209">
        <f>F209-V209</f>
        <v>-0.36976229408944411</v>
      </c>
      <c r="Y209">
        <f>(1-H209)*U209</f>
        <v>-6.5498993544295517E-2</v>
      </c>
      <c r="Z209">
        <f>C209-Y209</f>
        <v>-0.38501346543864151</v>
      </c>
    </row>
    <row r="210" spans="1:26" x14ac:dyDescent="0.75">
      <c r="A210" s="1">
        <v>45528</v>
      </c>
      <c r="B210">
        <v>3.9056689425690301E-2</v>
      </c>
      <c r="C210">
        <v>-1.35384753312747</v>
      </c>
      <c r="D210">
        <v>8.5311147558031397</v>
      </c>
      <c r="E210" t="s">
        <v>19</v>
      </c>
      <c r="F210">
        <v>-1.3147908437017799</v>
      </c>
      <c r="G210">
        <v>5.01833333333333</v>
      </c>
      <c r="H210">
        <v>4.9913333333333298</v>
      </c>
      <c r="I210">
        <v>4.1754143205256097E-2</v>
      </c>
      <c r="J210">
        <v>25.659565492726699</v>
      </c>
      <c r="K210">
        <v>24.340352732603399</v>
      </c>
      <c r="L210">
        <v>0.12597268158021199</v>
      </c>
      <c r="M210">
        <v>2216.98645857159</v>
      </c>
      <c r="N210">
        <f t="shared" si="21"/>
        <v>2103.006476096934</v>
      </c>
      <c r="O210">
        <v>10884.0396885303</v>
      </c>
      <c r="P210">
        <f t="shared" si="22"/>
        <v>893.06356789874815</v>
      </c>
      <c r="Q210">
        <f t="shared" si="23"/>
        <v>4.8783543974682297</v>
      </c>
      <c r="R210">
        <f t="shared" si="24"/>
        <v>4356.6805836775247</v>
      </c>
      <c r="T210">
        <f t="shared" si="25"/>
        <v>-4.3483333333333301</v>
      </c>
      <c r="U210">
        <f t="shared" si="26"/>
        <v>8.6217863843116981E-3</v>
      </c>
      <c r="V210">
        <f t="shared" si="27"/>
        <v>-3.7490401127782007E-2</v>
      </c>
      <c r="W210">
        <f>F210-V210</f>
        <v>-1.277300442573998</v>
      </c>
      <c r="Y210">
        <f>(1-H210)*U210</f>
        <v>-3.4412423388582726E-2</v>
      </c>
      <c r="Z210">
        <f>C210-Y210</f>
        <v>-1.3194351097388872</v>
      </c>
    </row>
    <row r="211" spans="1:26" x14ac:dyDescent="0.75">
      <c r="A211" s="1">
        <v>45529</v>
      </c>
      <c r="B211">
        <v>0.197660636556375</v>
      </c>
      <c r="C211">
        <v>-3.3612872949625698</v>
      </c>
      <c r="D211">
        <v>22.315847345568901</v>
      </c>
      <c r="E211" t="s">
        <v>19</v>
      </c>
      <c r="F211">
        <v>-3.1636266584062001</v>
      </c>
      <c r="G211">
        <v>5.0420833333333297</v>
      </c>
      <c r="H211">
        <v>5.0113333333333303</v>
      </c>
      <c r="I211">
        <v>3.5454319999548997E-2</v>
      </c>
      <c r="J211">
        <v>21.746245962901298</v>
      </c>
      <c r="K211">
        <v>23.751962083820601</v>
      </c>
      <c r="L211">
        <v>0.116118335326049</v>
      </c>
      <c r="M211">
        <v>1878.8756511946799</v>
      </c>
      <c r="N211">
        <f t="shared" si="21"/>
        <v>2052.1695240421</v>
      </c>
      <c r="O211">
        <v>10032.624172170699</v>
      </c>
      <c r="P211">
        <f t="shared" si="22"/>
        <v>314.7017817324317</v>
      </c>
      <c r="Q211">
        <f t="shared" si="23"/>
        <v>5.2821938411975777</v>
      </c>
      <c r="R211">
        <f t="shared" si="24"/>
        <v>1662.3158132809551</v>
      </c>
      <c r="T211">
        <f t="shared" si="25"/>
        <v>-4.3720833333333298</v>
      </c>
      <c r="U211">
        <f t="shared" si="26"/>
        <v>7.7701409139382619E-3</v>
      </c>
      <c r="V211">
        <f t="shared" si="27"/>
        <v>-3.3971703587480882E-2</v>
      </c>
      <c r="W211">
        <f>F211-V211</f>
        <v>-3.1296549548187191</v>
      </c>
      <c r="Y211">
        <f>(1-H211)*U211</f>
        <v>-3.1168625252777658E-2</v>
      </c>
      <c r="Z211">
        <f>C211-Y211</f>
        <v>-3.3301186697097922</v>
      </c>
    </row>
    <row r="212" spans="1:26" x14ac:dyDescent="0.75">
      <c r="A212" s="1">
        <v>45530</v>
      </c>
      <c r="B212">
        <v>0.102232249132862</v>
      </c>
      <c r="C212">
        <v>-0.54724388061290197</v>
      </c>
      <c r="D212">
        <v>2.3114840292415</v>
      </c>
      <c r="E212" t="s">
        <v>19</v>
      </c>
      <c r="F212">
        <v>-0.44501163148004003</v>
      </c>
      <c r="G212">
        <v>4.9820833333333301</v>
      </c>
      <c r="H212">
        <v>4.9946666666666699</v>
      </c>
      <c r="I212">
        <v>4.2523273531395601E-2</v>
      </c>
      <c r="J212">
        <v>26.145673163280101</v>
      </c>
      <c r="K212">
        <v>23.1392455693593</v>
      </c>
      <c r="L212">
        <v>0.126343836506421</v>
      </c>
      <c r="M212">
        <v>2258.9861613073999</v>
      </c>
      <c r="N212">
        <f t="shared" si="21"/>
        <v>1999.2308171926436</v>
      </c>
      <c r="O212">
        <v>10916.1074741548</v>
      </c>
      <c r="P212">
        <f t="shared" si="22"/>
        <v>3305.7875958657605</v>
      </c>
      <c r="Q212">
        <f t="shared" si="23"/>
        <v>4.8665263309044384</v>
      </c>
      <c r="R212">
        <f t="shared" si="24"/>
        <v>16087.702379658003</v>
      </c>
      <c r="T212">
        <f t="shared" si="25"/>
        <v>-4.3120833333333302</v>
      </c>
      <c r="U212">
        <f t="shared" si="26"/>
        <v>8.2162539818050832E-3</v>
      </c>
      <c r="V212">
        <f t="shared" si="27"/>
        <v>-3.5429171857375312E-2</v>
      </c>
      <c r="W212">
        <f>F212-V212</f>
        <v>-0.40958245962266471</v>
      </c>
      <c r="Y212">
        <f>(1-H212)*U212</f>
        <v>-3.2821195905984063E-2</v>
      </c>
      <c r="Z212">
        <f>C212-Y212</f>
        <v>-0.51442268470691788</v>
      </c>
    </row>
    <row r="213" spans="1:26" x14ac:dyDescent="0.75">
      <c r="A213" s="1">
        <v>45532</v>
      </c>
      <c r="B213">
        <v>3.1685298762461102E-2</v>
      </c>
      <c r="C213">
        <v>-1.0034088258871501</v>
      </c>
      <c r="D213">
        <v>1.4931185109803999</v>
      </c>
      <c r="E213" t="s">
        <v>19</v>
      </c>
      <c r="F213">
        <v>-0.97172352712469001</v>
      </c>
      <c r="G213">
        <v>4.52708333333333</v>
      </c>
      <c r="H213">
        <v>4.4980000000000002</v>
      </c>
      <c r="I213">
        <v>0.16676130609837</v>
      </c>
      <c r="J213">
        <v>104.07960297192</v>
      </c>
      <c r="K213">
        <v>21.868506478238501</v>
      </c>
      <c r="L213">
        <v>0.25555654341926298</v>
      </c>
      <c r="M213">
        <v>8992.4776967739308</v>
      </c>
      <c r="N213">
        <f t="shared" si="21"/>
        <v>1889.4389597198067</v>
      </c>
      <c r="O213">
        <v>22080.085351424299</v>
      </c>
      <c r="P213">
        <f t="shared" si="22"/>
        <v>10351.529119981487</v>
      </c>
      <c r="Q213">
        <f t="shared" si="23"/>
        <v>2.4422118466663711</v>
      </c>
      <c r="R213">
        <f t="shared" si="24"/>
        <v>25280.627047930706</v>
      </c>
      <c r="T213">
        <f t="shared" si="25"/>
        <v>-3.8570833333333301</v>
      </c>
      <c r="U213">
        <f t="shared" si="26"/>
        <v>1.5473178236350778E-2</v>
      </c>
      <c r="V213">
        <f t="shared" si="27"/>
        <v>-5.9681337889124594E-2</v>
      </c>
      <c r="W213">
        <f>F213-V213</f>
        <v>-0.91204218923556546</v>
      </c>
      <c r="Y213">
        <f>(1-H213)*U213</f>
        <v>-5.4125177470755029E-2</v>
      </c>
      <c r="Z213">
        <f>C213-Y213</f>
        <v>-0.94928364841639501</v>
      </c>
    </row>
    <row r="214" spans="1:26" x14ac:dyDescent="0.75">
      <c r="A214" s="1">
        <v>45533</v>
      </c>
      <c r="B214">
        <v>3.1452158807100401E-2</v>
      </c>
      <c r="C214">
        <v>-0.91229313770075504</v>
      </c>
      <c r="D214">
        <v>2.1575120830685801</v>
      </c>
      <c r="E214" t="s">
        <v>19</v>
      </c>
      <c r="F214">
        <v>-0.88084097889365398</v>
      </c>
      <c r="G214">
        <v>4.7762500000000001</v>
      </c>
      <c r="H214">
        <v>4.7446666666666699</v>
      </c>
      <c r="I214">
        <v>0.108553992714046</v>
      </c>
      <c r="J214">
        <v>67.427571616470999</v>
      </c>
      <c r="K214">
        <v>21.227561850942799</v>
      </c>
      <c r="L214">
        <v>0.20517485290298099</v>
      </c>
      <c r="M214">
        <v>5825.7421876630997</v>
      </c>
      <c r="N214">
        <f t="shared" si="21"/>
        <v>1834.0613439214578</v>
      </c>
      <c r="O214">
        <v>17727.107290817501</v>
      </c>
      <c r="P214">
        <f t="shared" si="22"/>
        <v>5751.5205597009899</v>
      </c>
      <c r="Q214">
        <f t="shared" si="23"/>
        <v>3.0273845235102779</v>
      </c>
      <c r="R214">
        <f t="shared" si="24"/>
        <v>17412.06432908995</v>
      </c>
      <c r="T214">
        <f t="shared" si="25"/>
        <v>-4.1062500000000002</v>
      </c>
      <c r="U214">
        <f t="shared" si="26"/>
        <v>1.2116474334055513E-2</v>
      </c>
      <c r="V214">
        <f t="shared" si="27"/>
        <v>-4.9753272734215453E-2</v>
      </c>
      <c r="W214">
        <f>F214-V214</f>
        <v>-0.8310877061594385</v>
      </c>
      <c r="Y214">
        <f>(1-H214)*U214</f>
        <v>-4.5372157556259916E-2</v>
      </c>
      <c r="Z214">
        <f>C214-Y214</f>
        <v>-0.86692098014449515</v>
      </c>
    </row>
    <row r="215" spans="1:26" x14ac:dyDescent="0.75">
      <c r="A215" s="1">
        <v>45534</v>
      </c>
      <c r="B215">
        <v>3.3893645203610101E-2</v>
      </c>
      <c r="C215">
        <v>-0.85318969759821495</v>
      </c>
      <c r="D215">
        <v>3.2665635218757698</v>
      </c>
      <c r="E215" t="s">
        <v>19</v>
      </c>
      <c r="F215">
        <v>-0.81929605239460501</v>
      </c>
      <c r="G215">
        <v>4.9450000000000003</v>
      </c>
      <c r="H215">
        <v>4.9166666666666696</v>
      </c>
      <c r="I215">
        <v>6.9105239574115601E-2</v>
      </c>
      <c r="J215">
        <v>42.710380400252603</v>
      </c>
      <c r="K215">
        <v>20.588875252318701</v>
      </c>
      <c r="L215">
        <v>0.16271422906249999</v>
      </c>
      <c r="M215">
        <v>3690.1768665818199</v>
      </c>
      <c r="N215">
        <f t="shared" si="21"/>
        <v>1778.8788218003358</v>
      </c>
      <c r="O215">
        <v>14058.509391</v>
      </c>
      <c r="P215">
        <f t="shared" si="22"/>
        <v>3012.6328503322638</v>
      </c>
      <c r="Q215">
        <f t="shared" si="23"/>
        <v>3.798367048491996</v>
      </c>
      <c r="R215">
        <f t="shared" si="24"/>
        <v>11443.08534790659</v>
      </c>
      <c r="T215">
        <f t="shared" si="25"/>
        <v>-4.2750000000000004</v>
      </c>
      <c r="U215">
        <f t="shared" si="26"/>
        <v>9.3665451447435821E-3</v>
      </c>
      <c r="V215">
        <f t="shared" si="27"/>
        <v>-4.0041980493778814E-2</v>
      </c>
      <c r="W215">
        <f>F215-V215</f>
        <v>-0.77925407190082618</v>
      </c>
      <c r="Y215">
        <f>(1-H215)*U215</f>
        <v>-3.6685635150245727E-2</v>
      </c>
      <c r="Z215">
        <f>C215-Y215</f>
        <v>-0.81650406244796925</v>
      </c>
    </row>
    <row r="216" spans="1:26" x14ac:dyDescent="0.75">
      <c r="A216" s="1">
        <v>45535</v>
      </c>
      <c r="B216">
        <v>3.92399130568045E-2</v>
      </c>
      <c r="C216">
        <v>-0.94354226581217804</v>
      </c>
      <c r="D216">
        <v>5.69486454708378</v>
      </c>
      <c r="E216" t="s">
        <v>19</v>
      </c>
      <c r="F216">
        <v>-0.90430235275537296</v>
      </c>
      <c r="G216">
        <v>5.0529166666666701</v>
      </c>
      <c r="H216">
        <v>5.03</v>
      </c>
      <c r="I216">
        <v>4.5077255912087499E-2</v>
      </c>
      <c r="J216">
        <v>27.7271751592043</v>
      </c>
      <c r="K216">
        <v>19.954436184884301</v>
      </c>
      <c r="L216">
        <v>0.13081758553321801</v>
      </c>
      <c r="M216">
        <v>2395.6279337552501</v>
      </c>
      <c r="N216">
        <f t="shared" si="21"/>
        <v>1724.0632863740036</v>
      </c>
      <c r="O216">
        <v>11302.6393900701</v>
      </c>
      <c r="P216">
        <f t="shared" si="22"/>
        <v>1389.2951285558777</v>
      </c>
      <c r="Q216">
        <f t="shared" si="23"/>
        <v>4.7019935209146064</v>
      </c>
      <c r="R216">
        <f t="shared" si="24"/>
        <v>6532.4566931079617</v>
      </c>
      <c r="T216">
        <f t="shared" si="25"/>
        <v>-4.3829166666666701</v>
      </c>
      <c r="U216">
        <f t="shared" si="26"/>
        <v>7.3333290601329806E-3</v>
      </c>
      <c r="V216">
        <f t="shared" si="27"/>
        <v>-3.2141370159807871E-2</v>
      </c>
      <c r="W216">
        <f>F216-V216</f>
        <v>-0.87216098259556507</v>
      </c>
      <c r="Y216">
        <f>(1-H216)*U216</f>
        <v>-2.9553316112335914E-2</v>
      </c>
      <c r="Z216">
        <f>C216-Y216</f>
        <v>-0.91398894969984212</v>
      </c>
    </row>
    <row r="217" spans="1:26" x14ac:dyDescent="0.75">
      <c r="A217" s="1">
        <v>45536</v>
      </c>
      <c r="B217">
        <v>0.13461397130998601</v>
      </c>
      <c r="C217">
        <v>-5.69445560107222</v>
      </c>
      <c r="D217">
        <v>43.218965471174798</v>
      </c>
      <c r="E217" t="s">
        <v>19</v>
      </c>
      <c r="F217">
        <v>-5.5598416297622304</v>
      </c>
      <c r="G217">
        <v>5.1983333333333297</v>
      </c>
      <c r="H217">
        <v>5.1746666666666696</v>
      </c>
      <c r="I217">
        <v>3.5668619670572499E-2</v>
      </c>
      <c r="J217">
        <v>21.8792691824457</v>
      </c>
      <c r="K217">
        <v>19.669073888338701</v>
      </c>
      <c r="L217">
        <v>0.116463558039655</v>
      </c>
      <c r="M217">
        <v>1890.3688573633001</v>
      </c>
      <c r="N217">
        <f t="shared" si="21"/>
        <v>1699.4079839524638</v>
      </c>
      <c r="O217">
        <v>10062.451414626201</v>
      </c>
      <c r="P217">
        <f t="shared" si="22"/>
        <v>162.97743163093983</v>
      </c>
      <c r="Q217">
        <f t="shared" si="23"/>
        <v>5.2669167575680573</v>
      </c>
      <c r="R217">
        <f t="shared" si="24"/>
        <v>858.38856576239937</v>
      </c>
      <c r="T217">
        <f t="shared" si="25"/>
        <v>-4.5283333333333298</v>
      </c>
      <c r="U217">
        <f t="shared" si="26"/>
        <v>6.4531416089330697E-3</v>
      </c>
      <c r="V217">
        <f t="shared" si="27"/>
        <v>-2.9221976252451893E-2</v>
      </c>
      <c r="W217">
        <f>F217-V217</f>
        <v>-5.5306196535097785</v>
      </c>
      <c r="Y217">
        <f>(1-H217)*U217</f>
        <v>-2.6939715170092606E-2</v>
      </c>
      <c r="Z217">
        <f>C217-Y217</f>
        <v>-5.6675158859021275</v>
      </c>
    </row>
    <row r="218" spans="1:26" x14ac:dyDescent="0.75">
      <c r="A218" s="1">
        <v>45537</v>
      </c>
      <c r="B218">
        <v>0.11705202947662401</v>
      </c>
      <c r="C218">
        <v>-5.0492897872115403</v>
      </c>
      <c r="D218">
        <v>42.489703539198999</v>
      </c>
      <c r="E218" t="s">
        <v>19</v>
      </c>
      <c r="F218">
        <v>-4.9322377577349199</v>
      </c>
      <c r="G218">
        <v>5.23166666666667</v>
      </c>
      <c r="H218">
        <v>5.1946666666666701</v>
      </c>
      <c r="I218">
        <v>3.2926758126243599E-2</v>
      </c>
      <c r="J218">
        <v>20.1796348365516</v>
      </c>
      <c r="K218">
        <v>19.680813028885801</v>
      </c>
      <c r="L218">
        <v>0.11176708516138199</v>
      </c>
      <c r="M218">
        <v>1743.5204498780599</v>
      </c>
      <c r="N218">
        <f t="shared" si="21"/>
        <v>1700.4222456957334</v>
      </c>
      <c r="O218">
        <v>9656.6761579433696</v>
      </c>
      <c r="P218">
        <f t="shared" si="22"/>
        <v>159.0896793225258</v>
      </c>
      <c r="Q218">
        <f t="shared" si="23"/>
        <v>5.4834060242419813</v>
      </c>
      <c r="R218">
        <f t="shared" si="24"/>
        <v>872.35330599186295</v>
      </c>
      <c r="T218">
        <f t="shared" si="25"/>
        <v>-4.5616666666666701</v>
      </c>
      <c r="U218">
        <f t="shared" si="26"/>
        <v>6.2020657896869769E-3</v>
      </c>
      <c r="V218">
        <f t="shared" si="27"/>
        <v>-2.829175677728878E-2</v>
      </c>
      <c r="W218">
        <f>F218-V218</f>
        <v>-4.9039460009576308</v>
      </c>
      <c r="Y218">
        <f>(1-H218)*U218</f>
        <v>-2.6015598632473661E-2</v>
      </c>
      <c r="Z218">
        <f>C218-Y218</f>
        <v>-5.0232741885790668</v>
      </c>
    </row>
    <row r="219" spans="1:26" x14ac:dyDescent="0.75">
      <c r="A219" s="1">
        <v>45538</v>
      </c>
      <c r="B219">
        <v>0.128676167882562</v>
      </c>
      <c r="C219">
        <v>-6.7563250055162101</v>
      </c>
      <c r="D219">
        <v>63.641549767404904</v>
      </c>
      <c r="E219" t="s">
        <v>19</v>
      </c>
      <c r="F219">
        <v>-6.6276488376336502</v>
      </c>
      <c r="G219">
        <v>5.33958333333333</v>
      </c>
      <c r="H219">
        <v>5.2966666666666704</v>
      </c>
      <c r="I219">
        <v>3.0337548402369598E-2</v>
      </c>
      <c r="J219">
        <v>18.575486667809301</v>
      </c>
      <c r="K219">
        <v>19.6908243278146</v>
      </c>
      <c r="L219">
        <v>0.10722657916082901</v>
      </c>
      <c r="M219">
        <v>1604.9220480987201</v>
      </c>
      <c r="N219">
        <f t="shared" si="21"/>
        <v>1701.2872219231815</v>
      </c>
      <c r="O219">
        <v>9264.3764394955906</v>
      </c>
      <c r="P219">
        <f t="shared" si="22"/>
        <v>101.89983637023794</v>
      </c>
      <c r="Q219">
        <f t="shared" si="23"/>
        <v>5.7102782058197956</v>
      </c>
      <c r="R219">
        <f t="shared" si="24"/>
        <v>581.87641480157299</v>
      </c>
      <c r="T219">
        <f t="shared" si="25"/>
        <v>-4.6695833333333301</v>
      </c>
      <c r="U219">
        <f t="shared" si="26"/>
        <v>5.9586841852618151E-3</v>
      </c>
      <c r="V219">
        <f t="shared" si="27"/>
        <v>-2.7824572360095466E-2</v>
      </c>
      <c r="W219">
        <f>F219-V219</f>
        <v>-6.599824265273555</v>
      </c>
      <c r="Y219">
        <f>(1-H219)*U219</f>
        <v>-2.5602479716008288E-2</v>
      </c>
      <c r="Z219">
        <f>C219-Y219</f>
        <v>-6.7307225258002017</v>
      </c>
    </row>
    <row r="220" spans="1:26" x14ac:dyDescent="0.75">
      <c r="A220" s="1">
        <v>45539</v>
      </c>
      <c r="B220">
        <v>0.16584027556335099</v>
      </c>
      <c r="C220">
        <v>-0.58151385102178299</v>
      </c>
      <c r="D220">
        <v>1.7868651272225899</v>
      </c>
      <c r="E220" t="s">
        <v>19</v>
      </c>
      <c r="F220">
        <v>-0.41567357545843298</v>
      </c>
      <c r="G220">
        <v>5.4625000000000004</v>
      </c>
      <c r="H220">
        <v>5.4240000000000004</v>
      </c>
      <c r="I220">
        <v>4.9410219123468498E-2</v>
      </c>
      <c r="J220">
        <v>30.4594081039908</v>
      </c>
      <c r="K220">
        <v>19.699296810624599</v>
      </c>
      <c r="L220">
        <v>0.13360098565655301</v>
      </c>
      <c r="M220">
        <v>2631.6928601848099</v>
      </c>
      <c r="N220">
        <f t="shared" si="21"/>
        <v>1702.0192444379654</v>
      </c>
      <c r="O220">
        <v>11543.1251607262</v>
      </c>
      <c r="P220">
        <f t="shared" si="22"/>
        <v>4521.9907699848409</v>
      </c>
      <c r="Q220">
        <f t="shared" si="23"/>
        <v>4.6141851552565507</v>
      </c>
      <c r="R220">
        <f t="shared" si="24"/>
        <v>20865.302683071193</v>
      </c>
      <c r="T220">
        <f t="shared" si="25"/>
        <v>-4.7925000000000004</v>
      </c>
      <c r="U220">
        <f t="shared" si="26"/>
        <v>7.3773339697866215E-3</v>
      </c>
      <c r="V220">
        <f t="shared" si="27"/>
        <v>-3.5355873050202387E-2</v>
      </c>
      <c r="W220">
        <f>F220-V220</f>
        <v>-0.3803177024082306</v>
      </c>
      <c r="Y220">
        <f>(1-H220)*U220</f>
        <v>-3.2637325482336013E-2</v>
      </c>
      <c r="Z220">
        <f>C220-Y220</f>
        <v>-0.54887652553944699</v>
      </c>
    </row>
    <row r="221" spans="1:26" x14ac:dyDescent="0.75">
      <c r="A221" s="1">
        <v>45540</v>
      </c>
      <c r="B221">
        <v>3.0137152363467999E-2</v>
      </c>
      <c r="C221">
        <v>-1.6494169503462801</v>
      </c>
      <c r="D221">
        <v>4.0786541711472104</v>
      </c>
      <c r="E221" t="s">
        <v>19</v>
      </c>
      <c r="F221">
        <v>-1.61927979798282</v>
      </c>
      <c r="G221">
        <v>5.14333333333333</v>
      </c>
      <c r="H221">
        <v>5.1373333333333298</v>
      </c>
      <c r="I221">
        <v>0.107238838568586</v>
      </c>
      <c r="J221">
        <v>66.594156276712596</v>
      </c>
      <c r="K221">
        <v>20.0359990807403</v>
      </c>
      <c r="L221">
        <v>0.20441155116708501</v>
      </c>
      <c r="M221">
        <v>5753.73510230796</v>
      </c>
      <c r="N221">
        <f t="shared" si="21"/>
        <v>1731.1103205759621</v>
      </c>
      <c r="O221">
        <v>17661.158020836199</v>
      </c>
      <c r="P221">
        <f t="shared" si="22"/>
        <v>3031.1004796731831</v>
      </c>
      <c r="Q221">
        <f t="shared" si="23"/>
        <v>3.0379357546303032</v>
      </c>
      <c r="R221">
        <f t="shared" si="24"/>
        <v>9208.2885230762258</v>
      </c>
      <c r="T221">
        <f t="shared" si="25"/>
        <v>-4.4733333333333301</v>
      </c>
      <c r="U221">
        <f t="shared" si="26"/>
        <v>1.1396622314592871E-2</v>
      </c>
      <c r="V221">
        <f t="shared" si="27"/>
        <v>-5.0980890487278739E-2</v>
      </c>
      <c r="W221">
        <f>F221-V221</f>
        <v>-1.5682989074955411</v>
      </c>
      <c r="Y221">
        <f>(1-H221)*U221</f>
        <v>-4.7151625389575534E-2</v>
      </c>
      <c r="Z221">
        <f>C221-Y221</f>
        <v>-1.6022653249567045</v>
      </c>
    </row>
    <row r="222" spans="1:26" x14ac:dyDescent="0.75">
      <c r="A222" s="1">
        <v>45541</v>
      </c>
      <c r="B222">
        <v>0.13112413511802601</v>
      </c>
      <c r="C222">
        <v>-0.72069060543998098</v>
      </c>
      <c r="D222">
        <v>1.4343240453449799</v>
      </c>
      <c r="E222" t="s">
        <v>19</v>
      </c>
      <c r="F222">
        <v>-0.58956647032195397</v>
      </c>
      <c r="G222">
        <v>5.2175000000000002</v>
      </c>
      <c r="H222">
        <v>5.2293333333333303</v>
      </c>
      <c r="I222">
        <v>9.9342042471963696E-2</v>
      </c>
      <c r="J222">
        <v>61.664353889165497</v>
      </c>
      <c r="K222">
        <v>20.703989540842699</v>
      </c>
      <c r="L222">
        <v>0.19475393047172401</v>
      </c>
      <c r="M222">
        <v>5327.8001760239003</v>
      </c>
      <c r="N222">
        <f t="shared" si="21"/>
        <v>1788.8246963288093</v>
      </c>
      <c r="O222">
        <v>16826.739592757</v>
      </c>
      <c r="P222">
        <f t="shared" si="22"/>
        <v>8212.0339215932981</v>
      </c>
      <c r="Q222">
        <f t="shared" si="23"/>
        <v>3.1872407492743045</v>
      </c>
      <c r="R222">
        <f t="shared" si="24"/>
        <v>26173.729149325027</v>
      </c>
      <c r="T222">
        <f t="shared" si="25"/>
        <v>-4.5475000000000003</v>
      </c>
      <c r="U222">
        <f t="shared" si="26"/>
        <v>1.1224911056600308E-2</v>
      </c>
      <c r="V222">
        <f t="shared" si="27"/>
        <v>-5.1045283029889907E-2</v>
      </c>
      <c r="W222">
        <f>F222-V222</f>
        <v>-0.53852118729206411</v>
      </c>
      <c r="Y222">
        <f>(1-H222)*U222</f>
        <v>-4.7473890495381539E-2</v>
      </c>
      <c r="Z222">
        <f>C222-Y222</f>
        <v>-0.67321671494459945</v>
      </c>
    </row>
    <row r="223" spans="1:26" x14ac:dyDescent="0.75">
      <c r="A223" s="1">
        <v>45542</v>
      </c>
      <c r="B223">
        <v>3.5702786483766402E-2</v>
      </c>
      <c r="C223">
        <v>-1.77476256365326</v>
      </c>
      <c r="D223">
        <v>3.2808133782401101</v>
      </c>
      <c r="E223" t="s">
        <v>19</v>
      </c>
      <c r="F223">
        <v>-1.73905977716949</v>
      </c>
      <c r="G223">
        <v>5.1283333333333303</v>
      </c>
      <c r="H223">
        <v>5.1133333333333297</v>
      </c>
      <c r="I223">
        <v>0.14610046932215101</v>
      </c>
      <c r="J223">
        <v>91.040887536063806</v>
      </c>
      <c r="K223">
        <v>21.350351252008501</v>
      </c>
      <c r="L223">
        <v>0.23939055643881799</v>
      </c>
      <c r="M223">
        <v>7865.9326831159096</v>
      </c>
      <c r="N223">
        <f t="shared" si="21"/>
        <v>1844.6703481735346</v>
      </c>
      <c r="O223">
        <v>20683.344076313799</v>
      </c>
      <c r="P223">
        <f t="shared" si="22"/>
        <v>4413.0339596414697</v>
      </c>
      <c r="Q223">
        <f t="shared" si="23"/>
        <v>2.6030221139188248</v>
      </c>
      <c r="R223">
        <f t="shared" si="24"/>
        <v>11487.224986421499</v>
      </c>
      <c r="T223">
        <f t="shared" si="25"/>
        <v>-4.4583333333333304</v>
      </c>
      <c r="U223">
        <f t="shared" si="26"/>
        <v>1.4173297555251279E-2</v>
      </c>
      <c r="V223">
        <f t="shared" si="27"/>
        <v>-6.3189284933828568E-2</v>
      </c>
      <c r="W223">
        <f>F223-V223</f>
        <v>-1.6758704922356615</v>
      </c>
      <c r="Y223">
        <f>(1-H223)*U223</f>
        <v>-5.8299497277266875E-2</v>
      </c>
      <c r="Z223">
        <f>C223-Y223</f>
        <v>-1.7164630663759932</v>
      </c>
    </row>
    <row r="224" spans="1:26" x14ac:dyDescent="0.75">
      <c r="A224" s="1">
        <v>45544</v>
      </c>
      <c r="B224">
        <v>6.4751808826203502E-2</v>
      </c>
      <c r="C224">
        <v>-1.0834620623187601</v>
      </c>
      <c r="D224">
        <v>0.43294426422384302</v>
      </c>
      <c r="E224" t="s">
        <v>19</v>
      </c>
      <c r="F224">
        <v>-1.0187102534925601</v>
      </c>
      <c r="G224">
        <v>3.9362499999999998</v>
      </c>
      <c r="H224">
        <v>3.9926666666666701</v>
      </c>
      <c r="I224">
        <v>0.561862380391428</v>
      </c>
      <c r="J224">
        <v>355.46286845001401</v>
      </c>
      <c r="K224">
        <v>22.555681424300399</v>
      </c>
      <c r="L224">
        <v>0.47531589447686301</v>
      </c>
      <c r="M224">
        <v>30711.9918340812</v>
      </c>
      <c r="N224">
        <f t="shared" si="21"/>
        <v>1948.8108750595545</v>
      </c>
      <c r="O224">
        <v>41067.2932828009</v>
      </c>
      <c r="P224">
        <f t="shared" si="22"/>
        <v>66399.090306685888</v>
      </c>
      <c r="Q224">
        <f t="shared" si="23"/>
        <v>1.331011932997465</v>
      </c>
      <c r="R224">
        <f t="shared" si="24"/>
        <v>88377.981538375228</v>
      </c>
      <c r="T224">
        <f t="shared" si="25"/>
        <v>-3.2662499999999999</v>
      </c>
      <c r="U224">
        <f t="shared" si="26"/>
        <v>2.9283146555580376E-2</v>
      </c>
      <c r="V224">
        <f t="shared" si="27"/>
        <v>-9.5646077437164398E-2</v>
      </c>
      <c r="W224">
        <f>F224-V224</f>
        <v>-0.9230641760553957</v>
      </c>
      <c r="Y224">
        <f>(1-H224)*U224</f>
        <v>-8.7634696592000308E-2</v>
      </c>
      <c r="Z224">
        <f>C224-Y224</f>
        <v>-0.99582736572675978</v>
      </c>
    </row>
    <row r="225" spans="1:26" x14ac:dyDescent="0.75">
      <c r="A225" s="1">
        <v>45545</v>
      </c>
      <c r="B225">
        <v>7.7469969333543096E-2</v>
      </c>
      <c r="C225">
        <v>-1.98056371041141</v>
      </c>
      <c r="D225">
        <v>1.38963837772979</v>
      </c>
      <c r="E225" t="s">
        <v>19</v>
      </c>
      <c r="F225">
        <v>-1.9030937410778599</v>
      </c>
      <c r="G225">
        <v>4.4220833333333296</v>
      </c>
      <c r="H225">
        <v>4.3813333333333304</v>
      </c>
      <c r="I225">
        <v>0.34888960596103002</v>
      </c>
      <c r="J225">
        <v>219.53880659395901</v>
      </c>
      <c r="K225">
        <v>23.1117005326041</v>
      </c>
      <c r="L225">
        <v>0.37317556081741798</v>
      </c>
      <c r="M225">
        <v>18968.152889718102</v>
      </c>
      <c r="N225">
        <f t="shared" si="21"/>
        <v>1996.8509260169944</v>
      </c>
      <c r="O225">
        <v>32242.368454624899</v>
      </c>
      <c r="P225">
        <f t="shared" si="22"/>
        <v>16241.389328286105</v>
      </c>
      <c r="Q225">
        <f t="shared" si="23"/>
        <v>1.6862038387563669</v>
      </c>
      <c r="R225">
        <f t="shared" si="24"/>
        <v>27386.293032092723</v>
      </c>
      <c r="T225">
        <f t="shared" si="25"/>
        <v>-3.7520833333333297</v>
      </c>
      <c r="U225">
        <f t="shared" si="26"/>
        <v>2.3684573360830925E-2</v>
      </c>
      <c r="V225">
        <f t="shared" si="27"/>
        <v>-8.8866492964284283E-2</v>
      </c>
      <c r="W225">
        <f>F225-V225</f>
        <v>-1.8142272481135757</v>
      </c>
      <c r="Y225">
        <f>(1-H225)*U225</f>
        <v>-8.0085437390756228E-2</v>
      </c>
      <c r="Z225">
        <f>C225-Y225</f>
        <v>-1.9004782730206538</v>
      </c>
    </row>
    <row r="226" spans="1:26" x14ac:dyDescent="0.75">
      <c r="A226" s="1">
        <v>45546</v>
      </c>
      <c r="B226">
        <v>9.0906821977160407E-2</v>
      </c>
      <c r="C226">
        <v>-4.7970705420066002</v>
      </c>
      <c r="D226">
        <v>4.3782061276883102</v>
      </c>
      <c r="E226" t="s">
        <v>19</v>
      </c>
      <c r="F226">
        <v>-4.7061637200294397</v>
      </c>
      <c r="G226">
        <v>4.7933333333333303</v>
      </c>
      <c r="H226">
        <v>4.7706666666666697</v>
      </c>
      <c r="I226">
        <v>0.26774929216525101</v>
      </c>
      <c r="J226">
        <v>167.97470808027501</v>
      </c>
      <c r="K226">
        <v>23.640114395032999</v>
      </c>
      <c r="L226">
        <v>0.32636096829783401</v>
      </c>
      <c r="M226">
        <v>14513.014778135701</v>
      </c>
      <c r="N226">
        <f t="shared" si="21"/>
        <v>2042.5058837308513</v>
      </c>
      <c r="O226">
        <v>28197.587660932899</v>
      </c>
      <c r="P226">
        <f t="shared" si="22"/>
        <v>4508.310204452353</v>
      </c>
      <c r="Q226">
        <f t="shared" si="23"/>
        <v>1.9222831125374573</v>
      </c>
      <c r="R226">
        <f t="shared" si="24"/>
        <v>8666.2485720990499</v>
      </c>
      <c r="T226">
        <f t="shared" si="25"/>
        <v>-4.1233333333333304</v>
      </c>
      <c r="U226">
        <f t="shared" si="26"/>
        <v>2.1250833141167196E-2</v>
      </c>
      <c r="V226">
        <f t="shared" si="27"/>
        <v>-8.762426865207934E-2</v>
      </c>
      <c r="W226">
        <f>F226-V226</f>
        <v>-4.6185394513773605</v>
      </c>
      <c r="Y226">
        <f>(1-H226)*U226</f>
        <v>-8.0129808164294505E-2</v>
      </c>
      <c r="Z226">
        <f>C226-Y226</f>
        <v>-4.7169407338423053</v>
      </c>
    </row>
    <row r="227" spans="1:26" x14ac:dyDescent="0.75">
      <c r="A227" s="1">
        <v>45547</v>
      </c>
      <c r="B227">
        <v>0.28500979393943399</v>
      </c>
      <c r="C227">
        <v>-3.09842518782723</v>
      </c>
      <c r="D227">
        <v>2.5121511541206498</v>
      </c>
      <c r="E227" t="s">
        <v>19</v>
      </c>
      <c r="F227">
        <v>-2.8134153938878002</v>
      </c>
      <c r="G227">
        <v>4.9474999999999998</v>
      </c>
      <c r="H227">
        <v>4.93333333333333</v>
      </c>
      <c r="I227">
        <v>0.26730601476354499</v>
      </c>
      <c r="J227">
        <v>167.70141827186501</v>
      </c>
      <c r="K227">
        <v>24.1562485261971</v>
      </c>
      <c r="L227">
        <v>0.32574943841555498</v>
      </c>
      <c r="M227">
        <v>14489.402538689101</v>
      </c>
      <c r="N227">
        <f t="shared" si="21"/>
        <v>2087.0998726634298</v>
      </c>
      <c r="O227">
        <v>28144.751479104001</v>
      </c>
      <c r="P227">
        <f t="shared" si="22"/>
        <v>7842.4126681457701</v>
      </c>
      <c r="Q227">
        <f t="shared" si="23"/>
        <v>1.9259469871048429</v>
      </c>
      <c r="R227">
        <f t="shared" si="24"/>
        <v>15104.071049848199</v>
      </c>
      <c r="T227">
        <f t="shared" si="25"/>
        <v>-4.2774999999999999</v>
      </c>
      <c r="U227">
        <f t="shared" si="26"/>
        <v>2.1673492433982706E-2</v>
      </c>
      <c r="V227">
        <f t="shared" si="27"/>
        <v>-9.2708363886361028E-2</v>
      </c>
      <c r="W227">
        <f>F227-V227</f>
        <v>-2.7207070300014391</v>
      </c>
      <c r="Y227">
        <f>(1-H227)*U227</f>
        <v>-8.5249070240331903E-2</v>
      </c>
      <c r="Z227">
        <f>C227-Y227</f>
        <v>-3.0131761175868981</v>
      </c>
    </row>
    <row r="228" spans="1:26" x14ac:dyDescent="0.75">
      <c r="A228" s="1">
        <v>45548</v>
      </c>
      <c r="B228">
        <v>0.52129298382392397</v>
      </c>
      <c r="C228">
        <v>-12.8085178802837</v>
      </c>
      <c r="D228">
        <v>10.4973829931221</v>
      </c>
      <c r="E228" t="s">
        <v>19</v>
      </c>
      <c r="F228">
        <v>-12.2872248964597</v>
      </c>
      <c r="G228">
        <v>4.9429166666666697</v>
      </c>
      <c r="H228">
        <v>4.9020000000000001</v>
      </c>
      <c r="I228">
        <v>0.28931010368514198</v>
      </c>
      <c r="J228">
        <v>181.65715836333101</v>
      </c>
      <c r="K228">
        <v>24.6750032926399</v>
      </c>
      <c r="L228">
        <v>0.33957442219477801</v>
      </c>
      <c r="M228">
        <v>15695.1784825918</v>
      </c>
      <c r="N228">
        <f t="shared" si="21"/>
        <v>2131.9202844840875</v>
      </c>
      <c r="O228">
        <v>29339.230077628799</v>
      </c>
      <c r="P228">
        <f t="shared" si="22"/>
        <v>1956.4362915782276</v>
      </c>
      <c r="Q228">
        <f t="shared" si="23"/>
        <v>1.8490725225276514</v>
      </c>
      <c r="R228">
        <f t="shared" si="24"/>
        <v>3617.5925888331972</v>
      </c>
      <c r="T228">
        <f t="shared" si="25"/>
        <v>-4.2729166666666698</v>
      </c>
      <c r="U228">
        <f t="shared" si="26"/>
        <v>2.3059347413478277E-2</v>
      </c>
      <c r="V228">
        <f t="shared" si="27"/>
        <v>-9.8530669885508293E-2</v>
      </c>
      <c r="W228">
        <f>F228-V228</f>
        <v>-12.18869422657419</v>
      </c>
      <c r="Y228">
        <f>(1-H228)*U228</f>
        <v>-8.9977573607392239E-2</v>
      </c>
      <c r="Z228">
        <f>C228-Y228</f>
        <v>-12.718540306676308</v>
      </c>
    </row>
    <row r="229" spans="1:26" x14ac:dyDescent="0.75">
      <c r="A229" s="1">
        <v>45549</v>
      </c>
      <c r="B229">
        <v>7.0237020456741406E-2</v>
      </c>
      <c r="C229">
        <v>-3.8536983351988301</v>
      </c>
      <c r="D229">
        <v>3.3983565355007501</v>
      </c>
      <c r="E229" t="s">
        <v>19</v>
      </c>
      <c r="F229">
        <v>-3.7834613147420901</v>
      </c>
      <c r="G229">
        <v>4.8712499999999999</v>
      </c>
      <c r="H229">
        <v>4.8559999999999999</v>
      </c>
      <c r="I229">
        <v>0.27825584726927</v>
      </c>
      <c r="J229">
        <v>174.64168914479799</v>
      </c>
      <c r="K229">
        <v>25.1986883513222</v>
      </c>
      <c r="L229">
        <v>0.33281924168273402</v>
      </c>
      <c r="M229">
        <v>15089.0419421106</v>
      </c>
      <c r="N229">
        <f t="shared" si="21"/>
        <v>2177.1666735542381</v>
      </c>
      <c r="O229">
        <v>28755.582481388301</v>
      </c>
      <c r="P229">
        <f t="shared" si="22"/>
        <v>5923.1300561598673</v>
      </c>
      <c r="Q229">
        <f t="shared" si="23"/>
        <v>1.8857981143309792</v>
      </c>
      <c r="R229">
        <f t="shared" si="24"/>
        <v>11169.827490843425</v>
      </c>
      <c r="T229">
        <f t="shared" si="25"/>
        <v>-4.2012499999999999</v>
      </c>
      <c r="U229">
        <f t="shared" si="26"/>
        <v>2.309013522719135E-2</v>
      </c>
      <c r="V229">
        <f t="shared" si="27"/>
        <v>-9.7007430623237662E-2</v>
      </c>
      <c r="W229">
        <f>F229-V229</f>
        <v>-3.6864538841188526</v>
      </c>
      <c r="Y229">
        <f>(1-H229)*U229</f>
        <v>-8.9035561436049848E-2</v>
      </c>
      <c r="Z229">
        <f>C229-Y229</f>
        <v>-3.7646627737627805</v>
      </c>
    </row>
    <row r="230" spans="1:26" x14ac:dyDescent="0.75">
      <c r="A230" s="1">
        <v>45550</v>
      </c>
      <c r="B230">
        <v>0.117693039636561</v>
      </c>
      <c r="C230">
        <v>-4.9785719459030604</v>
      </c>
      <c r="D230">
        <v>5.2313182407100998</v>
      </c>
      <c r="E230" t="s">
        <v>19</v>
      </c>
      <c r="F230">
        <v>-4.8608789062664997</v>
      </c>
      <c r="G230">
        <v>4.9904166666666701</v>
      </c>
      <c r="H230">
        <v>4.9766666666666701</v>
      </c>
      <c r="I230">
        <v>0.23670813159808099</v>
      </c>
      <c r="J230">
        <v>148.29661333467101</v>
      </c>
      <c r="K230">
        <v>25.726120124132901</v>
      </c>
      <c r="L230">
        <v>0.30644247876022002</v>
      </c>
      <c r="M230">
        <v>12812.8273921155</v>
      </c>
      <c r="N230">
        <f t="shared" si="21"/>
        <v>2222.7367787250828</v>
      </c>
      <c r="O230">
        <v>26476.630164883001</v>
      </c>
      <c r="P230">
        <f t="shared" si="22"/>
        <v>3542.8242486166055</v>
      </c>
      <c r="Q230">
        <f t="shared" si="23"/>
        <v>2.0444151427326589</v>
      </c>
      <c r="R230">
        <f t="shared" si="24"/>
        <v>7243.0035419122423</v>
      </c>
      <c r="T230">
        <f t="shared" si="25"/>
        <v>-4.3204166666666701</v>
      </c>
      <c r="U230">
        <f t="shared" si="26"/>
        <v>2.1744475789335731E-2</v>
      </c>
      <c r="V230">
        <f t="shared" si="27"/>
        <v>-9.3945195608175991E-2</v>
      </c>
      <c r="W230">
        <f>F230-V230</f>
        <v>-4.7669337106583241</v>
      </c>
      <c r="Y230">
        <f>(1-H230)*U230</f>
        <v>-8.6470532055591839E-2</v>
      </c>
      <c r="Z230">
        <f>C230-Y230</f>
        <v>-4.8921014138474685</v>
      </c>
    </row>
    <row r="231" spans="1:26" x14ac:dyDescent="0.75">
      <c r="A231" s="1">
        <v>45551</v>
      </c>
      <c r="B231">
        <v>6.3029391688003505E-2</v>
      </c>
      <c r="C231">
        <v>-4.9653139950881</v>
      </c>
      <c r="D231">
        <v>4.7518132448491803</v>
      </c>
      <c r="E231" t="s">
        <v>19</v>
      </c>
      <c r="F231">
        <v>-4.9022846034001004</v>
      </c>
      <c r="G231">
        <v>5.0070833333333304</v>
      </c>
      <c r="H231">
        <v>5.0093333333333296</v>
      </c>
      <c r="I231">
        <v>0.26051007314135799</v>
      </c>
      <c r="J231">
        <v>163.38214989431401</v>
      </c>
      <c r="K231">
        <v>26.260397886280199</v>
      </c>
      <c r="L231">
        <v>0.32186308025591898</v>
      </c>
      <c r="M231">
        <v>14116.2177508688</v>
      </c>
      <c r="N231">
        <f t="shared" si="21"/>
        <v>2268.8983773746095</v>
      </c>
      <c r="O231">
        <v>27808.970134111401</v>
      </c>
      <c r="P231">
        <f t="shared" si="22"/>
        <v>4096.6002009819786</v>
      </c>
      <c r="Q231">
        <f t="shared" si="23"/>
        <v>1.948538191790421</v>
      </c>
      <c r="R231">
        <f t="shared" si="24"/>
        <v>7982.3819481096998</v>
      </c>
      <c r="T231">
        <f t="shared" si="25"/>
        <v>-4.3370833333333305</v>
      </c>
      <c r="U231">
        <f t="shared" si="26"/>
        <v>2.3288210484494788E-2</v>
      </c>
      <c r="V231">
        <f t="shared" si="27"/>
        <v>-0.10100290955546087</v>
      </c>
      <c r="W231">
        <f>F231-V231</f>
        <v>-4.8012816938446399</v>
      </c>
      <c r="Y231">
        <f>(1-H231)*U231</f>
        <v>-9.3370198569167687E-2</v>
      </c>
      <c r="Z231">
        <f>C231-Y231</f>
        <v>-4.8719437965189325</v>
      </c>
    </row>
    <row r="232" spans="1:26" x14ac:dyDescent="0.75">
      <c r="A232" s="1">
        <v>45554</v>
      </c>
      <c r="B232">
        <v>0.131475881875637</v>
      </c>
      <c r="C232">
        <v>-16.206340855004701</v>
      </c>
      <c r="D232">
        <v>19.1060909558859</v>
      </c>
      <c r="E232" t="s">
        <v>19</v>
      </c>
      <c r="F232">
        <v>-16.074864973128999</v>
      </c>
      <c r="G232">
        <v>5.0541666666666698</v>
      </c>
      <c r="H232">
        <v>5.0262500000000001</v>
      </c>
      <c r="I232">
        <v>0.21403346503662701</v>
      </c>
      <c r="J232">
        <v>133.93920779344299</v>
      </c>
      <c r="K232">
        <v>27.926296635941</v>
      </c>
      <c r="L232">
        <v>0.29112769460659399</v>
      </c>
      <c r="M232">
        <v>11572.3475533535</v>
      </c>
      <c r="N232">
        <f t="shared" si="21"/>
        <v>2412.8320293453025</v>
      </c>
      <c r="O232">
        <v>25153.4328140098</v>
      </c>
      <c r="P232">
        <f t="shared" si="22"/>
        <v>921.55967489428554</v>
      </c>
      <c r="Q232">
        <f t="shared" si="23"/>
        <v>2.1495251071249388</v>
      </c>
      <c r="R232">
        <f t="shared" si="24"/>
        <v>1980.915658899163</v>
      </c>
      <c r="T232">
        <f t="shared" si="25"/>
        <v>-4.3841666666666699</v>
      </c>
      <c r="U232">
        <f t="shared" si="26"/>
        <v>2.2449907854973097E-2</v>
      </c>
      <c r="V232">
        <f t="shared" si="27"/>
        <v>-9.8424137687511293E-2</v>
      </c>
      <c r="W232">
        <f>F232-V232</f>
        <v>-15.976440835441489</v>
      </c>
      <c r="Y232">
        <f>(1-H232)*U232</f>
        <v>-9.0388941501085437E-2</v>
      </c>
      <c r="Z232">
        <f>C232-Y232</f>
        <v>-16.115951913503615</v>
      </c>
    </row>
    <row r="233" spans="1:26" x14ac:dyDescent="0.75">
      <c r="A233" s="1">
        <v>45556</v>
      </c>
      <c r="B233">
        <v>2.9925498377325901E-2</v>
      </c>
      <c r="C233">
        <v>-1.67010198648466</v>
      </c>
      <c r="D233">
        <v>3.0813987011256798</v>
      </c>
      <c r="E233" t="s">
        <v>19</v>
      </c>
      <c r="F233">
        <v>-1.64017648810734</v>
      </c>
      <c r="G233">
        <v>5.2091666666666701</v>
      </c>
      <c r="H233">
        <v>5.1856249999999999</v>
      </c>
      <c r="I233">
        <v>0.15236506518467599</v>
      </c>
      <c r="J233">
        <v>94.989476253149903</v>
      </c>
      <c r="K233">
        <v>29.079207725705601</v>
      </c>
      <c r="L233">
        <v>0.24456235086405301</v>
      </c>
      <c r="M233">
        <v>8207.0907482721504</v>
      </c>
      <c r="N233">
        <f t="shared" si="21"/>
        <v>2512.4435475009641</v>
      </c>
      <c r="O233">
        <v>21130.1871146542</v>
      </c>
      <c r="P233">
        <f t="shared" si="22"/>
        <v>4800.1353978810084</v>
      </c>
      <c r="Q233">
        <f t="shared" si="23"/>
        <v>2.5491799318566759</v>
      </c>
      <c r="R233">
        <f t="shared" si="24"/>
        <v>12236.408826473127</v>
      </c>
      <c r="T233">
        <f t="shared" si="25"/>
        <v>-4.5391666666666701</v>
      </c>
      <c r="U233">
        <f t="shared" si="26"/>
        <v>1.9711778804653034E-2</v>
      </c>
      <c r="V233">
        <f t="shared" si="27"/>
        <v>-8.9475049290787631E-2</v>
      </c>
      <c r="W233">
        <f>F233-V233</f>
        <v>-1.5507014388165523</v>
      </c>
      <c r="Y233">
        <f>(1-H233)*U233</f>
        <v>-8.250611415922586E-2</v>
      </c>
      <c r="Z233">
        <f>C233-Y233</f>
        <v>-1.5875958723254342</v>
      </c>
    </row>
    <row r="234" spans="1:26" x14ac:dyDescent="0.75">
      <c r="A234" s="1">
        <v>45557</v>
      </c>
      <c r="B234">
        <v>3.2197257598452801E-2</v>
      </c>
      <c r="C234">
        <v>-1.4494441012919601</v>
      </c>
      <c r="D234">
        <v>3.70080699067677</v>
      </c>
      <c r="E234" t="s">
        <v>19</v>
      </c>
      <c r="F234">
        <v>-1.41724684369351</v>
      </c>
      <c r="G234">
        <v>5.48708333333333</v>
      </c>
      <c r="H234">
        <v>5.45</v>
      </c>
      <c r="I234">
        <v>0.12025534187431999</v>
      </c>
      <c r="J234">
        <v>74.775173470594396</v>
      </c>
      <c r="K234">
        <v>29.659862385946699</v>
      </c>
      <c r="L234">
        <v>0.216586032811972</v>
      </c>
      <c r="M234">
        <v>6460.5749878593597</v>
      </c>
      <c r="N234">
        <f t="shared" si="21"/>
        <v>2562.6121101457948</v>
      </c>
      <c r="O234">
        <v>18713.033234954401</v>
      </c>
      <c r="P234">
        <f t="shared" si="22"/>
        <v>3539.5315933708371</v>
      </c>
      <c r="Q234">
        <f t="shared" si="23"/>
        <v>2.870930013008115</v>
      </c>
      <c r="R234">
        <f t="shared" si="24"/>
        <v>10161.747483398771</v>
      </c>
      <c r="T234">
        <f t="shared" si="25"/>
        <v>-4.8170833333333301</v>
      </c>
      <c r="U234">
        <f t="shared" si="26"/>
        <v>1.7852139192071289E-2</v>
      </c>
      <c r="V234">
        <f t="shared" si="27"/>
        <v>-8.5995242166473349E-2</v>
      </c>
      <c r="W234">
        <f>F234-V234</f>
        <v>-1.3312516015270366</v>
      </c>
      <c r="Y234">
        <f>(1-H234)*U234</f>
        <v>-7.9442019404717235E-2</v>
      </c>
      <c r="Z234">
        <f>C234-Y234</f>
        <v>-1.3700020818872429</v>
      </c>
    </row>
    <row r="235" spans="1:26" x14ac:dyDescent="0.75">
      <c r="A235" s="1">
        <v>45558</v>
      </c>
      <c r="B235">
        <v>2.83194613024862E-2</v>
      </c>
      <c r="C235">
        <v>-1.4070407296327401</v>
      </c>
      <c r="D235">
        <v>4.84463004876228</v>
      </c>
      <c r="E235" t="s">
        <v>19</v>
      </c>
      <c r="F235">
        <v>-1.3787212683302501</v>
      </c>
      <c r="G235">
        <v>5.58958333333333</v>
      </c>
      <c r="H235">
        <v>5.5818750000000001</v>
      </c>
      <c r="I235">
        <v>9.0359069960564295E-2</v>
      </c>
      <c r="J235">
        <v>56.006968009235202</v>
      </c>
      <c r="K235">
        <v>30.236881090866401</v>
      </c>
      <c r="L235">
        <v>0.187120769934221</v>
      </c>
      <c r="M235">
        <v>4839.0020359979198</v>
      </c>
      <c r="N235">
        <f t="shared" si="21"/>
        <v>2612.4665262508574</v>
      </c>
      <c r="O235">
        <v>16167.234522316699</v>
      </c>
      <c r="P235">
        <f t="shared" si="22"/>
        <v>2336.0017280396887</v>
      </c>
      <c r="Q235">
        <f t="shared" si="23"/>
        <v>3.312442242205309</v>
      </c>
      <c r="R235">
        <f t="shared" si="24"/>
        <v>7737.8708018232628</v>
      </c>
      <c r="T235">
        <f t="shared" si="25"/>
        <v>-4.9195833333333301</v>
      </c>
      <c r="U235">
        <f t="shared" si="26"/>
        <v>1.5773657834477851E-2</v>
      </c>
      <c r="V235">
        <f t="shared" si="27"/>
        <v>-7.759982418819994E-2</v>
      </c>
      <c r="W235">
        <f>F235-V235</f>
        <v>-1.3011214441420502</v>
      </c>
      <c r="Y235">
        <f>(1-H235)*U235</f>
        <v>-7.2272928490348207E-2</v>
      </c>
      <c r="Z235">
        <f>C235-Y235</f>
        <v>-1.3347678011423918</v>
      </c>
    </row>
    <row r="236" spans="1:26" x14ac:dyDescent="0.75">
      <c r="A236" s="1">
        <v>45559</v>
      </c>
      <c r="B236">
        <v>2.9181867059670501E-2</v>
      </c>
      <c r="C236">
        <v>-1.1879150127909801</v>
      </c>
      <c r="D236">
        <v>5.6454371793677502</v>
      </c>
      <c r="E236" t="s">
        <v>19</v>
      </c>
      <c r="F236">
        <v>-1.1587331457313099</v>
      </c>
      <c r="G236">
        <v>5.6645833333333302</v>
      </c>
      <c r="H236">
        <v>5.649375</v>
      </c>
      <c r="I236">
        <v>6.6921144296834004E-2</v>
      </c>
      <c r="J236">
        <v>41.342241926024201</v>
      </c>
      <c r="K236">
        <v>30.809596947374001</v>
      </c>
      <c r="L236">
        <v>0.16036487185204601</v>
      </c>
      <c r="M236">
        <v>3571.9697024084899</v>
      </c>
      <c r="N236">
        <f t="shared" si="21"/>
        <v>2661.9491762531138</v>
      </c>
      <c r="O236">
        <v>13855.524928016799</v>
      </c>
      <c r="P236">
        <f t="shared" si="22"/>
        <v>1718.0011293116477</v>
      </c>
      <c r="Q236">
        <f t="shared" si="23"/>
        <v>3.8523117386016228</v>
      </c>
      <c r="R236">
        <f t="shared" si="24"/>
        <v>6618.2759173781051</v>
      </c>
      <c r="T236">
        <f t="shared" si="25"/>
        <v>-4.9945833333333303</v>
      </c>
      <c r="U236">
        <f t="shared" si="26"/>
        <v>1.3820009162702878E-2</v>
      </c>
      <c r="V236">
        <f t="shared" si="27"/>
        <v>-6.9025187430549709E-2</v>
      </c>
      <c r="W236">
        <f>F236-V236</f>
        <v>-1.0897079583007603</v>
      </c>
      <c r="Y236">
        <f>(1-H236)*U236</f>
        <v>-6.4254405100841697E-2</v>
      </c>
      <c r="Z236">
        <f>C236-Y236</f>
        <v>-1.1236606076901383</v>
      </c>
    </row>
    <row r="237" spans="1:26" x14ac:dyDescent="0.75">
      <c r="A237" s="1">
        <v>45560</v>
      </c>
      <c r="B237">
        <v>3.0436749516307999E-2</v>
      </c>
      <c r="C237">
        <v>-2.2042779314777401</v>
      </c>
      <c r="D237">
        <v>11.964847393976999</v>
      </c>
      <c r="E237" t="s">
        <v>19</v>
      </c>
      <c r="F237">
        <v>-2.1738411819614298</v>
      </c>
      <c r="G237">
        <v>5.5091666666666699</v>
      </c>
      <c r="H237">
        <v>5.5425000000000004</v>
      </c>
      <c r="I237">
        <v>5.2965245172914698E-2</v>
      </c>
      <c r="J237">
        <v>32.632326062001901</v>
      </c>
      <c r="K237">
        <v>31.3780895340809</v>
      </c>
      <c r="L237">
        <v>0.14258860918065</v>
      </c>
      <c r="M237">
        <v>2819.4329717569699</v>
      </c>
      <c r="N237">
        <f t="shared" si="21"/>
        <v>2711.06693574459</v>
      </c>
      <c r="O237">
        <v>12319.6558332082</v>
      </c>
      <c r="P237">
        <f t="shared" si="22"/>
        <v>720.75796700815965</v>
      </c>
      <c r="Q237">
        <f t="shared" si="23"/>
        <v>4.3208800672178125</v>
      </c>
      <c r="R237">
        <f t="shared" si="24"/>
        <v>3114.3087329339905</v>
      </c>
      <c r="T237">
        <f t="shared" si="25"/>
        <v>-4.8391666666666699</v>
      </c>
      <c r="U237">
        <f t="shared" si="26"/>
        <v>1.2548679405907369E-2</v>
      </c>
      <c r="V237">
        <f t="shared" si="27"/>
        <v>-6.072515109175345E-2</v>
      </c>
      <c r="W237">
        <f>F237-V237</f>
        <v>-2.1131160308696764</v>
      </c>
      <c r="Y237">
        <f>(1-H237)*U237</f>
        <v>-5.7002376201334228E-2</v>
      </c>
      <c r="Z237">
        <f>C237-Y237</f>
        <v>-2.1472755552764058</v>
      </c>
    </row>
    <row r="238" spans="1:26" x14ac:dyDescent="0.75">
      <c r="A238" s="1">
        <v>45562</v>
      </c>
      <c r="B238">
        <v>0.188950626581741</v>
      </c>
      <c r="C238">
        <v>-8.1608816947726108</v>
      </c>
      <c r="D238">
        <v>4.6654052341324199</v>
      </c>
      <c r="E238" t="s">
        <v>19</v>
      </c>
      <c r="F238">
        <v>-7.9719310681908704</v>
      </c>
      <c r="G238">
        <v>4.2833333333333297</v>
      </c>
      <c r="H238">
        <v>4.3656249999999996</v>
      </c>
      <c r="I238">
        <v>0.30779397452734297</v>
      </c>
      <c r="J238">
        <v>193.421993694826</v>
      </c>
      <c r="K238">
        <v>31.524898445990601</v>
      </c>
      <c r="L238">
        <v>0.349407833465263</v>
      </c>
      <c r="M238">
        <v>16711.660255233</v>
      </c>
      <c r="N238">
        <f t="shared" si="21"/>
        <v>2723.7512257335879</v>
      </c>
      <c r="O238">
        <v>30188.836811398702</v>
      </c>
      <c r="P238">
        <f t="shared" si="22"/>
        <v>4529.5498906235607</v>
      </c>
      <c r="Q238">
        <f t="shared" si="23"/>
        <v>1.798511025140608</v>
      </c>
      <c r="R238">
        <f t="shared" si="24"/>
        <v>8146.445417210909</v>
      </c>
      <c r="T238">
        <f t="shared" si="25"/>
        <v>-3.6133333333333297</v>
      </c>
      <c r="U238">
        <f t="shared" si="26"/>
        <v>3.0288957784071906E-2</v>
      </c>
      <c r="V238">
        <f t="shared" si="27"/>
        <v>-0.10944410079311305</v>
      </c>
      <c r="W238">
        <f>F238-V238</f>
        <v>-7.8624869673977571</v>
      </c>
      <c r="Y238">
        <f>(1-H238)*U238</f>
        <v>-0.101941273542017</v>
      </c>
      <c r="Z238">
        <f>C238-Y238</f>
        <v>-8.0589404212305933</v>
      </c>
    </row>
    <row r="239" spans="1:26" x14ac:dyDescent="0.75">
      <c r="A239" s="1">
        <v>45563</v>
      </c>
      <c r="B239">
        <v>7.4091481133808507E-2</v>
      </c>
      <c r="C239">
        <v>-9.393221762964</v>
      </c>
      <c r="D239">
        <v>6.4120564811470002</v>
      </c>
      <c r="E239" t="s">
        <v>19</v>
      </c>
      <c r="F239">
        <v>-9.3191302818301907</v>
      </c>
      <c r="G239">
        <v>4.1229166666666703</v>
      </c>
      <c r="H239">
        <v>4.0656249999999998</v>
      </c>
      <c r="I239">
        <v>0.29903997974662599</v>
      </c>
      <c r="J239">
        <v>187.83610195015501</v>
      </c>
      <c r="K239">
        <v>31.455240847997999</v>
      </c>
      <c r="L239">
        <v>0.34535491964440101</v>
      </c>
      <c r="M239">
        <v>16229.039208493399</v>
      </c>
      <c r="N239">
        <f t="shared" si="21"/>
        <v>2717.7328092670273</v>
      </c>
      <c r="O239">
        <v>29838.665057276299</v>
      </c>
      <c r="P239">
        <f t="shared" si="22"/>
        <v>3257.4674913588865</v>
      </c>
      <c r="Q239">
        <f t="shared" si="23"/>
        <v>1.8187967328362833</v>
      </c>
      <c r="R239">
        <f t="shared" si="24"/>
        <v>5924.6712306039462</v>
      </c>
      <c r="T239">
        <f t="shared" si="25"/>
        <v>-3.4529166666666704</v>
      </c>
      <c r="U239">
        <f t="shared" si="26"/>
        <v>2.9884953719142852E-2</v>
      </c>
      <c r="V239">
        <f t="shared" si="27"/>
        <v>-0.10319025477939045</v>
      </c>
      <c r="W239">
        <f>F239-V239</f>
        <v>-9.2159400270508005</v>
      </c>
      <c r="Y239">
        <f>(1-H239)*U239</f>
        <v>-9.1616061245247293E-2</v>
      </c>
      <c r="Z239">
        <f>C239-Y239</f>
        <v>-9.3016057017187528</v>
      </c>
    </row>
    <row r="240" spans="1:26" x14ac:dyDescent="0.75">
      <c r="A240" s="1">
        <v>45564</v>
      </c>
      <c r="B240">
        <v>6.79769921185151E-2</v>
      </c>
      <c r="C240">
        <v>-3.0502017950812501</v>
      </c>
      <c r="D240">
        <v>2.4210924642993801</v>
      </c>
      <c r="E240" t="s">
        <v>19</v>
      </c>
      <c r="F240">
        <v>-2.9822248029627301</v>
      </c>
      <c r="G240">
        <v>4.1829166666666699</v>
      </c>
      <c r="H240">
        <v>4.1581250000000001</v>
      </c>
      <c r="I240">
        <v>0.26086528218511001</v>
      </c>
      <c r="J240">
        <v>163.610641348358</v>
      </c>
      <c r="K240">
        <v>31.389492779922499</v>
      </c>
      <c r="L240">
        <v>0.32194621834841203</v>
      </c>
      <c r="M240">
        <v>14135.959412498099</v>
      </c>
      <c r="N240">
        <f t="shared" si="21"/>
        <v>2712.0521761853042</v>
      </c>
      <c r="O240">
        <v>27816.153265302801</v>
      </c>
      <c r="P240">
        <f t="shared" si="22"/>
        <v>8042.3641694108528</v>
      </c>
      <c r="Q240">
        <f t="shared" si="23"/>
        <v>1.9481030890257307</v>
      </c>
      <c r="R240">
        <f t="shared" si="24"/>
        <v>15667.354481499138</v>
      </c>
      <c r="T240">
        <f t="shared" si="25"/>
        <v>-3.51291666666667</v>
      </c>
      <c r="U240">
        <f t="shared" si="26"/>
        <v>2.7843004730736642E-2</v>
      </c>
      <c r="V240">
        <f t="shared" si="27"/>
        <v>-9.7810155368683691E-2</v>
      </c>
      <c r="W240">
        <f>F240-V240</f>
        <v>-2.8844146475940464</v>
      </c>
      <c r="Y240">
        <f>(1-H240)*U240</f>
        <v>-8.7931689315257661E-2</v>
      </c>
      <c r="Z240">
        <f>C240-Y240</f>
        <v>-2.9622701057659926</v>
      </c>
    </row>
    <row r="241" spans="1:26" x14ac:dyDescent="0.75">
      <c r="A241" s="1">
        <v>45566</v>
      </c>
      <c r="B241">
        <v>0.113514170723262</v>
      </c>
      <c r="C241">
        <v>-15.8559808323295</v>
      </c>
      <c r="D241">
        <v>15.300078161635801</v>
      </c>
      <c r="E241" t="s">
        <v>19</v>
      </c>
      <c r="F241">
        <v>-15.742466661606199</v>
      </c>
      <c r="G241">
        <v>4.2404166666666701</v>
      </c>
      <c r="H241">
        <v>4.2137500000000001</v>
      </c>
      <c r="I241">
        <v>0.21107143259741101</v>
      </c>
      <c r="J241">
        <v>132.06462107284199</v>
      </c>
      <c r="K241">
        <v>31.274796906573201</v>
      </c>
      <c r="L241">
        <v>0.28908290451156798</v>
      </c>
      <c r="M241">
        <v>11410.383260693499</v>
      </c>
      <c r="N241">
        <f t="shared" si="21"/>
        <v>2702.1424527279246</v>
      </c>
      <c r="O241">
        <v>24976.7629497995</v>
      </c>
      <c r="P241">
        <f t="shared" si="22"/>
        <v>1142.7218789443348</v>
      </c>
      <c r="Q241">
        <f t="shared" si="23"/>
        <v>2.1643855320666017</v>
      </c>
      <c r="R241">
        <f t="shared" si="24"/>
        <v>2473.2907019630807</v>
      </c>
      <c r="T241">
        <f t="shared" si="25"/>
        <v>-3.5704166666666701</v>
      </c>
      <c r="U241">
        <f t="shared" si="26"/>
        <v>2.4969141705062696E-2</v>
      </c>
      <c r="V241">
        <f t="shared" si="27"/>
        <v>-8.9150239696117684E-2</v>
      </c>
      <c r="W241">
        <f>F241-V241</f>
        <v>-15.653316421910082</v>
      </c>
      <c r="Y241">
        <f>(1-H241)*U241</f>
        <v>-8.0244579154645237E-2</v>
      </c>
      <c r="Z241">
        <f>C241-Y241</f>
        <v>-15.775736253174856</v>
      </c>
    </row>
    <row r="242" spans="1:26" x14ac:dyDescent="0.75">
      <c r="A242" s="1">
        <v>45568</v>
      </c>
      <c r="B242">
        <v>3.3255166877881402E-2</v>
      </c>
      <c r="C242">
        <v>-2.0241356029850799</v>
      </c>
      <c r="D242">
        <v>2.8252502896085501</v>
      </c>
      <c r="E242" t="s">
        <v>19</v>
      </c>
      <c r="F242">
        <v>-1.9908804361071999</v>
      </c>
      <c r="G242">
        <v>4.3554166666666703</v>
      </c>
      <c r="H242">
        <v>4.3106249999999999</v>
      </c>
      <c r="I242">
        <v>0.15770494328867399</v>
      </c>
      <c r="J242">
        <v>98.356846214089501</v>
      </c>
      <c r="K242">
        <v>31.217722443626801</v>
      </c>
      <c r="L242">
        <v>0.24887829397613001</v>
      </c>
      <c r="M242">
        <v>8498.0315128973307</v>
      </c>
      <c r="N242">
        <f t="shared" si="21"/>
        <v>2697.2112191293559</v>
      </c>
      <c r="O242">
        <v>21503.084599537699</v>
      </c>
      <c r="P242">
        <f t="shared" si="22"/>
        <v>5327.7259275184169</v>
      </c>
      <c r="Q242">
        <f t="shared" si="23"/>
        <v>2.5059492245552759</v>
      </c>
      <c r="R242">
        <f t="shared" si="24"/>
        <v>13351.010656707815</v>
      </c>
      <c r="T242">
        <f t="shared" si="25"/>
        <v>-3.6854166666666703</v>
      </c>
      <c r="U242">
        <f t="shared" si="26"/>
        <v>2.152646344706384E-2</v>
      </c>
      <c r="V242">
        <f t="shared" si="27"/>
        <v>-7.9333987162199943E-2</v>
      </c>
      <c r="W242">
        <f>F242-V242</f>
        <v>-1.911546448945</v>
      </c>
      <c r="Y242">
        <f>(1-H242)*U242</f>
        <v>-7.1266048049435718E-2</v>
      </c>
      <c r="Z242">
        <f>C242-Y242</f>
        <v>-1.9528695549356441</v>
      </c>
    </row>
    <row r="243" spans="1:26" x14ac:dyDescent="0.75">
      <c r="A243" s="1">
        <v>45569</v>
      </c>
      <c r="B243">
        <v>2.8852404449536399E-2</v>
      </c>
      <c r="C243">
        <v>-2.4182836436963702</v>
      </c>
      <c r="D243">
        <v>4.1218765715692598</v>
      </c>
      <c r="E243" t="s">
        <v>19</v>
      </c>
      <c r="F243">
        <v>-2.3894312392468402</v>
      </c>
      <c r="G243">
        <v>4.4358333333333304</v>
      </c>
      <c r="H243">
        <v>4.4117647058823497</v>
      </c>
      <c r="I243">
        <v>0.13001805807807401</v>
      </c>
      <c r="J243">
        <v>80.913576872166303</v>
      </c>
      <c r="K243">
        <v>31.157008918449101</v>
      </c>
      <c r="L243">
        <v>0.225559262999147</v>
      </c>
      <c r="M243">
        <v>6990.9330417551701</v>
      </c>
      <c r="N243">
        <f t="shared" si="21"/>
        <v>2691.9655705540026</v>
      </c>
      <c r="O243">
        <v>19488.3203231263</v>
      </c>
      <c r="P243">
        <f t="shared" si="22"/>
        <v>3309.6149264350156</v>
      </c>
      <c r="Q243">
        <f t="shared" si="23"/>
        <v>2.7590340352811298</v>
      </c>
      <c r="R243">
        <f t="shared" si="24"/>
        <v>9131.34022570866</v>
      </c>
      <c r="T243">
        <f t="shared" si="25"/>
        <v>-3.7658333333333305</v>
      </c>
      <c r="U243">
        <f t="shared" si="26"/>
        <v>1.9513826477894153E-2</v>
      </c>
      <c r="V243">
        <f t="shared" si="27"/>
        <v>-7.3485818211336346E-2</v>
      </c>
      <c r="W243">
        <f>F243-V243</f>
        <v>-2.3159454210355039</v>
      </c>
      <c r="Y243">
        <f>(1-H243)*U243</f>
        <v>-6.6576584453991755E-2</v>
      </c>
      <c r="Z243">
        <f>C243-Y243</f>
        <v>-2.3517070592423783</v>
      </c>
    </row>
    <row r="244" spans="1:26" x14ac:dyDescent="0.75">
      <c r="A244" s="1">
        <v>45570</v>
      </c>
      <c r="B244">
        <v>3.5501383497665101E-2</v>
      </c>
      <c r="C244">
        <v>-1.94901454622125</v>
      </c>
      <c r="D244">
        <v>4.0001551617113797</v>
      </c>
      <c r="E244" t="s">
        <v>19</v>
      </c>
      <c r="F244">
        <v>-1.91351316272358</v>
      </c>
      <c r="G244">
        <v>4.5145833333333298</v>
      </c>
      <c r="H244">
        <v>4.4994117647058802</v>
      </c>
      <c r="I244">
        <v>0.109560907606663</v>
      </c>
      <c r="J244">
        <v>68.051930972285405</v>
      </c>
      <c r="K244">
        <v>31.06657241165</v>
      </c>
      <c r="L244">
        <v>0.20669412968649101</v>
      </c>
      <c r="M244">
        <v>5879.6868360054596</v>
      </c>
      <c r="N244">
        <f t="shared" si="21"/>
        <v>2684.15185636656</v>
      </c>
      <c r="O244">
        <v>17858.3728049128</v>
      </c>
      <c r="P244">
        <f t="shared" si="22"/>
        <v>3125.0940171257598</v>
      </c>
      <c r="Q244">
        <f t="shared" si="23"/>
        <v>3.0050845044553904</v>
      </c>
      <c r="R244">
        <f t="shared" si="24"/>
        <v>9391.1716058308702</v>
      </c>
      <c r="T244">
        <f t="shared" si="25"/>
        <v>-3.8445833333333299</v>
      </c>
      <c r="U244">
        <f t="shared" si="26"/>
        <v>1.7864069062863225E-2</v>
      </c>
      <c r="V244">
        <f t="shared" si="27"/>
        <v>-6.8679902184599517E-2</v>
      </c>
      <c r="W244">
        <f>F244-V244</f>
        <v>-1.8448332605389806</v>
      </c>
      <c r="Y244">
        <f>(1-H244)*U244</f>
        <v>-6.2513733444101924E-2</v>
      </c>
      <c r="Z244">
        <f>C244-Y244</f>
        <v>-1.8865008127771481</v>
      </c>
    </row>
    <row r="245" spans="1:26" x14ac:dyDescent="0.75">
      <c r="A245" s="1">
        <v>45571</v>
      </c>
      <c r="B245">
        <v>0.111519638038192</v>
      </c>
      <c r="C245">
        <v>-1.46758858842518</v>
      </c>
      <c r="D245">
        <v>2.8220081419832699</v>
      </c>
      <c r="E245" t="s">
        <v>19</v>
      </c>
      <c r="F245">
        <v>-1.35606895038699</v>
      </c>
      <c r="G245">
        <v>4.76833333333333</v>
      </c>
      <c r="H245">
        <v>4.7447058823529398</v>
      </c>
      <c r="I245">
        <v>0.107867059521998</v>
      </c>
      <c r="J245">
        <v>66.9904222699315</v>
      </c>
      <c r="K245">
        <v>30.9434149665212</v>
      </c>
      <c r="L245">
        <v>0.20490634048519299</v>
      </c>
      <c r="M245">
        <v>5787.9724841220795</v>
      </c>
      <c r="N245">
        <f t="shared" si="21"/>
        <v>2673.511053107432</v>
      </c>
      <c r="O245">
        <v>17703.907817920699</v>
      </c>
      <c r="P245">
        <f t="shared" si="22"/>
        <v>4391.4598573181438</v>
      </c>
      <c r="Q245">
        <f t="shared" si="23"/>
        <v>3.0308781601032821</v>
      </c>
      <c r="R245">
        <f t="shared" si="24"/>
        <v>13309.979772515837</v>
      </c>
      <c r="T245">
        <f t="shared" si="25"/>
        <v>-4.0983333333333301</v>
      </c>
      <c r="U245">
        <f t="shared" si="26"/>
        <v>1.7641824658608699E-2</v>
      </c>
      <c r="V245">
        <f t="shared" si="27"/>
        <v>-7.230207805919793E-2</v>
      </c>
      <c r="W245">
        <f>F245-V245</f>
        <v>-1.2837668723277922</v>
      </c>
      <c r="Y245">
        <f>(1-H245)*U245</f>
        <v>-6.6063444574531144E-2</v>
      </c>
      <c r="Z245">
        <f>C245-Y245</f>
        <v>-1.4015251438506489</v>
      </c>
    </row>
    <row r="246" spans="1:26" x14ac:dyDescent="0.75">
      <c r="A246" s="1">
        <v>45572</v>
      </c>
      <c r="B246">
        <v>9.2375821107583606E-2</v>
      </c>
      <c r="C246">
        <v>-2.00756201484189</v>
      </c>
      <c r="D246">
        <v>2.5123521392836299</v>
      </c>
      <c r="E246" t="s">
        <v>19</v>
      </c>
      <c r="F246">
        <v>-1.91518619373431</v>
      </c>
      <c r="G246">
        <v>4.7304166666666703</v>
      </c>
      <c r="H246">
        <v>4.7294117647058798</v>
      </c>
      <c r="I246">
        <v>0.163843307838131</v>
      </c>
      <c r="J246">
        <v>102.230003742557</v>
      </c>
      <c r="K246">
        <v>30.7773808591513</v>
      </c>
      <c r="L246">
        <v>0.25371464769999602</v>
      </c>
      <c r="M246">
        <v>8832.6723233569592</v>
      </c>
      <c r="N246">
        <f t="shared" si="21"/>
        <v>2659.1657062306726</v>
      </c>
      <c r="O246">
        <v>21920.945561279699</v>
      </c>
      <c r="P246">
        <f t="shared" si="22"/>
        <v>6107.687554210117</v>
      </c>
      <c r="Q246">
        <f t="shared" si="23"/>
        <v>2.4592582006759294</v>
      </c>
      <c r="R246">
        <f t="shared" si="24"/>
        <v>15020.38070485754</v>
      </c>
      <c r="T246">
        <f t="shared" si="25"/>
        <v>-4.0604166666666703</v>
      </c>
      <c r="U246">
        <f t="shared" si="26"/>
        <v>2.16257545100372E-2</v>
      </c>
      <c r="V246">
        <f t="shared" si="27"/>
        <v>-8.7809574041796956E-2</v>
      </c>
      <c r="W246">
        <f>F246-V246</f>
        <v>-1.827376619692513</v>
      </c>
      <c r="Y246">
        <f>(1-H246)*U246</f>
        <v>-8.0651343290373975E-2</v>
      </c>
      <c r="Z246">
        <f>C246-Y246</f>
        <v>-1.9269106715515161</v>
      </c>
    </row>
    <row r="247" spans="1:26" x14ac:dyDescent="0.75">
      <c r="A247" s="1">
        <v>45573</v>
      </c>
      <c r="B247">
        <v>3.9107151391264798E-2</v>
      </c>
      <c r="C247">
        <v>-6.5993813264003203</v>
      </c>
      <c r="D247">
        <v>8.0396302567167499</v>
      </c>
      <c r="E247" t="s">
        <v>19</v>
      </c>
      <c r="F247">
        <v>-6.5602741750090603</v>
      </c>
      <c r="G247">
        <v>4.6933333333333298</v>
      </c>
      <c r="H247">
        <v>4.66</v>
      </c>
      <c r="I247">
        <v>0.18800926526095499</v>
      </c>
      <c r="J247">
        <v>117.483683800989</v>
      </c>
      <c r="K247">
        <v>30.563577948518599</v>
      </c>
      <c r="L247">
        <v>0.27245260279729</v>
      </c>
      <c r="M247">
        <v>10150.5902804055</v>
      </c>
      <c r="N247">
        <f t="shared" si="21"/>
        <v>2640.6931347520072</v>
      </c>
      <c r="O247">
        <v>23539.904881685899</v>
      </c>
      <c r="P247">
        <f t="shared" si="22"/>
        <v>2049.5884625307931</v>
      </c>
      <c r="Q247">
        <f t="shared" si="23"/>
        <v>2.2935454057780666</v>
      </c>
      <c r="R247">
        <f t="shared" si="24"/>
        <v>4700.8242019732315</v>
      </c>
      <c r="T247">
        <f t="shared" si="25"/>
        <v>-4.0233333333333299</v>
      </c>
      <c r="U247">
        <f t="shared" si="26"/>
        <v>2.3027171191809682E-2</v>
      </c>
      <c r="V247">
        <f t="shared" si="27"/>
        <v>-9.2645985428380873E-2</v>
      </c>
      <c r="W247">
        <f>F247-V247</f>
        <v>-6.4676281895806795</v>
      </c>
      <c r="Y247">
        <f>(1-H247)*U247</f>
        <v>-8.4279446562023436E-2</v>
      </c>
      <c r="Z247">
        <f>C247-Y247</f>
        <v>-6.5151018798382969</v>
      </c>
    </row>
    <row r="248" spans="1:26" x14ac:dyDescent="0.75">
      <c r="A248" s="1">
        <v>45575</v>
      </c>
      <c r="B248">
        <v>0.13135934899557999</v>
      </c>
      <c r="C248">
        <v>-3.08204611364746</v>
      </c>
      <c r="D248">
        <v>0.92896610145459801</v>
      </c>
      <c r="E248" t="s">
        <v>19</v>
      </c>
      <c r="F248">
        <v>-2.9506867646518802</v>
      </c>
      <c r="G248">
        <v>4.1341666666666699</v>
      </c>
      <c r="H248">
        <v>4.16</v>
      </c>
      <c r="I248">
        <v>0.607211713514336</v>
      </c>
      <c r="J248">
        <v>384.44681867167401</v>
      </c>
      <c r="K248">
        <v>30.006482148204402</v>
      </c>
      <c r="L248">
        <v>0.49568169231165099</v>
      </c>
      <c r="M248">
        <v>33216.205133232601</v>
      </c>
      <c r="N248">
        <f t="shared" si="21"/>
        <v>2592.5600576048605</v>
      </c>
      <c r="O248">
        <v>42826.8982157266</v>
      </c>
      <c r="P248">
        <f t="shared" si="22"/>
        <v>32271.176207686192</v>
      </c>
      <c r="Q248">
        <f t="shared" si="23"/>
        <v>1.2773009989470112</v>
      </c>
      <c r="R248">
        <f t="shared" si="24"/>
        <v>41220.005607272593</v>
      </c>
      <c r="T248">
        <f t="shared" si="25"/>
        <v>-3.4641666666666699</v>
      </c>
      <c r="U248">
        <f t="shared" si="26"/>
        <v>4.0594347921783985E-2</v>
      </c>
      <c r="V248">
        <f t="shared" si="27"/>
        <v>-0.1406255869257135</v>
      </c>
      <c r="W248">
        <f>F248-V248</f>
        <v>-2.8100611777261668</v>
      </c>
      <c r="Y248">
        <f>(1-H248)*U248</f>
        <v>-0.12827813943283739</v>
      </c>
      <c r="Z248">
        <f>C248-Y248</f>
        <v>-2.9537679742146228</v>
      </c>
    </row>
    <row r="249" spans="1:26" x14ac:dyDescent="0.75">
      <c r="A249" s="1">
        <v>45576</v>
      </c>
      <c r="B249">
        <v>7.2939945192931996E-2</v>
      </c>
      <c r="C249">
        <v>-3.8571853548726902</v>
      </c>
      <c r="D249">
        <v>1.7932360983740001</v>
      </c>
      <c r="E249" t="s">
        <v>19</v>
      </c>
      <c r="F249">
        <v>-3.78424540967975</v>
      </c>
      <c r="G249">
        <v>4.3945833333333297</v>
      </c>
      <c r="H249">
        <v>4.3417647058823503</v>
      </c>
      <c r="I249">
        <v>0.48957000095818398</v>
      </c>
      <c r="J249">
        <v>309.21803737066801</v>
      </c>
      <c r="K249">
        <v>29.669907231042501</v>
      </c>
      <c r="L249">
        <v>0.44407159498737098</v>
      </c>
      <c r="M249">
        <v>26716.438428825699</v>
      </c>
      <c r="N249">
        <f t="shared" si="21"/>
        <v>2563.479984762072</v>
      </c>
      <c r="O249">
        <v>38367.785806908898</v>
      </c>
      <c r="P249">
        <f t="shared" si="22"/>
        <v>14977.085331479198</v>
      </c>
      <c r="Q249">
        <f t="shared" si="23"/>
        <v>1.4223190501826999</v>
      </c>
      <c r="R249">
        <f t="shared" si="24"/>
        <v>21302.193783174742</v>
      </c>
      <c r="T249">
        <f t="shared" si="25"/>
        <v>-3.7245833333333298</v>
      </c>
      <c r="U249">
        <f t="shared" si="26"/>
        <v>3.6046483163292904E-2</v>
      </c>
      <c r="V249">
        <f t="shared" si="27"/>
        <v>-0.13425813041528123</v>
      </c>
      <c r="W249">
        <f>F249-V249</f>
        <v>-3.6499872792644688</v>
      </c>
      <c r="Y249">
        <f>(1-H249)*U249</f>
        <v>-0.12045886520627461</v>
      </c>
      <c r="Z249">
        <f>C249-Y249</f>
        <v>-3.7367264896664154</v>
      </c>
    </row>
    <row r="250" spans="1:26" x14ac:dyDescent="0.75">
      <c r="A250" s="1">
        <v>45577</v>
      </c>
      <c r="B250">
        <v>6.9493948772036004E-2</v>
      </c>
      <c r="C250">
        <v>-5.2552183539512303</v>
      </c>
      <c r="D250">
        <v>3.0257564311568501</v>
      </c>
      <c r="E250" t="s">
        <v>19</v>
      </c>
      <c r="F250">
        <v>-5.1857244051791902</v>
      </c>
      <c r="G250">
        <v>4.7454166666666699</v>
      </c>
      <c r="H250">
        <v>4.6894117647058797</v>
      </c>
      <c r="I250">
        <v>0.40222673915044799</v>
      </c>
      <c r="J250">
        <v>253.49119478782001</v>
      </c>
      <c r="K250">
        <v>29.297020827983701</v>
      </c>
      <c r="L250">
        <v>0.40174785267269603</v>
      </c>
      <c r="M250">
        <v>21901.6392296677</v>
      </c>
      <c r="N250">
        <f t="shared" si="21"/>
        <v>2531.2625995377921</v>
      </c>
      <c r="O250">
        <v>34711.014470920898</v>
      </c>
      <c r="P250">
        <f t="shared" si="22"/>
        <v>8030.2928151935821</v>
      </c>
      <c r="Q250">
        <f t="shared" si="23"/>
        <v>1.5686945079022658</v>
      </c>
      <c r="R250">
        <f t="shared" si="24"/>
        <v>12597.076236041197</v>
      </c>
      <c r="T250">
        <f t="shared" si="25"/>
        <v>-4.07541666666667</v>
      </c>
      <c r="U250">
        <f t="shared" si="26"/>
        <v>3.2272218545887806E-2</v>
      </c>
      <c r="V250">
        <f t="shared" si="27"/>
        <v>-0.13152273733222036</v>
      </c>
      <c r="W250">
        <f>F250-V250</f>
        <v>-5.0542016678469697</v>
      </c>
      <c r="Y250">
        <f>(1-H250)*U250</f>
        <v>-0.11906550277635775</v>
      </c>
      <c r="Z250">
        <f>C250-Y250</f>
        <v>-5.1361528511748729</v>
      </c>
    </row>
    <row r="251" spans="1:26" x14ac:dyDescent="0.75">
      <c r="A251" s="1">
        <v>45578</v>
      </c>
      <c r="B251">
        <v>5.5014264419588003E-2</v>
      </c>
      <c r="C251">
        <v>-4.0408582928302001</v>
      </c>
      <c r="D251">
        <v>2.8575206905133901</v>
      </c>
      <c r="E251" t="s">
        <v>19</v>
      </c>
      <c r="F251">
        <v>-3.98584402841061</v>
      </c>
      <c r="G251">
        <v>4.8654166666666701</v>
      </c>
      <c r="H251">
        <v>4.8270588235294101</v>
      </c>
      <c r="I251">
        <v>0.339660042047357</v>
      </c>
      <c r="J251">
        <v>213.65648016772801</v>
      </c>
      <c r="K251">
        <v>28.891812657886199</v>
      </c>
      <c r="L251">
        <v>0.36850285287291201</v>
      </c>
      <c r="M251">
        <v>18459.919886491702</v>
      </c>
      <c r="N251">
        <f t="shared" si="21"/>
        <v>2496.2526136413676</v>
      </c>
      <c r="O251">
        <v>31838.646488219601</v>
      </c>
      <c r="P251">
        <f t="shared" si="22"/>
        <v>7799.4369789670945</v>
      </c>
      <c r="Q251">
        <f t="shared" si="23"/>
        <v>1.7069891316375432</v>
      </c>
      <c r="R251">
        <f t="shared" si="24"/>
        <v>13313.554155988784</v>
      </c>
      <c r="T251">
        <f t="shared" si="25"/>
        <v>-4.1954166666666701</v>
      </c>
      <c r="U251">
        <f t="shared" si="26"/>
        <v>2.9247434179579937E-2</v>
      </c>
      <c r="V251">
        <f t="shared" si="27"/>
        <v>-0.12270517281424609</v>
      </c>
      <c r="W251">
        <f>F251-V251</f>
        <v>-3.8631388555963637</v>
      </c>
      <c r="Y251">
        <f>(1-H251)*U251</f>
        <v>-0.11193165104255705</v>
      </c>
      <c r="Z251">
        <f>C251-Y251</f>
        <v>-3.9289266417876432</v>
      </c>
    </row>
    <row r="252" spans="1:26" x14ac:dyDescent="0.75">
      <c r="A252" s="1">
        <v>45579</v>
      </c>
      <c r="B252">
        <v>8.3848678201576501E-2</v>
      </c>
      <c r="C252">
        <v>-6.8757277897815596</v>
      </c>
      <c r="D252">
        <v>6.0560277805615099</v>
      </c>
      <c r="E252" t="s">
        <v>19</v>
      </c>
      <c r="F252">
        <v>-6.7918791115799904</v>
      </c>
      <c r="G252">
        <v>5.1154166666666701</v>
      </c>
      <c r="H252">
        <v>5.0535294117647096</v>
      </c>
      <c r="I252">
        <v>0.28485510289202398</v>
      </c>
      <c r="J252">
        <v>178.831316243532</v>
      </c>
      <c r="K252">
        <v>28.4608295382146</v>
      </c>
      <c r="L252">
        <v>0.33679084889504601</v>
      </c>
      <c r="M252">
        <v>15451.0257234412</v>
      </c>
      <c r="N252">
        <f t="shared" si="21"/>
        <v>2459.0156721017415</v>
      </c>
      <c r="O252">
        <v>29098.729344531999</v>
      </c>
      <c r="P252">
        <f t="shared" si="22"/>
        <v>3363.4440394333515</v>
      </c>
      <c r="Q252">
        <f t="shared" si="23"/>
        <v>1.8640574224463651</v>
      </c>
      <c r="R252">
        <f t="shared" si="24"/>
        <v>6269.6528266887235</v>
      </c>
      <c r="T252">
        <f t="shared" si="25"/>
        <v>-4.4454166666666701</v>
      </c>
      <c r="U252">
        <f t="shared" si="26"/>
        <v>2.6383475557041167E-2</v>
      </c>
      <c r="V252">
        <f t="shared" si="27"/>
        <v>-0.11728554196586351</v>
      </c>
      <c r="W252">
        <f>F252-V252</f>
        <v>-6.6745935696141272</v>
      </c>
      <c r="Y252">
        <f>(1-H252)*U252</f>
        <v>-0.10694619415504167</v>
      </c>
      <c r="Z252">
        <f>C252-Y252</f>
        <v>-6.7687815956265176</v>
      </c>
    </row>
    <row r="253" spans="1:26" x14ac:dyDescent="0.75">
      <c r="A253" s="1">
        <v>45580</v>
      </c>
      <c r="B253">
        <v>7.0053973168858599E-2</v>
      </c>
      <c r="C253">
        <v>-4.1311009690160496</v>
      </c>
      <c r="D253">
        <v>4.2649296918352704</v>
      </c>
      <c r="E253" t="s">
        <v>19</v>
      </c>
      <c r="F253">
        <v>-4.0610469958471898</v>
      </c>
      <c r="G253">
        <v>5.0870833333333296</v>
      </c>
      <c r="H253">
        <v>5.0635294117647103</v>
      </c>
      <c r="I253">
        <v>0.24119668224184901</v>
      </c>
      <c r="J253">
        <v>151.14088050181701</v>
      </c>
      <c r="K253">
        <v>28.009523692416899</v>
      </c>
      <c r="L253">
        <v>0.30937538678334098</v>
      </c>
      <c r="M253">
        <v>13058.572075357</v>
      </c>
      <c r="N253">
        <f t="shared" si="21"/>
        <v>2420.0228470248203</v>
      </c>
      <c r="O253">
        <v>26730.033418080598</v>
      </c>
      <c r="P253">
        <f t="shared" si="22"/>
        <v>4387.1821447552993</v>
      </c>
      <c r="Q253">
        <f t="shared" si="23"/>
        <v>2.0254655415968803</v>
      </c>
      <c r="R253">
        <f t="shared" si="24"/>
        <v>8886.0862589109547</v>
      </c>
      <c r="T253">
        <f t="shared" si="25"/>
        <v>-4.4170833333333297</v>
      </c>
      <c r="U253">
        <f t="shared" si="26"/>
        <v>2.3895966604466357E-2</v>
      </c>
      <c r="V253">
        <f t="shared" si="27"/>
        <v>-0.10555047582247819</v>
      </c>
      <c r="W253">
        <f>F253-V253</f>
        <v>-3.9554965200247114</v>
      </c>
      <c r="Y253">
        <f>(1-H253)*U253</f>
        <v>-9.7101963119796339E-2</v>
      </c>
      <c r="Z253">
        <f>C253-Y253</f>
        <v>-4.0339990058962529</v>
      </c>
    </row>
    <row r="254" spans="1:26" x14ac:dyDescent="0.75">
      <c r="A254" s="1">
        <v>45582</v>
      </c>
      <c r="B254">
        <v>2.9638541924059299E-2</v>
      </c>
      <c r="C254">
        <v>-1.68357892915591</v>
      </c>
      <c r="D254">
        <v>3.6305596925758499</v>
      </c>
      <c r="E254" t="s">
        <v>19</v>
      </c>
      <c r="F254">
        <v>-1.6539403872318501</v>
      </c>
      <c r="G254">
        <v>6.3204166666666701</v>
      </c>
      <c r="H254">
        <v>6.2647058823529402</v>
      </c>
      <c r="I254">
        <v>0.17391539237623899</v>
      </c>
      <c r="J254">
        <v>108.583850977342</v>
      </c>
      <c r="K254">
        <v>27.054227117028901</v>
      </c>
      <c r="L254">
        <v>0.26172610105710598</v>
      </c>
      <c r="M254">
        <v>9381.6447244423507</v>
      </c>
      <c r="N254">
        <f t="shared" si="21"/>
        <v>2337.4852229112971</v>
      </c>
      <c r="O254">
        <v>22613.135131333998</v>
      </c>
      <c r="P254">
        <f t="shared" si="22"/>
        <v>4359.9874213066923</v>
      </c>
      <c r="Q254">
        <f t="shared" si="23"/>
        <v>2.3855041894648545</v>
      </c>
      <c r="R254">
        <f t="shared" si="24"/>
        <v>10400.768259541182</v>
      </c>
      <c r="T254">
        <f t="shared" si="25"/>
        <v>-5.6504166666666702</v>
      </c>
      <c r="U254">
        <f t="shared" si="26"/>
        <v>1.9597410335595936E-2</v>
      </c>
      <c r="V254">
        <f t="shared" si="27"/>
        <v>-0.11073353398375693</v>
      </c>
      <c r="W254">
        <f>F254-V254</f>
        <v>-1.5432068532480931</v>
      </c>
      <c r="Y254">
        <f>(1-H254)*U254</f>
        <v>-0.10317460147269623</v>
      </c>
      <c r="Z254">
        <f>C254-Y254</f>
        <v>-1.5804043276832138</v>
      </c>
    </row>
    <row r="255" spans="1:26" x14ac:dyDescent="0.75">
      <c r="A255" s="1">
        <v>45583</v>
      </c>
      <c r="B255">
        <v>0.25721431597173999</v>
      </c>
      <c r="C255">
        <v>-13.638581838828401</v>
      </c>
      <c r="D255">
        <v>34.8182395241883</v>
      </c>
      <c r="E255" t="s">
        <v>19</v>
      </c>
      <c r="F255">
        <v>-13.381367522856699</v>
      </c>
      <c r="G255">
        <v>6.5887500000000001</v>
      </c>
      <c r="H255">
        <v>6.5488235294117603</v>
      </c>
      <c r="I255">
        <v>0.144198192790325</v>
      </c>
      <c r="J255">
        <v>89.841210732983797</v>
      </c>
      <c r="K255">
        <v>26.551246020210101</v>
      </c>
      <c r="L255">
        <v>0.23786086720826699</v>
      </c>
      <c r="M255">
        <v>7762.2806073297998</v>
      </c>
      <c r="N255">
        <f t="shared" si="21"/>
        <v>2294.0276561461528</v>
      </c>
      <c r="O255">
        <v>20551.1789267942</v>
      </c>
      <c r="P255">
        <f t="shared" si="22"/>
        <v>413.1692309934877</v>
      </c>
      <c r="Q255">
        <f t="shared" si="23"/>
        <v>2.6193454611876903</v>
      </c>
      <c r="R255">
        <f t="shared" si="24"/>
        <v>1082.2329499052005</v>
      </c>
      <c r="T255">
        <f t="shared" si="25"/>
        <v>-5.9187500000000002</v>
      </c>
      <c r="U255">
        <f t="shared" si="26"/>
        <v>1.751603742337959E-2</v>
      </c>
      <c r="V255">
        <f t="shared" si="27"/>
        <v>-0.10367304649962795</v>
      </c>
      <c r="W255">
        <f>F255-V255</f>
        <v>-13.277694476357071</v>
      </c>
      <c r="Y255">
        <f>(1-H255)*U255</f>
        <v>-9.7193400596905608E-2</v>
      </c>
      <c r="Z255">
        <f>C255-Y255</f>
        <v>-13.541388438231495</v>
      </c>
    </row>
    <row r="256" spans="1:26" x14ac:dyDescent="0.75">
      <c r="A256" s="1">
        <v>45584</v>
      </c>
      <c r="B256">
        <v>8.4024345852965296E-2</v>
      </c>
      <c r="C256">
        <v>-4.0560078312955401</v>
      </c>
      <c r="D256">
        <v>10.135886778522501</v>
      </c>
      <c r="E256" t="s">
        <v>19</v>
      </c>
      <c r="F256">
        <v>-3.97198348544257</v>
      </c>
      <c r="G256">
        <v>6.3170833333333301</v>
      </c>
      <c r="H256">
        <v>6.29588235294118</v>
      </c>
      <c r="I256">
        <v>0.126481774781731</v>
      </c>
      <c r="J256">
        <v>78.687526660769805</v>
      </c>
      <c r="K256">
        <v>26.032276945763201</v>
      </c>
      <c r="L256">
        <v>0.22247247213183</v>
      </c>
      <c r="M256">
        <v>6798.6023034905102</v>
      </c>
      <c r="N256">
        <f t="shared" si="21"/>
        <v>2249.1887281139407</v>
      </c>
      <c r="O256">
        <v>19221.621592190098</v>
      </c>
      <c r="P256">
        <f t="shared" si="22"/>
        <v>1327.474882912456</v>
      </c>
      <c r="Q256">
        <f t="shared" si="23"/>
        <v>2.7964152567427898</v>
      </c>
      <c r="R256">
        <f t="shared" si="24"/>
        <v>3712.1710155192404</v>
      </c>
      <c r="T256">
        <f t="shared" si="25"/>
        <v>-5.6470833333333301</v>
      </c>
      <c r="U256">
        <f t="shared" si="26"/>
        <v>1.608622841468654E-2</v>
      </c>
      <c r="V256">
        <f t="shared" si="27"/>
        <v>-9.0840272376769393E-2</v>
      </c>
      <c r="W256">
        <f>F256-V256</f>
        <v>-3.8811432130658003</v>
      </c>
      <c r="Y256">
        <f>(1-H256)*U256</f>
        <v>-8.5190773186719415E-2</v>
      </c>
      <c r="Z256">
        <f>C256-Y256</f>
        <v>-3.9708170581088207</v>
      </c>
    </row>
    <row r="257" spans="1:26" x14ac:dyDescent="0.75">
      <c r="A257" s="1">
        <v>45585</v>
      </c>
      <c r="B257">
        <v>3.9763535117845701E-2</v>
      </c>
      <c r="C257">
        <v>-4.6859883846889101</v>
      </c>
      <c r="D257">
        <v>11.2324707319704</v>
      </c>
      <c r="E257" t="s">
        <v>19</v>
      </c>
      <c r="F257">
        <v>-4.6462248495710599</v>
      </c>
      <c r="G257">
        <v>5.5912499999999996</v>
      </c>
      <c r="H257">
        <v>5.5829411764705901</v>
      </c>
      <c r="I257">
        <v>0.110406363843031</v>
      </c>
      <c r="J257">
        <v>68.582474883292093</v>
      </c>
      <c r="K257">
        <v>25.498140565114898</v>
      </c>
      <c r="L257">
        <v>0.20754040704193399</v>
      </c>
      <c r="M257">
        <v>5925.5258299164398</v>
      </c>
      <c r="N257">
        <f t="shared" si="21"/>
        <v>2203.0393448259274</v>
      </c>
      <c r="O257">
        <v>17931.491168423101</v>
      </c>
      <c r="P257">
        <f t="shared" si="22"/>
        <v>1117.4784352804888</v>
      </c>
      <c r="Q257">
        <f t="shared" si="23"/>
        <v>2.9930666096565419</v>
      </c>
      <c r="R257">
        <f t="shared" si="24"/>
        <v>3344.68739164927</v>
      </c>
      <c r="T257">
        <f t="shared" si="25"/>
        <v>-4.9212499999999997</v>
      </c>
      <c r="U257">
        <f t="shared" si="26"/>
        <v>1.472095099867309E-2</v>
      </c>
      <c r="V257">
        <f t="shared" si="27"/>
        <v>-7.2445480102219947E-2</v>
      </c>
      <c r="W257">
        <f>F257-V257</f>
        <v>-4.5737793694688396</v>
      </c>
      <c r="Y257">
        <f>(1-H257)*U257</f>
        <v>-6.7465252488624755E-2</v>
      </c>
      <c r="Z257">
        <f>C257-Y257</f>
        <v>-4.6185231322002851</v>
      </c>
    </row>
    <row r="258" spans="1:26" x14ac:dyDescent="0.75">
      <c r="A258" s="1">
        <v>45586</v>
      </c>
      <c r="B258">
        <v>4.0646698446915701E-2</v>
      </c>
      <c r="C258">
        <v>-2.7288387348445702</v>
      </c>
      <c r="D258">
        <v>6.2412434061567597</v>
      </c>
      <c r="E258" t="s">
        <v>19</v>
      </c>
      <c r="F258">
        <v>-2.6881920363976599</v>
      </c>
      <c r="G258">
        <v>5.0575000000000001</v>
      </c>
      <c r="H258">
        <v>5.0382352941176496</v>
      </c>
      <c r="I258">
        <v>9.9039674442985198E-2</v>
      </c>
      <c r="J258">
        <v>61.447211862829803</v>
      </c>
      <c r="K258">
        <v>24.951540742342399</v>
      </c>
      <c r="L258">
        <v>0.196323614147661</v>
      </c>
      <c r="M258">
        <v>5309.0391049484897</v>
      </c>
      <c r="N258">
        <f t="shared" si="21"/>
        <v>2155.8131201383835</v>
      </c>
      <c r="O258">
        <v>16962.360262357899</v>
      </c>
      <c r="P258">
        <f t="shared" si="22"/>
        <v>1902.4497861976674</v>
      </c>
      <c r="Q258">
        <f t="shared" si="23"/>
        <v>3.1602427031469875</v>
      </c>
      <c r="R258">
        <f t="shared" si="24"/>
        <v>6012.2030549347246</v>
      </c>
      <c r="T258">
        <f t="shared" si="25"/>
        <v>-4.3875000000000002</v>
      </c>
      <c r="U258">
        <f t="shared" si="26"/>
        <v>1.364333896248926E-2</v>
      </c>
      <c r="V258">
        <f t="shared" si="27"/>
        <v>-5.9860149697921632E-2</v>
      </c>
      <c r="W258">
        <f>F258-V258</f>
        <v>-2.6283318866997383</v>
      </c>
      <c r="Y258">
        <f>(1-H258)*U258</f>
        <v>-5.5095012927934603E-2</v>
      </c>
      <c r="Z258">
        <f>C258-Y258</f>
        <v>-2.6737437219166358</v>
      </c>
    </row>
    <row r="259" spans="1:26" x14ac:dyDescent="0.75">
      <c r="A259" s="1">
        <v>45587</v>
      </c>
      <c r="B259">
        <v>3.1056646639813099E-2</v>
      </c>
      <c r="C259">
        <v>-0.82567638584469305</v>
      </c>
      <c r="D259">
        <v>1.58786586377563</v>
      </c>
      <c r="E259" t="s">
        <v>19</v>
      </c>
      <c r="F259">
        <v>-0.79461973920488005</v>
      </c>
      <c r="G259">
        <v>4.7191666666666698</v>
      </c>
      <c r="H259">
        <v>4.4435294117647102</v>
      </c>
      <c r="I259">
        <v>8.80076448031685E-2</v>
      </c>
      <c r="J259">
        <v>54.530390699985198</v>
      </c>
      <c r="K259">
        <v>24.3951265172118</v>
      </c>
      <c r="L259">
        <v>0.18484539597085001</v>
      </c>
      <c r="M259">
        <v>4711.4257564787204</v>
      </c>
      <c r="N259">
        <f t="shared" ref="N259:N322" si="28">K259*86.4</f>
        <v>2107.7389310870994</v>
      </c>
      <c r="O259">
        <v>15970.642211881401</v>
      </c>
      <c r="P259">
        <f t="shared" ref="P259:P322" si="29">0.7*O259/D259</f>
        <v>7040.5503407790793</v>
      </c>
      <c r="Q259">
        <f t="shared" ref="Q259:Q322" si="30">M259/(O259*I259)</f>
        <v>3.3520429341516764</v>
      </c>
      <c r="R259">
        <f t="shared" ref="R259:R322" si="31">Q259*P259</f>
        <v>23600.227022347692</v>
      </c>
      <c r="T259">
        <f t="shared" ref="T259:T322" si="32">0.67-G259</f>
        <v>-4.0491666666666699</v>
      </c>
      <c r="U259">
        <f t="shared" ref="U259:U322" si="33">(2*(10^-5)*N259)/Q259</f>
        <v>1.2575846864088686E-2</v>
      </c>
      <c r="V259">
        <f t="shared" ref="V259:V322" si="34">T259*U259</f>
        <v>-5.0921699927172479E-2</v>
      </c>
      <c r="W259">
        <f>F259-V259</f>
        <v>-0.74369803927770761</v>
      </c>
      <c r="Y259">
        <f>(1-H259)*U259</f>
        <v>-4.3305298554338387E-2</v>
      </c>
      <c r="Z259">
        <f>C259-Y259</f>
        <v>-0.78237108729035465</v>
      </c>
    </row>
    <row r="260" spans="1:26" x14ac:dyDescent="0.75">
      <c r="A260" s="1">
        <v>45588</v>
      </c>
      <c r="B260">
        <v>4.3315930440429598E-2</v>
      </c>
      <c r="C260">
        <v>-2.25250023192093</v>
      </c>
      <c r="D260">
        <v>3.73472495468511</v>
      </c>
      <c r="E260" t="s">
        <v>19</v>
      </c>
      <c r="F260">
        <v>-2.2091843014805002</v>
      </c>
      <c r="G260">
        <v>2.5258333333333298</v>
      </c>
      <c r="H260">
        <v>2.4517647058823502</v>
      </c>
      <c r="I260">
        <v>7.8687076919608204E-2</v>
      </c>
      <c r="J260">
        <v>48.694688398840803</v>
      </c>
      <c r="K260">
        <v>23.830137061599899</v>
      </c>
      <c r="L260">
        <v>0.17454268150984301</v>
      </c>
      <c r="M260">
        <v>4207.2210776598404</v>
      </c>
      <c r="N260">
        <f t="shared" si="28"/>
        <v>2058.9238421222312</v>
      </c>
      <c r="O260">
        <v>15080.487682450401</v>
      </c>
      <c r="P260">
        <f t="shared" si="29"/>
        <v>2826.5378323168457</v>
      </c>
      <c r="Q260">
        <f t="shared" si="30"/>
        <v>3.5454922055363949</v>
      </c>
      <c r="R260">
        <f t="shared" si="31"/>
        <v>10021.467853133114</v>
      </c>
      <c r="T260">
        <f t="shared" si="32"/>
        <v>-1.8558333333333299</v>
      </c>
      <c r="U260">
        <f t="shared" si="33"/>
        <v>1.1614318818172318E-2</v>
      </c>
      <c r="V260">
        <f t="shared" si="34"/>
        <v>-2.1554240006724755E-2</v>
      </c>
      <c r="W260">
        <f>F260-V260</f>
        <v>-2.1876300614737754</v>
      </c>
      <c r="Y260">
        <f>(1-H260)*U260</f>
        <v>-1.6861258143087782E-2</v>
      </c>
      <c r="Z260">
        <f>C260-Y260</f>
        <v>-2.2356389737778422</v>
      </c>
    </row>
    <row r="261" spans="1:26" x14ac:dyDescent="0.75">
      <c r="A261" s="1">
        <v>45589</v>
      </c>
      <c r="B261">
        <v>7.1139857056155401E-2</v>
      </c>
      <c r="C261">
        <v>-5.1149622325441602</v>
      </c>
      <c r="D261">
        <v>8.3020430568050401</v>
      </c>
      <c r="E261" t="s">
        <v>19</v>
      </c>
      <c r="F261">
        <v>-5.04382237548801</v>
      </c>
      <c r="G261">
        <v>0.80625000000000002</v>
      </c>
      <c r="H261">
        <v>0.76411764705882401</v>
      </c>
      <c r="I261">
        <v>6.7787149816723694E-2</v>
      </c>
      <c r="J261">
        <v>41.880130114742499</v>
      </c>
      <c r="K261">
        <v>23.2579160314612</v>
      </c>
      <c r="L261">
        <v>0.161691934386018</v>
      </c>
      <c r="M261">
        <v>3618.4432419137502</v>
      </c>
      <c r="N261">
        <f t="shared" si="28"/>
        <v>2009.4839451182477</v>
      </c>
      <c r="O261">
        <v>13970.183130952</v>
      </c>
      <c r="P261">
        <f t="shared" si="29"/>
        <v>1177.918269606012</v>
      </c>
      <c r="Q261">
        <f t="shared" si="30"/>
        <v>3.8209582438720897</v>
      </c>
      <c r="R261">
        <f t="shared" si="31"/>
        <v>4500.7765228586386</v>
      </c>
      <c r="T261">
        <f t="shared" si="32"/>
        <v>-0.13624999999999998</v>
      </c>
      <c r="U261">
        <f t="shared" si="33"/>
        <v>1.0518219864563992E-2</v>
      </c>
      <c r="V261">
        <f t="shared" si="34"/>
        <v>-1.4331074565468438E-3</v>
      </c>
      <c r="W261">
        <f>F261-V261</f>
        <v>-5.0423892680314628</v>
      </c>
      <c r="Y261">
        <f>(1-H261)*U261</f>
        <v>2.4810624504059721E-3</v>
      </c>
      <c r="Z261">
        <f>C261-Y261</f>
        <v>-5.1174432949945663</v>
      </c>
    </row>
    <row r="262" spans="1:26" x14ac:dyDescent="0.75">
      <c r="A262" s="1">
        <v>45590</v>
      </c>
      <c r="B262">
        <v>0.34937811388173101</v>
      </c>
      <c r="C262">
        <v>-0.432948785011808</v>
      </c>
      <c r="D262">
        <v>1.6274955482172</v>
      </c>
      <c r="E262" t="s">
        <v>19</v>
      </c>
      <c r="F262">
        <v>-8.3570671130076796E-2</v>
      </c>
      <c r="G262">
        <v>3.55</v>
      </c>
      <c r="H262">
        <v>2.8294117647058799</v>
      </c>
      <c r="I262">
        <v>5.6975516888096697E-2</v>
      </c>
      <c r="J262">
        <v>35.132159403536903</v>
      </c>
      <c r="K262">
        <v>22.680647344966999</v>
      </c>
      <c r="L262">
        <v>0.14796519951008799</v>
      </c>
      <c r="M262">
        <v>3035.4185724655899</v>
      </c>
      <c r="N262">
        <f t="shared" si="28"/>
        <v>1959.6079306051488</v>
      </c>
      <c r="O262">
        <v>12784.193237671599</v>
      </c>
      <c r="P262">
        <f t="shared" si="29"/>
        <v>5498.5927772109799</v>
      </c>
      <c r="Q262">
        <f t="shared" si="30"/>
        <v>4.1673213085467316</v>
      </c>
      <c r="R262">
        <f t="shared" si="31"/>
        <v>22914.402847492467</v>
      </c>
      <c r="T262">
        <f t="shared" si="32"/>
        <v>-2.88</v>
      </c>
      <c r="U262">
        <f t="shared" si="33"/>
        <v>9.4046404657409169E-3</v>
      </c>
      <c r="V262">
        <f t="shared" si="34"/>
        <v>-2.708536454133384E-2</v>
      </c>
      <c r="W262">
        <f>F262-V262</f>
        <v>-5.6485306588742956E-2</v>
      </c>
      <c r="Y262">
        <f>(1-H262)*U262</f>
        <v>-1.7204959910855418E-2</v>
      </c>
      <c r="Z262">
        <f>C262-Y262</f>
        <v>-0.41574382510095259</v>
      </c>
    </row>
    <row r="263" spans="1:26" x14ac:dyDescent="0.75">
      <c r="A263" s="1">
        <v>45591</v>
      </c>
      <c r="B263">
        <v>0.278185694718178</v>
      </c>
      <c r="C263">
        <v>-12.0514094910639</v>
      </c>
      <c r="D263">
        <v>76.769676987908994</v>
      </c>
      <c r="E263" t="s">
        <v>19</v>
      </c>
      <c r="F263">
        <v>-11.7732237963457</v>
      </c>
      <c r="G263">
        <v>6.1258333333333299</v>
      </c>
      <c r="H263">
        <v>6.1023529411764699</v>
      </c>
      <c r="I263">
        <v>5.03231944342677E-2</v>
      </c>
      <c r="J263">
        <v>30.9872608125997</v>
      </c>
      <c r="K263">
        <v>22.099731296697598</v>
      </c>
      <c r="L263">
        <v>0.138865547066199</v>
      </c>
      <c r="M263">
        <v>2677.2993342086102</v>
      </c>
      <c r="N263">
        <f t="shared" si="28"/>
        <v>1909.4167840346727</v>
      </c>
      <c r="O263">
        <v>11997.983266519601</v>
      </c>
      <c r="P263">
        <f t="shared" si="29"/>
        <v>109.39981273968984</v>
      </c>
      <c r="Q263">
        <f t="shared" si="30"/>
        <v>4.4342530813032806</v>
      </c>
      <c r="R263">
        <f t="shared" si="31"/>
        <v>485.10645673497152</v>
      </c>
      <c r="T263">
        <f t="shared" si="32"/>
        <v>-5.45583333333333</v>
      </c>
      <c r="U263">
        <f t="shared" si="33"/>
        <v>8.6121236159730965E-3</v>
      </c>
      <c r="V263">
        <f t="shared" si="34"/>
        <v>-4.6986311094813188E-2</v>
      </c>
      <c r="W263">
        <f>F263-V263</f>
        <v>-11.726237485250888</v>
      </c>
      <c r="Y263">
        <f>(1-H263)*U263</f>
        <v>-4.3942094261735662E-2</v>
      </c>
      <c r="Z263">
        <f>C263-Y263</f>
        <v>-12.007467396802165</v>
      </c>
    </row>
    <row r="264" spans="1:26" x14ac:dyDescent="0.75">
      <c r="A264" s="1">
        <v>45592</v>
      </c>
      <c r="B264">
        <v>5.4070927870291198E-2</v>
      </c>
      <c r="C264">
        <v>-9.2271094389881192</v>
      </c>
      <c r="D264">
        <v>64.398371593003702</v>
      </c>
      <c r="E264" t="s">
        <v>19</v>
      </c>
      <c r="F264">
        <v>-9.1730385111178308</v>
      </c>
      <c r="G264">
        <v>6.0854166666666698</v>
      </c>
      <c r="H264">
        <v>6.08</v>
      </c>
      <c r="I264">
        <v>4.6351311490501798E-2</v>
      </c>
      <c r="J264">
        <v>28.5152885964152</v>
      </c>
      <c r="K264">
        <v>21.516874010084599</v>
      </c>
      <c r="L264">
        <v>0.133155642104027</v>
      </c>
      <c r="M264">
        <v>2463.7209347302701</v>
      </c>
      <c r="N264">
        <f t="shared" si="28"/>
        <v>1859.0579144713095</v>
      </c>
      <c r="O264">
        <v>11504.647477787899</v>
      </c>
      <c r="P264">
        <f t="shared" si="29"/>
        <v>125.05367814807357</v>
      </c>
      <c r="Q264">
        <f t="shared" si="30"/>
        <v>4.6201510160318087</v>
      </c>
      <c r="R264">
        <f t="shared" si="31"/>
        <v>577.76687815433695</v>
      </c>
      <c r="T264">
        <f t="shared" si="32"/>
        <v>-5.4154166666666699</v>
      </c>
      <c r="U264">
        <f t="shared" si="33"/>
        <v>8.0476067038519946E-3</v>
      </c>
      <c r="V264">
        <f t="shared" si="34"/>
        <v>-4.3581143470818512E-2</v>
      </c>
      <c r="W264">
        <f>F264-V264</f>
        <v>-9.1294573676470119</v>
      </c>
      <c r="Y264">
        <f>(1-H264)*U264</f>
        <v>-4.0881842055568135E-2</v>
      </c>
      <c r="Z264">
        <f>C264-Y264</f>
        <v>-9.1862275969325502</v>
      </c>
    </row>
    <row r="265" spans="1:26" x14ac:dyDescent="0.75">
      <c r="A265" s="1">
        <v>45593</v>
      </c>
      <c r="B265">
        <v>3.2180418798723999E-2</v>
      </c>
      <c r="C265">
        <v>-7.9984073814621697</v>
      </c>
      <c r="D265">
        <v>56.6453998554911</v>
      </c>
      <c r="E265" t="s">
        <v>19</v>
      </c>
      <c r="F265">
        <v>-7.9662269626634501</v>
      </c>
      <c r="G265">
        <v>5.9841666666666704</v>
      </c>
      <c r="H265">
        <v>5.9888235294117704</v>
      </c>
      <c r="I265">
        <v>4.3999886333106197E-2</v>
      </c>
      <c r="J265">
        <v>27.052414503797198</v>
      </c>
      <c r="K265">
        <v>20.969734399703899</v>
      </c>
      <c r="L265">
        <v>0.12971788927397601</v>
      </c>
      <c r="M265">
        <v>2337.3286131280802</v>
      </c>
      <c r="N265">
        <f t="shared" si="28"/>
        <v>1811.7850521344169</v>
      </c>
      <c r="O265">
        <v>11207.6256332715</v>
      </c>
      <c r="P265">
        <f t="shared" si="29"/>
        <v>138.4991184333486</v>
      </c>
      <c r="Q265">
        <f t="shared" si="30"/>
        <v>4.7397409417630163</v>
      </c>
      <c r="R265">
        <f t="shared" si="31"/>
        <v>656.44994203662725</v>
      </c>
      <c r="T265">
        <f t="shared" si="32"/>
        <v>-5.3141666666666705</v>
      </c>
      <c r="U265">
        <f t="shared" si="33"/>
        <v>7.6450804986843727E-3</v>
      </c>
      <c r="V265">
        <f t="shared" si="34"/>
        <v>-4.0627231950091901E-2</v>
      </c>
      <c r="W265">
        <f>F265-V265</f>
        <v>-7.9255997307133583</v>
      </c>
      <c r="Y265">
        <f>(1-H265)*U265</f>
        <v>-3.8139957476083668E-2</v>
      </c>
      <c r="Z265">
        <f>C265-Y265</f>
        <v>-7.9602674239860862</v>
      </c>
    </row>
    <row r="266" spans="1:26" x14ac:dyDescent="0.75">
      <c r="A266" s="1">
        <v>45594</v>
      </c>
      <c r="B266">
        <v>0.102425048998927</v>
      </c>
      <c r="C266">
        <v>-2.0482750337877702</v>
      </c>
      <c r="D266">
        <v>12.6551334664014</v>
      </c>
      <c r="E266" t="s">
        <v>19</v>
      </c>
      <c r="F266">
        <v>-1.94584998478885</v>
      </c>
      <c r="G266">
        <v>6.0933333333333302</v>
      </c>
      <c r="H266">
        <v>6.0788888888888897</v>
      </c>
      <c r="I266">
        <v>4.75020713677788E-2</v>
      </c>
      <c r="J266">
        <v>29.231633356789299</v>
      </c>
      <c r="K266">
        <v>20.482209259828199</v>
      </c>
      <c r="L266">
        <v>0.134795539353528</v>
      </c>
      <c r="M266">
        <v>2525.6131220266002</v>
      </c>
      <c r="N266">
        <f t="shared" si="28"/>
        <v>1769.6628800491565</v>
      </c>
      <c r="O266">
        <v>11646.334600144801</v>
      </c>
      <c r="P266">
        <f t="shared" si="29"/>
        <v>644.19978198930653</v>
      </c>
      <c r="Q266">
        <f t="shared" si="30"/>
        <v>4.5652547206353553</v>
      </c>
      <c r="R266">
        <f t="shared" si="31"/>
        <v>2940.9360957589483</v>
      </c>
      <c r="T266">
        <f t="shared" si="32"/>
        <v>-5.4233333333333302</v>
      </c>
      <c r="U266">
        <f t="shared" si="33"/>
        <v>7.7527454144020649E-3</v>
      </c>
      <c r="V266">
        <f t="shared" si="34"/>
        <v>-4.2045722630773844E-2</v>
      </c>
      <c r="W266">
        <f>F266-V266</f>
        <v>-1.9038042621580762</v>
      </c>
      <c r="Y266">
        <f>(1-H266)*U266</f>
        <v>-3.9375332543590935E-2</v>
      </c>
      <c r="Z266">
        <f>C266-Y266</f>
        <v>-2.0088997012441792</v>
      </c>
    </row>
    <row r="267" spans="1:26" x14ac:dyDescent="0.75">
      <c r="A267" s="1">
        <v>45595</v>
      </c>
      <c r="B267">
        <v>3.66033466644268E-2</v>
      </c>
      <c r="C267">
        <v>-5.3007319653694003</v>
      </c>
      <c r="D267">
        <v>31.978999268473899</v>
      </c>
      <c r="E267" t="s">
        <v>19</v>
      </c>
      <c r="F267">
        <v>-5.2641286187049703</v>
      </c>
      <c r="G267">
        <v>5.8862500000000004</v>
      </c>
      <c r="H267">
        <v>5.8733333333333304</v>
      </c>
      <c r="I267">
        <v>5.0704823985405503E-2</v>
      </c>
      <c r="J267">
        <v>31.224862586834099</v>
      </c>
      <c r="K267">
        <v>20.056995290551701</v>
      </c>
      <c r="L267">
        <v>0.139405354105539</v>
      </c>
      <c r="M267">
        <v>2697.8281275024701</v>
      </c>
      <c r="N267">
        <f t="shared" si="28"/>
        <v>1732.9243931036669</v>
      </c>
      <c r="O267">
        <v>12044.622594718499</v>
      </c>
      <c r="P267">
        <f t="shared" si="29"/>
        <v>263.64914503796808</v>
      </c>
      <c r="Q267">
        <f t="shared" si="30"/>
        <v>4.4174516264840156</v>
      </c>
      <c r="R267">
        <f t="shared" si="31"/>
        <v>1164.6573445690922</v>
      </c>
      <c r="T267">
        <f t="shared" si="32"/>
        <v>-5.2162500000000005</v>
      </c>
      <c r="U267">
        <f t="shared" si="33"/>
        <v>7.8458103885699123E-3</v>
      </c>
      <c r="V267">
        <f t="shared" si="34"/>
        <v>-4.092570843937781E-2</v>
      </c>
      <c r="W267">
        <f>F267-V267</f>
        <v>-5.2232029102655924</v>
      </c>
      <c r="Y267">
        <f>(1-H267)*U267</f>
        <v>-3.8235249293630681E-2</v>
      </c>
      <c r="Z267">
        <f>C267-Y267</f>
        <v>-5.2624967160757699</v>
      </c>
    </row>
    <row r="268" spans="1:26" x14ac:dyDescent="0.75">
      <c r="A268" s="1">
        <v>45596</v>
      </c>
      <c r="B268">
        <v>8.1552264651428397E-2</v>
      </c>
      <c r="C268">
        <v>-7.5086696956414603</v>
      </c>
      <c r="D268">
        <v>48.721980838181402</v>
      </c>
      <c r="E268" t="s">
        <v>19</v>
      </c>
      <c r="F268">
        <v>-7.4271174309900303</v>
      </c>
      <c r="G268">
        <v>5.7616666666666703</v>
      </c>
      <c r="H268">
        <v>5.7605555555555599</v>
      </c>
      <c r="I268">
        <v>4.500093000186E-2</v>
      </c>
      <c r="J268">
        <v>27.6754026963077</v>
      </c>
      <c r="K268">
        <v>19.6957827231282</v>
      </c>
      <c r="L268">
        <v>0.13115845846805099</v>
      </c>
      <c r="M268">
        <v>2391.1547929609901</v>
      </c>
      <c r="N268">
        <f t="shared" si="28"/>
        <v>1701.7156272782765</v>
      </c>
      <c r="O268">
        <v>11332.0908116396</v>
      </c>
      <c r="P268">
        <f t="shared" si="29"/>
        <v>162.81077722380647</v>
      </c>
      <c r="Q268">
        <f t="shared" si="30"/>
        <v>4.6889559853202849</v>
      </c>
      <c r="R268">
        <f t="shared" si="31"/>
        <v>763.4125683382149</v>
      </c>
      <c r="T268">
        <f t="shared" si="32"/>
        <v>-5.0916666666666703</v>
      </c>
      <c r="U268">
        <f t="shared" si="33"/>
        <v>7.2583988103357682E-3</v>
      </c>
      <c r="V268">
        <f t="shared" si="34"/>
        <v>-3.6957347275959646E-2</v>
      </c>
      <c r="W268">
        <f>F268-V268</f>
        <v>-7.3901600837140711</v>
      </c>
      <c r="Y268">
        <f>(1-H268)*U268</f>
        <v>-3.455401078098181E-2</v>
      </c>
      <c r="Z268">
        <f>C268-Y268</f>
        <v>-7.4741156848604788</v>
      </c>
    </row>
    <row r="269" spans="1:26" x14ac:dyDescent="0.75">
      <c r="A269" s="1">
        <v>45597</v>
      </c>
      <c r="B269">
        <v>3.7383913210344101E-2</v>
      </c>
      <c r="C269">
        <v>-3.6426440116674601</v>
      </c>
      <c r="D269">
        <v>26.103896994342598</v>
      </c>
      <c r="E269" t="s">
        <v>19</v>
      </c>
      <c r="F269">
        <v>-3.6052600984571099</v>
      </c>
      <c r="G269">
        <v>5.8162500000000001</v>
      </c>
      <c r="H269">
        <v>5.7888888888888896</v>
      </c>
      <c r="I269">
        <v>4.2176871323439502E-2</v>
      </c>
      <c r="J269">
        <v>25.9201818675844</v>
      </c>
      <c r="K269">
        <v>19.3945828717771</v>
      </c>
      <c r="L269">
        <v>0.12685018124337699</v>
      </c>
      <c r="M269">
        <v>2239.50371335929</v>
      </c>
      <c r="N269">
        <f t="shared" si="28"/>
        <v>1675.6919601215416</v>
      </c>
      <c r="O269">
        <v>10959.8556594277</v>
      </c>
      <c r="P269">
        <f t="shared" si="29"/>
        <v>293.89860691153098</v>
      </c>
      <c r="Q269">
        <f t="shared" si="30"/>
        <v>4.8447636126902252</v>
      </c>
      <c r="R269">
        <f t="shared" si="31"/>
        <v>1423.8692765853332</v>
      </c>
      <c r="T269">
        <f t="shared" si="32"/>
        <v>-5.1462500000000002</v>
      </c>
      <c r="U269">
        <f t="shared" si="33"/>
        <v>6.9175385801374728E-3</v>
      </c>
      <c r="V269">
        <f t="shared" si="34"/>
        <v>-3.5599382918032468E-2</v>
      </c>
      <c r="W269">
        <f>F269-V269</f>
        <v>-3.5696607155390776</v>
      </c>
      <c r="Y269">
        <f>(1-H269)*U269</f>
        <v>-3.3127323644880566E-2</v>
      </c>
      <c r="Z269">
        <f>C269-Y269</f>
        <v>-3.6095166880225795</v>
      </c>
    </row>
    <row r="270" spans="1:26" x14ac:dyDescent="0.75">
      <c r="A270" s="1">
        <v>45598</v>
      </c>
      <c r="B270">
        <v>8.8742853563993501E-2</v>
      </c>
      <c r="C270">
        <v>-6.6421783830393304</v>
      </c>
      <c r="D270">
        <v>50.375120460276499</v>
      </c>
      <c r="E270" t="s">
        <v>19</v>
      </c>
      <c r="F270">
        <v>-6.5534355294753404</v>
      </c>
      <c r="G270">
        <v>5.7391666666666703</v>
      </c>
      <c r="H270">
        <v>5.72611111111111</v>
      </c>
      <c r="I270">
        <v>3.7547411306943598E-2</v>
      </c>
      <c r="J270">
        <v>23.044593300173901</v>
      </c>
      <c r="K270">
        <v>19.143611567152099</v>
      </c>
      <c r="L270">
        <v>0.11959857443017299</v>
      </c>
      <c r="M270">
        <v>1991.0528611350201</v>
      </c>
      <c r="N270">
        <f t="shared" si="28"/>
        <v>1654.0080394019415</v>
      </c>
      <c r="O270">
        <v>10333.316830767</v>
      </c>
      <c r="P270">
        <f t="shared" si="29"/>
        <v>143.5891709130654</v>
      </c>
      <c r="Q270">
        <f t="shared" si="30"/>
        <v>5.1317210950242567</v>
      </c>
      <c r="R270">
        <f t="shared" si="31"/>
        <v>736.85957739162109</v>
      </c>
      <c r="T270">
        <f t="shared" si="32"/>
        <v>-5.0691666666666704</v>
      </c>
      <c r="U270">
        <f t="shared" si="33"/>
        <v>6.4462117436806E-3</v>
      </c>
      <c r="V270">
        <f t="shared" si="34"/>
        <v>-3.2676921697340933E-2</v>
      </c>
      <c r="W270">
        <f>F270-V270</f>
        <v>-6.5207586077779993</v>
      </c>
      <c r="Y270">
        <f>(1-H270)*U270</f>
        <v>-3.0465512946383808E-2</v>
      </c>
      <c r="Z270">
        <f>C270-Y270</f>
        <v>-6.6117128700929468</v>
      </c>
    </row>
    <row r="271" spans="1:26" x14ac:dyDescent="0.75">
      <c r="A271" s="1">
        <v>45599</v>
      </c>
      <c r="B271">
        <v>6.4243301144387296E-2</v>
      </c>
      <c r="C271">
        <v>-7.3321580637509598</v>
      </c>
      <c r="D271">
        <v>53.699599221731397</v>
      </c>
      <c r="E271" t="s">
        <v>19</v>
      </c>
      <c r="F271">
        <v>-7.2679147626065799</v>
      </c>
      <c r="G271">
        <v>5.5604166666666703</v>
      </c>
      <c r="H271">
        <v>5.5577777777777797</v>
      </c>
      <c r="I271">
        <v>3.7139361248419503E-2</v>
      </c>
      <c r="J271">
        <v>22.7914614168306</v>
      </c>
      <c r="K271">
        <v>18.9343275292856</v>
      </c>
      <c r="L271">
        <v>0.118922688353646</v>
      </c>
      <c r="M271">
        <v>1969.18226641416</v>
      </c>
      <c r="N271">
        <f t="shared" si="28"/>
        <v>1635.9258985302758</v>
      </c>
      <c r="O271">
        <v>10274.920273755</v>
      </c>
      <c r="P271">
        <f t="shared" si="29"/>
        <v>133.93850784491198</v>
      </c>
      <c r="Q271">
        <f t="shared" si="30"/>
        <v>5.1602771225067361</v>
      </c>
      <c r="R271">
        <f t="shared" si="31"/>
        <v>691.15981785478834</v>
      </c>
      <c r="T271">
        <f t="shared" si="32"/>
        <v>-4.8904166666666704</v>
      </c>
      <c r="U271">
        <f t="shared" si="33"/>
        <v>6.3404575362634146E-3</v>
      </c>
      <c r="V271">
        <f t="shared" si="34"/>
        <v>-3.1007479209634897E-2</v>
      </c>
      <c r="W271">
        <f>F271-V271</f>
        <v>-7.2369072833969446</v>
      </c>
      <c r="Y271">
        <f>(1-H271)*U271</f>
        <v>-2.8898396459725043E-2</v>
      </c>
      <c r="Z271">
        <f>C271-Y271</f>
        <v>-7.3032596672912344</v>
      </c>
    </row>
    <row r="272" spans="1:26" x14ac:dyDescent="0.75">
      <c r="A272" s="1">
        <v>45600</v>
      </c>
      <c r="B272">
        <v>4.0541079960871002E-2</v>
      </c>
      <c r="C272">
        <v>-7.8573813821744203</v>
      </c>
      <c r="D272">
        <v>59.220350966056699</v>
      </c>
      <c r="E272" t="s">
        <v>19</v>
      </c>
      <c r="F272">
        <v>-7.8168403022135502</v>
      </c>
      <c r="G272">
        <v>5.4529166666666704</v>
      </c>
      <c r="H272">
        <v>5.4583333333333304</v>
      </c>
      <c r="I272">
        <v>3.5665684058640901E-2</v>
      </c>
      <c r="J272">
        <v>21.877018505408898</v>
      </c>
      <c r="K272">
        <v>18.7596058282844</v>
      </c>
      <c r="L272">
        <v>0.116509770839152</v>
      </c>
      <c r="M272">
        <v>1890.17439886733</v>
      </c>
      <c r="N272">
        <f t="shared" si="28"/>
        <v>1620.8299435637723</v>
      </c>
      <c r="O272">
        <v>10066.444200502699</v>
      </c>
      <c r="P272">
        <f t="shared" si="29"/>
        <v>118.98799695379607</v>
      </c>
      <c r="Q272">
        <f t="shared" si="30"/>
        <v>5.2647193877505671</v>
      </c>
      <c r="R272">
        <f t="shared" si="31"/>
        <v>626.43841447225554</v>
      </c>
      <c r="T272">
        <f t="shared" si="32"/>
        <v>-4.7829166666666705</v>
      </c>
      <c r="U272">
        <f t="shared" si="33"/>
        <v>6.157327007152406E-3</v>
      </c>
      <c r="V272">
        <f t="shared" si="34"/>
        <v>-2.9449981964626053E-2</v>
      </c>
      <c r="W272">
        <f>F272-V272</f>
        <v>-7.7873903202489245</v>
      </c>
      <c r="Y272">
        <f>(1-H272)*U272</f>
        <v>-2.7451416240221127E-2</v>
      </c>
      <c r="Z272">
        <f>C272-Y272</f>
        <v>-7.8299299659341992</v>
      </c>
    </row>
    <row r="273" spans="1:26" x14ac:dyDescent="0.75">
      <c r="A273" s="1">
        <v>45601</v>
      </c>
      <c r="B273">
        <v>0.17085883449630901</v>
      </c>
      <c r="C273">
        <v>-6.8737858269822496</v>
      </c>
      <c r="D273">
        <v>50.4856933631456</v>
      </c>
      <c r="E273" t="s">
        <v>19</v>
      </c>
      <c r="F273">
        <v>-6.7029269924859403</v>
      </c>
      <c r="G273">
        <v>5.4091666666666702</v>
      </c>
      <c r="H273">
        <v>5.37222222222222</v>
      </c>
      <c r="I273">
        <v>3.4964072806933401E-2</v>
      </c>
      <c r="J273">
        <v>21.442212870409598</v>
      </c>
      <c r="K273">
        <v>18.613694502481799</v>
      </c>
      <c r="L273">
        <v>0.115295798328673</v>
      </c>
      <c r="M273">
        <v>1852.6071920033901</v>
      </c>
      <c r="N273">
        <f t="shared" si="28"/>
        <v>1608.2232050144275</v>
      </c>
      <c r="O273">
        <v>9961.5569755973502</v>
      </c>
      <c r="P273">
        <f t="shared" si="29"/>
        <v>138.12011717379877</v>
      </c>
      <c r="Q273">
        <f t="shared" si="30"/>
        <v>5.319050413078152</v>
      </c>
      <c r="R273">
        <f t="shared" si="31"/>
        <v>734.66786630769718</v>
      </c>
      <c r="T273">
        <f t="shared" si="32"/>
        <v>-4.7391666666666703</v>
      </c>
      <c r="U273">
        <f t="shared" si="33"/>
        <v>6.0470312560310683E-3</v>
      </c>
      <c r="V273">
        <f t="shared" si="34"/>
        <v>-2.8657888960873925E-2</v>
      </c>
      <c r="W273">
        <f>F273-V273</f>
        <v>-6.6742691035250665</v>
      </c>
      <c r="Y273">
        <f>(1-H273)*U273</f>
        <v>-2.6438964436091381E-2</v>
      </c>
      <c r="Z273">
        <f>C273-Y273</f>
        <v>-6.847346862546158</v>
      </c>
    </row>
    <row r="274" spans="1:26" x14ac:dyDescent="0.75">
      <c r="A274" s="1">
        <v>45602</v>
      </c>
      <c r="B274">
        <v>0.12262605569410499</v>
      </c>
      <c r="C274">
        <v>-1.34715173199629</v>
      </c>
      <c r="D274">
        <v>7.4260271264392603</v>
      </c>
      <c r="E274" t="s">
        <v>19</v>
      </c>
      <c r="F274">
        <v>-1.2245256763021899</v>
      </c>
      <c r="G274">
        <v>5.1941666666666704</v>
      </c>
      <c r="H274">
        <v>5.19</v>
      </c>
      <c r="I274">
        <v>3.8974118705813098E-2</v>
      </c>
      <c r="J274">
        <v>23.933620747446799</v>
      </c>
      <c r="K274">
        <v>18.491374725428098</v>
      </c>
      <c r="L274">
        <v>0.121520863141257</v>
      </c>
      <c r="M274">
        <v>2067.8648325794002</v>
      </c>
      <c r="N274">
        <f t="shared" si="28"/>
        <v>1597.6547762769878</v>
      </c>
      <c r="O274">
        <v>10499.4025754046</v>
      </c>
      <c r="P274">
        <f t="shared" si="29"/>
        <v>989.7057575532051</v>
      </c>
      <c r="Q274">
        <f t="shared" si="30"/>
        <v>5.0533718381277879</v>
      </c>
      <c r="R274">
        <f t="shared" si="31"/>
        <v>5001.3512032522949</v>
      </c>
      <c r="T274">
        <f t="shared" si="32"/>
        <v>-4.5241666666666704</v>
      </c>
      <c r="U274">
        <f t="shared" si="33"/>
        <v>6.3231237575776707E-3</v>
      </c>
      <c r="V274">
        <f t="shared" si="34"/>
        <v>-2.8606865733241001E-2</v>
      </c>
      <c r="W274">
        <f>F274-V274</f>
        <v>-1.1959188105689489</v>
      </c>
      <c r="Y274">
        <f>(1-H274)*U274</f>
        <v>-2.6493888544250443E-2</v>
      </c>
      <c r="Z274">
        <f>C274-Y274</f>
        <v>-1.3206578434520395</v>
      </c>
    </row>
    <row r="275" spans="1:26" x14ac:dyDescent="0.75">
      <c r="A275" s="1">
        <v>45603</v>
      </c>
      <c r="B275">
        <v>0.103525607257776</v>
      </c>
      <c r="C275">
        <v>-13.4039461938349</v>
      </c>
      <c r="D275">
        <v>67.646519668738307</v>
      </c>
      <c r="E275" t="s">
        <v>19</v>
      </c>
      <c r="F275">
        <v>-13.300420586577101</v>
      </c>
      <c r="G275">
        <v>5.2195833333333299</v>
      </c>
      <c r="H275">
        <v>5.21</v>
      </c>
      <c r="I275">
        <v>5.0704823985405698E-2</v>
      </c>
      <c r="J275">
        <v>31.224200269878601</v>
      </c>
      <c r="K275">
        <v>18.386757237435098</v>
      </c>
      <c r="L275">
        <v>0.13947070329335801</v>
      </c>
      <c r="M275">
        <v>2697.7709033175101</v>
      </c>
      <c r="N275">
        <f t="shared" si="28"/>
        <v>1588.6158253143926</v>
      </c>
      <c r="O275">
        <v>12050.268764546099</v>
      </c>
      <c r="P275">
        <f t="shared" si="29"/>
        <v>124.69507931064261</v>
      </c>
      <c r="Q275">
        <f t="shared" si="30"/>
        <v>4.415288167944972</v>
      </c>
      <c r="R275">
        <f t="shared" si="31"/>
        <v>550.5647082812402</v>
      </c>
      <c r="T275">
        <f t="shared" si="32"/>
        <v>-4.54958333333333</v>
      </c>
      <c r="U275">
        <f t="shared" si="33"/>
        <v>7.1959779968508355E-3</v>
      </c>
      <c r="V275">
        <f t="shared" si="34"/>
        <v>-3.273870156150592E-2</v>
      </c>
      <c r="W275">
        <f>F275-V275</f>
        <v>-13.267681885015595</v>
      </c>
      <c r="Y275">
        <f>(1-H275)*U275</f>
        <v>-3.0295067366742017E-2</v>
      </c>
      <c r="Z275">
        <f>C275-Y275</f>
        <v>-13.373651126468157</v>
      </c>
    </row>
    <row r="276" spans="1:26" x14ac:dyDescent="0.75">
      <c r="A276" s="1">
        <v>45604</v>
      </c>
      <c r="B276">
        <v>6.2993883778721602E-2</v>
      </c>
      <c r="C276">
        <v>-11.337156506282</v>
      </c>
      <c r="D276">
        <v>60.549445105269101</v>
      </c>
      <c r="E276" t="s">
        <v>19</v>
      </c>
      <c r="F276">
        <v>-11.274162622503299</v>
      </c>
      <c r="G276">
        <v>5.1741666666666699</v>
      </c>
      <c r="H276">
        <v>5.16444444444444</v>
      </c>
      <c r="I276">
        <v>4.7842602351871703E-2</v>
      </c>
      <c r="J276">
        <v>29.442564212962399</v>
      </c>
      <c r="K276">
        <v>18.294097031594099</v>
      </c>
      <c r="L276">
        <v>0.13538638963864499</v>
      </c>
      <c r="M276">
        <v>2543.8375479999499</v>
      </c>
      <c r="N276">
        <f t="shared" si="28"/>
        <v>1580.6099835297302</v>
      </c>
      <c r="O276">
        <v>11697.384064779</v>
      </c>
      <c r="P276">
        <f t="shared" si="29"/>
        <v>135.23111287163147</v>
      </c>
      <c r="Q276">
        <f t="shared" si="30"/>
        <v>4.5455436150759709</v>
      </c>
      <c r="R276">
        <f t="shared" si="31"/>
        <v>614.69892167326236</v>
      </c>
      <c r="T276">
        <f t="shared" si="32"/>
        <v>-4.50416666666667</v>
      </c>
      <c r="U276">
        <f t="shared" si="33"/>
        <v>6.9545476509669931E-3</v>
      </c>
      <c r="V276">
        <f t="shared" si="34"/>
        <v>-3.132444171123052E-2</v>
      </c>
      <c r="W276">
        <f>F276-V276</f>
        <v>-11.242838180792068</v>
      </c>
      <c r="Y276">
        <f>(1-H276)*U276</f>
        <v>-2.8961827328693623E-2</v>
      </c>
      <c r="Z276">
        <f>C276-Y276</f>
        <v>-11.308194678953306</v>
      </c>
    </row>
    <row r="277" spans="1:26" x14ac:dyDescent="0.75">
      <c r="A277" s="1">
        <v>45605</v>
      </c>
      <c r="B277">
        <v>8.8749968490139303E-2</v>
      </c>
      <c r="C277">
        <v>-10.9801298745175</v>
      </c>
      <c r="D277">
        <v>64.235322644126995</v>
      </c>
      <c r="E277" t="s">
        <v>19</v>
      </c>
      <c r="F277">
        <v>-10.8913799060273</v>
      </c>
      <c r="G277">
        <v>5.3270833333333298</v>
      </c>
      <c r="H277">
        <v>5.3077777777777797</v>
      </c>
      <c r="I277">
        <v>4.5966746327432098E-2</v>
      </c>
      <c r="J277">
        <v>28.275765410453602</v>
      </c>
      <c r="K277">
        <v>18.2083834716558</v>
      </c>
      <c r="L277">
        <v>0.132622021709597</v>
      </c>
      <c r="M277">
        <v>2443.0261314631898</v>
      </c>
      <c r="N277">
        <f t="shared" si="28"/>
        <v>1573.2043319510612</v>
      </c>
      <c r="O277">
        <v>11458.542675709199</v>
      </c>
      <c r="P277">
        <f t="shared" si="29"/>
        <v>124.86867883319947</v>
      </c>
      <c r="Q277">
        <f t="shared" si="30"/>
        <v>4.6382586344226793</v>
      </c>
      <c r="R277">
        <f t="shared" si="31"/>
        <v>579.17322776703986</v>
      </c>
      <c r="T277">
        <f t="shared" si="32"/>
        <v>-4.6570833333333299</v>
      </c>
      <c r="U277">
        <f t="shared" si="33"/>
        <v>6.7835990010370649E-3</v>
      </c>
      <c r="V277">
        <f t="shared" si="34"/>
        <v>-3.1591785847746343E-2</v>
      </c>
      <c r="W277">
        <f>F277-V277</f>
        <v>-10.859788120179553</v>
      </c>
      <c r="Y277">
        <f>(1-H277)*U277</f>
        <v>-2.9222237030023013E-2</v>
      </c>
      <c r="Z277">
        <f>C277-Y277</f>
        <v>-10.950907637487477</v>
      </c>
    </row>
    <row r="278" spans="1:26" x14ac:dyDescent="0.75">
      <c r="A278" s="1">
        <v>45606</v>
      </c>
      <c r="B278">
        <v>9.4557064977565594E-2</v>
      </c>
      <c r="C278">
        <v>-2.1498070805193499</v>
      </c>
      <c r="D278">
        <v>11.0383555210183</v>
      </c>
      <c r="E278" t="s">
        <v>19</v>
      </c>
      <c r="F278">
        <v>-2.0552500155417901</v>
      </c>
      <c r="G278">
        <v>5.2987500000000001</v>
      </c>
      <c r="H278">
        <v>5.2949999999999999</v>
      </c>
      <c r="I278">
        <v>4.6650743907548399E-2</v>
      </c>
      <c r="J278">
        <v>28.701395448385899</v>
      </c>
      <c r="K278">
        <v>18.127308414668502</v>
      </c>
      <c r="L278">
        <v>0.13361193936068899</v>
      </c>
      <c r="M278">
        <v>2479.80056674054</v>
      </c>
      <c r="N278">
        <f t="shared" si="28"/>
        <v>1566.1994470273587</v>
      </c>
      <c r="O278">
        <v>11544.071560763499</v>
      </c>
      <c r="P278">
        <f t="shared" si="29"/>
        <v>732.07010565546466</v>
      </c>
      <c r="Q278">
        <f t="shared" si="30"/>
        <v>4.6046769956028744</v>
      </c>
      <c r="R278">
        <f t="shared" si="31"/>
        <v>3370.946374680284</v>
      </c>
      <c r="T278">
        <f t="shared" si="32"/>
        <v>-4.6287500000000001</v>
      </c>
      <c r="U278">
        <f t="shared" si="33"/>
        <v>6.8026463029783133E-3</v>
      </c>
      <c r="V278">
        <f t="shared" si="34"/>
        <v>-3.1487749074910872E-2</v>
      </c>
      <c r="W278">
        <f>F278-V278</f>
        <v>-2.0237622664668793</v>
      </c>
      <c r="Y278">
        <f>(1-H278)*U278</f>
        <v>-2.9217365871291857E-2</v>
      </c>
      <c r="Z278">
        <f>C278-Y278</f>
        <v>-2.1205897146480579</v>
      </c>
    </row>
    <row r="279" spans="1:26" x14ac:dyDescent="0.75">
      <c r="A279" s="1">
        <v>45607</v>
      </c>
      <c r="B279">
        <v>0.14522369974469099</v>
      </c>
      <c r="C279">
        <v>-4.5981690521933301</v>
      </c>
      <c r="D279">
        <v>21.397815175839501</v>
      </c>
      <c r="E279" t="s">
        <v>19</v>
      </c>
      <c r="F279">
        <v>-4.4529453524486398</v>
      </c>
      <c r="G279">
        <v>5.2320833333333301</v>
      </c>
      <c r="H279">
        <v>5.1533333333333298</v>
      </c>
      <c r="I279">
        <v>5.2759752337686497E-2</v>
      </c>
      <c r="J279">
        <v>32.504056314436802</v>
      </c>
      <c r="K279">
        <v>18.050485223077899</v>
      </c>
      <c r="L279">
        <v>0.14233017233651901</v>
      </c>
      <c r="M279">
        <v>2808.3504655673401</v>
      </c>
      <c r="N279">
        <f t="shared" si="28"/>
        <v>1559.5619232739307</v>
      </c>
      <c r="O279">
        <v>12297.326889875299</v>
      </c>
      <c r="P279">
        <f t="shared" si="29"/>
        <v>402.29008205623904</v>
      </c>
      <c r="Q279">
        <f t="shared" si="30"/>
        <v>4.3285041506778663</v>
      </c>
      <c r="R279">
        <f t="shared" si="31"/>
        <v>1741.31428995697</v>
      </c>
      <c r="T279">
        <f t="shared" si="32"/>
        <v>-4.5620833333333302</v>
      </c>
      <c r="U279">
        <f t="shared" si="33"/>
        <v>7.2060086763677715E-3</v>
      </c>
      <c r="V279">
        <f t="shared" si="34"/>
        <v>-3.287441208231278E-2</v>
      </c>
      <c r="W279">
        <f>F279-V279</f>
        <v>-4.420070940366327</v>
      </c>
      <c r="Y279">
        <f>(1-H279)*U279</f>
        <v>-2.9928956035847453E-2</v>
      </c>
      <c r="Z279">
        <f>C279-Y279</f>
        <v>-4.5682400961574823</v>
      </c>
    </row>
    <row r="280" spans="1:26" x14ac:dyDescent="0.75">
      <c r="A280" s="1">
        <v>45608</v>
      </c>
      <c r="B280">
        <v>4.9810037153242698E-2</v>
      </c>
      <c r="C280">
        <v>-6.9036089201702397</v>
      </c>
      <c r="D280">
        <v>36.914102169051802</v>
      </c>
      <c r="E280" t="s">
        <v>19</v>
      </c>
      <c r="F280">
        <v>-6.8537988830169896</v>
      </c>
      <c r="G280">
        <v>5.3154166666666702</v>
      </c>
      <c r="H280">
        <v>5.2533333333333303</v>
      </c>
      <c r="I280">
        <v>5.0922059268361297E-2</v>
      </c>
      <c r="J280">
        <v>31.359476698136501</v>
      </c>
      <c r="K280">
        <v>17.978739867098</v>
      </c>
      <c r="L280">
        <v>0.13977511208024801</v>
      </c>
      <c r="M280">
        <v>2709.4587867189998</v>
      </c>
      <c r="N280">
        <f t="shared" si="28"/>
        <v>1553.3631245172674</v>
      </c>
      <c r="O280">
        <v>12076.5696837334</v>
      </c>
      <c r="P280">
        <f t="shared" si="29"/>
        <v>229.00729753358982</v>
      </c>
      <c r="Q280">
        <f t="shared" si="30"/>
        <v>4.4058834017283859</v>
      </c>
      <c r="R280">
        <f t="shared" si="31"/>
        <v>1008.9794510779174</v>
      </c>
      <c r="T280">
        <f t="shared" si="32"/>
        <v>-4.6454166666666703</v>
      </c>
      <c r="U280">
        <f t="shared" si="33"/>
        <v>7.0513129054114235E-3</v>
      </c>
      <c r="V280">
        <f t="shared" si="34"/>
        <v>-3.275628649268001E-2</v>
      </c>
      <c r="W280">
        <f>F280-V280</f>
        <v>-6.8210425965243093</v>
      </c>
      <c r="Y280">
        <f>(1-H280)*U280</f>
        <v>-2.9991584224349901E-2</v>
      </c>
      <c r="Z280">
        <f>C280-Y280</f>
        <v>-6.8736173359458901</v>
      </c>
    </row>
    <row r="281" spans="1:26" x14ac:dyDescent="0.75">
      <c r="A281" s="1">
        <v>45609</v>
      </c>
      <c r="B281">
        <v>0.24266027025321599</v>
      </c>
      <c r="C281">
        <v>-11.3242952520849</v>
      </c>
      <c r="D281">
        <v>64.763890408513603</v>
      </c>
      <c r="E281" t="s">
        <v>19</v>
      </c>
      <c r="F281">
        <v>-11.0816349818317</v>
      </c>
      <c r="G281">
        <v>5.4641666666666699</v>
      </c>
      <c r="H281">
        <v>5.4477777777777803</v>
      </c>
      <c r="I281">
        <v>4.70910856973231E-2</v>
      </c>
      <c r="J281">
        <v>28.9749219142786</v>
      </c>
      <c r="K281">
        <v>17.913517327157798</v>
      </c>
      <c r="L281">
        <v>0.13429876691144699</v>
      </c>
      <c r="M281">
        <v>2503.4332533936699</v>
      </c>
      <c r="N281">
        <f t="shared" si="28"/>
        <v>1547.7278970664338</v>
      </c>
      <c r="O281">
        <v>11603.413461149001</v>
      </c>
      <c r="P281">
        <f t="shared" si="29"/>
        <v>125.41540311384016</v>
      </c>
      <c r="Q281">
        <f t="shared" si="30"/>
        <v>4.5815406663720228</v>
      </c>
      <c r="R281">
        <f t="shared" si="31"/>
        <v>574.59576955549915</v>
      </c>
      <c r="T281">
        <f t="shared" si="32"/>
        <v>-4.79416666666667</v>
      </c>
      <c r="U281">
        <f t="shared" si="33"/>
        <v>6.7563643314423778E-3</v>
      </c>
      <c r="V281">
        <f t="shared" si="34"/>
        <v>-3.239113666565669E-2</v>
      </c>
      <c r="W281">
        <f>F281-V281</f>
        <v>-11.049243845166043</v>
      </c>
      <c r="Y281">
        <f>(1-H281)*U281</f>
        <v>-3.0050807131959838E-2</v>
      </c>
      <c r="Z281">
        <f>C281-Y281</f>
        <v>-11.294244444952939</v>
      </c>
    </row>
    <row r="282" spans="1:26" x14ac:dyDescent="0.75">
      <c r="A282" s="1">
        <v>45610</v>
      </c>
      <c r="B282">
        <v>7.7509959272707707E-2</v>
      </c>
      <c r="C282">
        <v>-2.0087661283499698</v>
      </c>
      <c r="D282">
        <v>9.77902723124771</v>
      </c>
      <c r="E282" t="s">
        <v>19</v>
      </c>
      <c r="F282">
        <v>-1.9312561690772601</v>
      </c>
      <c r="G282">
        <v>5.0262500000000001</v>
      </c>
      <c r="H282">
        <v>4.96055555555556</v>
      </c>
      <c r="I282">
        <v>4.4187765496742901E-2</v>
      </c>
      <c r="J282">
        <v>27.1694331552435</v>
      </c>
      <c r="K282">
        <v>17.854768593784499</v>
      </c>
      <c r="L282">
        <v>0.129978094267618</v>
      </c>
      <c r="M282">
        <v>2347.4390246130301</v>
      </c>
      <c r="N282">
        <f t="shared" si="28"/>
        <v>1542.6520065029808</v>
      </c>
      <c r="O282">
        <v>11230.107344722201</v>
      </c>
      <c r="P282">
        <f t="shared" si="29"/>
        <v>803.87087134663204</v>
      </c>
      <c r="Q282">
        <f t="shared" si="30"/>
        <v>4.7305144350212016</v>
      </c>
      <c r="R282">
        <f t="shared" si="31"/>
        <v>3802.7227607983141</v>
      </c>
      <c r="T282">
        <f t="shared" si="32"/>
        <v>-4.3562500000000002</v>
      </c>
      <c r="U282">
        <f t="shared" si="33"/>
        <v>6.5221321177347472E-3</v>
      </c>
      <c r="V282">
        <f t="shared" si="34"/>
        <v>-2.8412038037881993E-2</v>
      </c>
      <c r="W282">
        <f>F282-V282</f>
        <v>-1.902844131039378</v>
      </c>
      <c r="Y282">
        <f>(1-H282)*U282</f>
        <v>-2.5831266592961703E-2</v>
      </c>
      <c r="Z282">
        <f>C282-Y282</f>
        <v>-1.9829348617570082</v>
      </c>
    </row>
    <row r="283" spans="1:26" x14ac:dyDescent="0.75">
      <c r="A283" s="1">
        <v>45611</v>
      </c>
      <c r="B283">
        <v>2.8115609867197699E-2</v>
      </c>
      <c r="C283">
        <v>-1.3468183216702301</v>
      </c>
      <c r="D283">
        <v>7.7629719186850101</v>
      </c>
      <c r="E283" t="s">
        <v>19</v>
      </c>
      <c r="F283">
        <v>-1.3187027118030299</v>
      </c>
      <c r="G283">
        <v>4.7083333333333304</v>
      </c>
      <c r="H283">
        <v>4.6816666666666702</v>
      </c>
      <c r="I283">
        <v>4.2567307710372898E-2</v>
      </c>
      <c r="J283">
        <v>26.161992366719701</v>
      </c>
      <c r="K283">
        <v>17.800769860473899</v>
      </c>
      <c r="L283">
        <v>0.12753790028394399</v>
      </c>
      <c r="M283">
        <v>2260.39614048459</v>
      </c>
      <c r="N283">
        <f t="shared" si="28"/>
        <v>1537.986515944945</v>
      </c>
      <c r="O283">
        <v>11019.274584532701</v>
      </c>
      <c r="P283">
        <f t="shared" si="29"/>
        <v>993.62618981101491</v>
      </c>
      <c r="Q283">
        <f t="shared" si="30"/>
        <v>4.8189827203003945</v>
      </c>
      <c r="R283">
        <f t="shared" si="31"/>
        <v>4788.2674391372011</v>
      </c>
      <c r="T283">
        <f t="shared" si="32"/>
        <v>-4.0383333333333304</v>
      </c>
      <c r="U283">
        <f t="shared" si="33"/>
        <v>6.383033952232448E-3</v>
      </c>
      <c r="V283">
        <f t="shared" si="34"/>
        <v>-2.5776818777098684E-2</v>
      </c>
      <c r="W283">
        <f>F283-V283</f>
        <v>-1.2929258930259313</v>
      </c>
      <c r="Y283">
        <f>(1-H283)*U283</f>
        <v>-2.3500203334135817E-2</v>
      </c>
      <c r="Z283">
        <f>C283-Y283</f>
        <v>-1.3233181183360943</v>
      </c>
    </row>
    <row r="284" spans="1:26" x14ac:dyDescent="0.75">
      <c r="A284" s="1">
        <v>45612</v>
      </c>
      <c r="B284">
        <v>4.0829211136359303E-2</v>
      </c>
      <c r="C284">
        <v>-1.1658437776094699</v>
      </c>
      <c r="D284">
        <v>8.1157885462353097</v>
      </c>
      <c r="E284" t="s">
        <v>19</v>
      </c>
      <c r="F284">
        <v>-1.1250145664731099</v>
      </c>
      <c r="G284">
        <v>5.8095833333333298</v>
      </c>
      <c r="H284">
        <v>5.6444444444444404</v>
      </c>
      <c r="I284">
        <v>4.0256981120022801E-2</v>
      </c>
      <c r="J284">
        <v>24.727095062318298</v>
      </c>
      <c r="K284">
        <v>17.7497524491021</v>
      </c>
      <c r="L284">
        <v>0.12390278969372601</v>
      </c>
      <c r="M284">
        <v>2136.4210133842998</v>
      </c>
      <c r="N284">
        <f t="shared" si="28"/>
        <v>1533.5786116024215</v>
      </c>
      <c r="O284">
        <v>10705.2010295379</v>
      </c>
      <c r="P284">
        <f t="shared" si="29"/>
        <v>923.34105034718073</v>
      </c>
      <c r="Q284">
        <f t="shared" si="30"/>
        <v>4.9573640136357184</v>
      </c>
      <c r="R284">
        <f t="shared" si="31"/>
        <v>4577.3376953037196</v>
      </c>
      <c r="T284">
        <f t="shared" si="32"/>
        <v>-5.1395833333333298</v>
      </c>
      <c r="U284">
        <f t="shared" si="33"/>
        <v>6.1870728370325935E-3</v>
      </c>
      <c r="V284">
        <f t="shared" si="34"/>
        <v>-3.1798976435332076E-2</v>
      </c>
      <c r="W284">
        <f>F284-V284</f>
        <v>-1.0932155900377778</v>
      </c>
      <c r="Y284">
        <f>(1-H284)*U284</f>
        <v>-2.873551606532913E-2</v>
      </c>
      <c r="Z284">
        <f>C284-Y284</f>
        <v>-1.1371082615441408</v>
      </c>
    </row>
    <row r="285" spans="1:26" x14ac:dyDescent="0.75">
      <c r="A285" s="1">
        <v>45613</v>
      </c>
      <c r="B285">
        <v>7.5723304460214705E-2</v>
      </c>
      <c r="C285">
        <v>-0.88344714274366398</v>
      </c>
      <c r="D285">
        <v>3.6298903582750399</v>
      </c>
      <c r="E285" t="s">
        <v>19</v>
      </c>
      <c r="F285">
        <v>-0.80772383828344896</v>
      </c>
      <c r="G285">
        <v>4.57125</v>
      </c>
      <c r="H285">
        <v>4.2972222222222198</v>
      </c>
      <c r="I285">
        <v>3.7776389037626597E-2</v>
      </c>
      <c r="J285">
        <v>23.186882840155999</v>
      </c>
      <c r="K285">
        <v>17.7013358695874</v>
      </c>
      <c r="L285">
        <v>0.11994966076219001</v>
      </c>
      <c r="M285">
        <v>2003.34667738948</v>
      </c>
      <c r="N285">
        <f t="shared" si="28"/>
        <v>1529.3954191323514</v>
      </c>
      <c r="O285">
        <v>10363.650689853201</v>
      </c>
      <c r="P285">
        <f t="shared" si="29"/>
        <v>1998.5604982142427</v>
      </c>
      <c r="Q285">
        <f t="shared" si="30"/>
        <v>5.1170881828575743</v>
      </c>
      <c r="R285">
        <f t="shared" si="31"/>
        <v>10226.810308138047</v>
      </c>
      <c r="T285">
        <f t="shared" si="32"/>
        <v>-3.9012500000000001</v>
      </c>
      <c r="U285">
        <f t="shared" si="33"/>
        <v>5.977600402728568E-3</v>
      </c>
      <c r="V285">
        <f t="shared" si="34"/>
        <v>-2.3320113571144826E-2</v>
      </c>
      <c r="W285">
        <f>F285-V285</f>
        <v>-0.78440372471230413</v>
      </c>
      <c r="Y285">
        <f>(1-H285)*U285</f>
        <v>-1.9709476883441126E-2</v>
      </c>
      <c r="Z285">
        <f>C285-Y285</f>
        <v>-0.86373766586022283</v>
      </c>
    </row>
    <row r="286" spans="1:26" x14ac:dyDescent="0.75">
      <c r="A286" s="1">
        <v>45614</v>
      </c>
      <c r="B286">
        <v>2.9948308905552501E-2</v>
      </c>
      <c r="C286">
        <v>-0.76567608137869203</v>
      </c>
      <c r="D286">
        <v>2.8669619432408502</v>
      </c>
      <c r="E286" t="s">
        <v>19</v>
      </c>
      <c r="F286">
        <v>-0.73572777247314003</v>
      </c>
      <c r="G286">
        <v>3.1229166666666699</v>
      </c>
      <c r="H286">
        <v>2.5694444444444402</v>
      </c>
      <c r="I286">
        <v>3.7435858053534297E-2</v>
      </c>
      <c r="J286">
        <v>22.975518870246901</v>
      </c>
      <c r="K286">
        <v>17.655252599126801</v>
      </c>
      <c r="L286">
        <v>0.119398963927646</v>
      </c>
      <c r="M286">
        <v>1985.0848303893299</v>
      </c>
      <c r="N286">
        <f t="shared" si="28"/>
        <v>1525.4138245645556</v>
      </c>
      <c r="O286">
        <v>10316.0704833486</v>
      </c>
      <c r="P286">
        <f t="shared" si="29"/>
        <v>2518.781023713565</v>
      </c>
      <c r="Q286">
        <f t="shared" si="30"/>
        <v>5.1401640274712097</v>
      </c>
      <c r="R286">
        <f t="shared" si="31"/>
        <v>12946.947611169575</v>
      </c>
      <c r="T286">
        <f t="shared" si="32"/>
        <v>-2.45291666666667</v>
      </c>
      <c r="U286">
        <f t="shared" si="33"/>
        <v>5.9352729462021038E-3</v>
      </c>
      <c r="V286">
        <f t="shared" si="34"/>
        <v>-1.4558729930954931E-2</v>
      </c>
      <c r="W286">
        <f>F286-V286</f>
        <v>-0.72116904254218506</v>
      </c>
      <c r="Y286">
        <f>(1-H286)*U286</f>
        <v>-9.3150811516782769E-3</v>
      </c>
      <c r="Z286">
        <f>C286-Y286</f>
        <v>-0.7563610002270138</v>
      </c>
    </row>
    <row r="287" spans="1:26" x14ac:dyDescent="0.75">
      <c r="A287" s="1">
        <v>45616</v>
      </c>
      <c r="B287">
        <v>2.5421328332534101E-2</v>
      </c>
      <c r="C287">
        <v>-0.62473136270940899</v>
      </c>
      <c r="D287">
        <v>2.6603284513308898</v>
      </c>
      <c r="E287" t="s">
        <v>19</v>
      </c>
      <c r="F287">
        <v>-0.59931003437687502</v>
      </c>
      <c r="G287">
        <v>1.2775000000000001</v>
      </c>
      <c r="H287">
        <v>1.29388888888889</v>
      </c>
      <c r="I287">
        <v>3.5322217462616601E-2</v>
      </c>
      <c r="J287">
        <v>21.6639464121473</v>
      </c>
      <c r="K287">
        <v>17.567484890834201</v>
      </c>
      <c r="L287">
        <v>0.11594104139901</v>
      </c>
      <c r="M287">
        <v>1871.7649700095301</v>
      </c>
      <c r="N287">
        <f t="shared" si="28"/>
        <v>1517.8306945680752</v>
      </c>
      <c r="O287">
        <v>10017.305976874401</v>
      </c>
      <c r="P287">
        <f t="shared" si="29"/>
        <v>2635.8076876951454</v>
      </c>
      <c r="Q287">
        <f t="shared" si="30"/>
        <v>5.2899603374297346</v>
      </c>
      <c r="R287">
        <f t="shared" si="31"/>
        <v>13943.3181249997</v>
      </c>
      <c r="T287">
        <f t="shared" si="32"/>
        <v>-0.60750000000000004</v>
      </c>
      <c r="U287">
        <f t="shared" si="33"/>
        <v>5.7385333641482572E-3</v>
      </c>
      <c r="V287">
        <f t="shared" si="34"/>
        <v>-3.4861590187200667E-3</v>
      </c>
      <c r="W287">
        <f>F287-V287</f>
        <v>-0.59582387535815495</v>
      </c>
      <c r="Y287">
        <f>(1-H287)*U287</f>
        <v>-1.6864911942413552E-3</v>
      </c>
      <c r="Z287">
        <f>C287-Y287</f>
        <v>-0.62304487151516763</v>
      </c>
    </row>
    <row r="288" spans="1:26" x14ac:dyDescent="0.75">
      <c r="A288" s="1">
        <v>45617</v>
      </c>
      <c r="B288">
        <v>3.5634570015935403E-2</v>
      </c>
      <c r="C288">
        <v>-1.0725028531612799</v>
      </c>
      <c r="D288">
        <v>4.6626523647743099</v>
      </c>
      <c r="E288" t="s">
        <v>19</v>
      </c>
      <c r="F288">
        <v>-1.03686828314534</v>
      </c>
      <c r="G288">
        <v>3.4933333333333301</v>
      </c>
      <c r="H288">
        <v>3.2233333333333301</v>
      </c>
      <c r="I288">
        <v>3.6552238862053402E-2</v>
      </c>
      <c r="J288">
        <v>22.4270659299413</v>
      </c>
      <c r="K288">
        <v>17.5263511929736</v>
      </c>
      <c r="L288">
        <v>0.1179699040292</v>
      </c>
      <c r="M288">
        <v>1937.6984963469199</v>
      </c>
      <c r="N288">
        <f t="shared" si="28"/>
        <v>1514.2767430729191</v>
      </c>
      <c r="O288">
        <v>10192.5997081229</v>
      </c>
      <c r="P288">
        <f t="shared" si="29"/>
        <v>1530.2062511862562</v>
      </c>
      <c r="Q288">
        <f t="shared" si="30"/>
        <v>5.2010047519387665</v>
      </c>
      <c r="R288">
        <f t="shared" si="31"/>
        <v>7958.6099838661239</v>
      </c>
      <c r="T288">
        <f t="shared" si="32"/>
        <v>-2.8233333333333301</v>
      </c>
      <c r="U288">
        <f t="shared" si="33"/>
        <v>5.823016187433575E-3</v>
      </c>
      <c r="V288">
        <f t="shared" si="34"/>
        <v>-1.6440315702520775E-2</v>
      </c>
      <c r="W288">
        <f>F288-V288</f>
        <v>-1.0204279674428192</v>
      </c>
      <c r="Y288">
        <f>(1-H288)*U288</f>
        <v>-1.2946505990060629E-2</v>
      </c>
      <c r="Z288">
        <f>C288-Y288</f>
        <v>-1.0595563471712193</v>
      </c>
    </row>
    <row r="289" spans="1:26" x14ac:dyDescent="0.75">
      <c r="A289" s="1">
        <v>45618</v>
      </c>
      <c r="B289">
        <v>5.9165218031991498E-2</v>
      </c>
      <c r="C289">
        <v>-0.120635619840188</v>
      </c>
      <c r="D289">
        <v>2.5231393942764</v>
      </c>
      <c r="E289" t="s">
        <v>19</v>
      </c>
      <c r="F289">
        <v>-6.1470401808196198E-2</v>
      </c>
      <c r="G289">
        <v>5.8495833333333298</v>
      </c>
      <c r="H289">
        <v>5.6950000000000003</v>
      </c>
      <c r="I289">
        <v>3.4511311120524399E-2</v>
      </c>
      <c r="J289">
        <v>21.1611633589551</v>
      </c>
      <c r="K289">
        <v>17.487688984155199</v>
      </c>
      <c r="L289">
        <v>0.11456696119703701</v>
      </c>
      <c r="M289">
        <v>1828.32451421372</v>
      </c>
      <c r="N289">
        <f t="shared" si="28"/>
        <v>1510.9363282310092</v>
      </c>
      <c r="O289">
        <v>9898.5854474239804</v>
      </c>
      <c r="P289">
        <f t="shared" si="29"/>
        <v>2746.1858940155489</v>
      </c>
      <c r="Q289">
        <f t="shared" si="30"/>
        <v>5.3520318226431201</v>
      </c>
      <c r="R289">
        <f t="shared" si="31"/>
        <v>14697.674295664865</v>
      </c>
      <c r="T289">
        <f t="shared" si="32"/>
        <v>-5.1795833333333299</v>
      </c>
      <c r="U289">
        <f t="shared" si="33"/>
        <v>5.6462157860818849E-3</v>
      </c>
      <c r="V289">
        <f t="shared" si="34"/>
        <v>-2.9245045181993275E-2</v>
      </c>
      <c r="W289">
        <f>F289-V289</f>
        <v>-3.222535662620292E-2</v>
      </c>
      <c r="Y289">
        <f>(1-H289)*U289</f>
        <v>-2.6508983115654451E-2</v>
      </c>
      <c r="Z289">
        <f>C289-Y289</f>
        <v>-9.4126636724533558E-2</v>
      </c>
    </row>
    <row r="290" spans="1:26" x14ac:dyDescent="0.75">
      <c r="A290" s="1">
        <v>45619</v>
      </c>
      <c r="B290">
        <v>2.06185521564499E-2</v>
      </c>
      <c r="C290">
        <v>-0.34439902162417602</v>
      </c>
      <c r="D290">
        <v>5.7446858635297398</v>
      </c>
      <c r="E290" t="s">
        <v>19</v>
      </c>
      <c r="F290">
        <v>-0.32378046946772598</v>
      </c>
      <c r="G290">
        <v>8.1345833333333299</v>
      </c>
      <c r="H290">
        <v>8.3122222222222195</v>
      </c>
      <c r="I290">
        <v>3.3916059347270197E-2</v>
      </c>
      <c r="J290">
        <v>20.792100866467699</v>
      </c>
      <c r="K290">
        <v>17.451913418628902</v>
      </c>
      <c r="L290">
        <v>0.113556812305515</v>
      </c>
      <c r="M290">
        <v>1796.4375148628101</v>
      </c>
      <c r="N290">
        <f t="shared" si="28"/>
        <v>1507.8453193695373</v>
      </c>
      <c r="O290">
        <v>9811.30858319648</v>
      </c>
      <c r="P290">
        <f t="shared" si="29"/>
        <v>1195.5250768085764</v>
      </c>
      <c r="Q290">
        <f t="shared" si="30"/>
        <v>5.3985831397675543</v>
      </c>
      <c r="R290">
        <f t="shared" si="31"/>
        <v>6454.1415228280912</v>
      </c>
      <c r="T290">
        <f t="shared" si="32"/>
        <v>-7.46458333333333</v>
      </c>
      <c r="U290">
        <f t="shared" si="33"/>
        <v>5.5860779776171435E-3</v>
      </c>
      <c r="V290">
        <f t="shared" si="34"/>
        <v>-4.1697744570421282E-2</v>
      </c>
      <c r="W290">
        <f>F290-V290</f>
        <v>-0.28208272489730468</v>
      </c>
      <c r="Y290">
        <f>(1-H290)*U290</f>
        <v>-4.084664352299823E-2</v>
      </c>
      <c r="Z290">
        <f>C290-Y290</f>
        <v>-0.3035523781011778</v>
      </c>
    </row>
    <row r="291" spans="1:26" x14ac:dyDescent="0.75">
      <c r="A291" s="1">
        <v>45620</v>
      </c>
      <c r="B291">
        <v>2.4224780177921301E-2</v>
      </c>
      <c r="C291">
        <v>-0.40383216346134698</v>
      </c>
      <c r="D291">
        <v>6.9075463895965701</v>
      </c>
      <c r="E291" t="s">
        <v>19</v>
      </c>
      <c r="F291">
        <v>-0.37960738328342603</v>
      </c>
      <c r="G291">
        <v>8.1675000000000004</v>
      </c>
      <c r="H291">
        <v>8.2515789473684205</v>
      </c>
      <c r="I291">
        <v>3.3105830454085203E-2</v>
      </c>
      <c r="J291">
        <v>20.290212899232301</v>
      </c>
      <c r="K291">
        <v>17.419475395793398</v>
      </c>
      <c r="L291">
        <v>0.11212562265400999</v>
      </c>
      <c r="M291">
        <v>1753.0743944936701</v>
      </c>
      <c r="N291">
        <f t="shared" si="28"/>
        <v>1505.0426741965498</v>
      </c>
      <c r="O291">
        <v>9687.6537973065097</v>
      </c>
      <c r="P291">
        <f t="shared" si="29"/>
        <v>981.73175765101394</v>
      </c>
      <c r="Q291">
        <f t="shared" si="30"/>
        <v>5.4660959344878144</v>
      </c>
      <c r="R291">
        <f t="shared" si="31"/>
        <v>5366.2399692537838</v>
      </c>
      <c r="T291">
        <f t="shared" si="32"/>
        <v>-7.4975000000000005</v>
      </c>
      <c r="U291">
        <f t="shared" si="33"/>
        <v>5.5068286112602812E-3</v>
      </c>
      <c r="V291">
        <f t="shared" si="34"/>
        <v>-4.1287447512923958E-2</v>
      </c>
      <c r="W291">
        <f>F291-V291</f>
        <v>-0.33831993577050207</v>
      </c>
      <c r="Y291">
        <f>(1-H291)*U291</f>
        <v>-3.9933202424181129E-2</v>
      </c>
      <c r="Z291">
        <f>C291-Y291</f>
        <v>-0.36389896103716585</v>
      </c>
    </row>
    <row r="292" spans="1:26" x14ac:dyDescent="0.75">
      <c r="A292" s="1">
        <v>45621</v>
      </c>
      <c r="B292">
        <v>2.45121152772814E-2</v>
      </c>
      <c r="C292">
        <v>-0.40209103937270801</v>
      </c>
      <c r="D292">
        <v>6.8583263186811498</v>
      </c>
      <c r="E292" t="s">
        <v>19</v>
      </c>
      <c r="F292">
        <v>-0.37757892409542698</v>
      </c>
      <c r="G292">
        <v>8.2308333333333294</v>
      </c>
      <c r="H292">
        <v>8.3015789473684194</v>
      </c>
      <c r="I292">
        <v>3.2759428246129103E-2</v>
      </c>
      <c r="J292">
        <v>20.0754635307241</v>
      </c>
      <c r="K292">
        <v>17.390953104587702</v>
      </c>
      <c r="L292">
        <v>0.111534805380781</v>
      </c>
      <c r="M292">
        <v>1734.5200490545601</v>
      </c>
      <c r="N292">
        <f t="shared" si="28"/>
        <v>1502.5783482363775</v>
      </c>
      <c r="O292">
        <v>9636.6071848994798</v>
      </c>
      <c r="P292">
        <f t="shared" si="29"/>
        <v>983.5672314184684</v>
      </c>
      <c r="Q292">
        <f t="shared" si="30"/>
        <v>5.4943820480496051</v>
      </c>
      <c r="R292">
        <f t="shared" si="31"/>
        <v>5404.094139355484</v>
      </c>
      <c r="T292">
        <f t="shared" si="32"/>
        <v>-7.5608333333333295</v>
      </c>
      <c r="U292">
        <f t="shared" si="33"/>
        <v>5.4695080724128479E-3</v>
      </c>
      <c r="V292">
        <f t="shared" si="34"/>
        <v>-4.1354038950834789E-2</v>
      </c>
      <c r="W292">
        <f>F292-V292</f>
        <v>-0.3362248851445922</v>
      </c>
      <c r="Y292">
        <f>(1-H292)*U292</f>
        <v>-3.9936044993991275E-2</v>
      </c>
      <c r="Z292">
        <f>C292-Y292</f>
        <v>-0.36215499437871673</v>
      </c>
    </row>
    <row r="293" spans="1:26" x14ac:dyDescent="0.75">
      <c r="A293" s="1">
        <v>45622</v>
      </c>
      <c r="B293">
        <v>3.4111804419669399E-2</v>
      </c>
      <c r="C293">
        <v>-0.63212400007949399</v>
      </c>
      <c r="D293">
        <v>6.9652454169198803</v>
      </c>
      <c r="E293" t="s">
        <v>19</v>
      </c>
      <c r="F293">
        <v>-0.598012195659824</v>
      </c>
      <c r="G293">
        <v>7.6395833333333298</v>
      </c>
      <c r="H293">
        <v>7.7142105263157896</v>
      </c>
      <c r="I293">
        <v>3.3707630900110197E-2</v>
      </c>
      <c r="J293">
        <v>20.6631602173324</v>
      </c>
      <c r="K293">
        <v>17.3668880206891</v>
      </c>
      <c r="L293">
        <v>0.11316803880626899</v>
      </c>
      <c r="M293">
        <v>1785.2970427775199</v>
      </c>
      <c r="N293">
        <f t="shared" si="28"/>
        <v>1500.4991249875384</v>
      </c>
      <c r="O293">
        <v>9777.7185528616392</v>
      </c>
      <c r="P293">
        <f t="shared" si="29"/>
        <v>982.65065727286731</v>
      </c>
      <c r="Q293">
        <f t="shared" si="30"/>
        <v>5.4168239842289552</v>
      </c>
      <c r="R293">
        <f t="shared" si="31"/>
        <v>5322.8456484340149</v>
      </c>
      <c r="T293">
        <f t="shared" si="32"/>
        <v>-6.9695833333333299</v>
      </c>
      <c r="U293">
        <f t="shared" si="33"/>
        <v>5.5401435577608982E-3</v>
      </c>
      <c r="V293">
        <f t="shared" si="34"/>
        <v>-3.8612492204444376E-2</v>
      </c>
      <c r="W293">
        <f>F293-V293</f>
        <v>-0.55939970345537959</v>
      </c>
      <c r="Y293">
        <f>(1-H293)*U293</f>
        <v>-3.7197690192818829E-2</v>
      </c>
      <c r="Z293">
        <f>C293-Y293</f>
        <v>-0.59492630988667516</v>
      </c>
    </row>
    <row r="294" spans="1:26" x14ac:dyDescent="0.75">
      <c r="A294" s="1">
        <v>45623</v>
      </c>
      <c r="B294">
        <v>8.2018780977800299E-2</v>
      </c>
      <c r="C294">
        <v>-1.3643539315072599</v>
      </c>
      <c r="D294">
        <v>11.895225855891001</v>
      </c>
      <c r="E294" t="s">
        <v>19</v>
      </c>
      <c r="F294">
        <v>-1.28233515052946</v>
      </c>
      <c r="G294">
        <v>6.6437499999999998</v>
      </c>
      <c r="H294">
        <v>6.6352631578947401</v>
      </c>
      <c r="I294">
        <v>3.2606776425674201E-2</v>
      </c>
      <c r="J294">
        <v>19.980625294370899</v>
      </c>
      <c r="K294">
        <v>17.347738942853301</v>
      </c>
      <c r="L294">
        <v>0.111300014794022</v>
      </c>
      <c r="M294">
        <v>1726.3260254336501</v>
      </c>
      <c r="N294">
        <f t="shared" si="28"/>
        <v>1498.8446446625253</v>
      </c>
      <c r="O294">
        <v>9616.3212782034807</v>
      </c>
      <c r="P294">
        <f t="shared" si="29"/>
        <v>565.89298734573924</v>
      </c>
      <c r="Q294">
        <f t="shared" si="30"/>
        <v>5.5056168905174774</v>
      </c>
      <c r="R294">
        <f t="shared" si="31"/>
        <v>3115.589989356095</v>
      </c>
      <c r="T294">
        <f t="shared" si="32"/>
        <v>-5.9737499999999999</v>
      </c>
      <c r="U294">
        <f t="shared" si="33"/>
        <v>5.444783661732947E-3</v>
      </c>
      <c r="V294">
        <f t="shared" si="34"/>
        <v>-3.2525776399277194E-2</v>
      </c>
      <c r="W294">
        <f>F294-V294</f>
        <v>-1.2498093741301828</v>
      </c>
      <c r="Y294">
        <f>(1-H294)*U294</f>
        <v>-3.0682788771670893E-2</v>
      </c>
      <c r="Z294">
        <f>C294-Y294</f>
        <v>-1.333671142735589</v>
      </c>
    </row>
    <row r="295" spans="1:26" x14ac:dyDescent="0.75">
      <c r="A295" s="1">
        <v>45624</v>
      </c>
      <c r="B295">
        <v>5.8745784255310497E-2</v>
      </c>
      <c r="C295">
        <v>-1.1106561677375899</v>
      </c>
      <c r="D295">
        <v>7.1734757924141901</v>
      </c>
      <c r="E295" t="s">
        <v>19</v>
      </c>
      <c r="F295">
        <v>-1.0519103834822801</v>
      </c>
      <c r="G295">
        <v>5.63791666666667</v>
      </c>
      <c r="H295">
        <v>5.73157894736842</v>
      </c>
      <c r="I295">
        <v>3.4127423406361997E-2</v>
      </c>
      <c r="J295">
        <v>20.923066725358499</v>
      </c>
      <c r="K295">
        <v>17.333911898955598</v>
      </c>
      <c r="L295">
        <v>0.11392529827126301</v>
      </c>
      <c r="M295">
        <v>1807.75296507097</v>
      </c>
      <c r="N295">
        <f t="shared" si="28"/>
        <v>1497.6499880697638</v>
      </c>
      <c r="O295">
        <v>9843.1457706370893</v>
      </c>
      <c r="P295">
        <f t="shared" si="29"/>
        <v>960.51094878332424</v>
      </c>
      <c r="Q295">
        <f t="shared" si="30"/>
        <v>5.3814791890535583</v>
      </c>
      <c r="R295">
        <f t="shared" si="31"/>
        <v>5168.969681735548</v>
      </c>
      <c r="T295">
        <f t="shared" si="32"/>
        <v>-4.9679166666666701</v>
      </c>
      <c r="U295">
        <f t="shared" si="33"/>
        <v>5.5659417623174189E-3</v>
      </c>
      <c r="V295">
        <f t="shared" si="34"/>
        <v>-2.7651134846712763E-2</v>
      </c>
      <c r="W295">
        <f>F295-V295</f>
        <v>-1.0242592486355673</v>
      </c>
      <c r="Y295">
        <f>(1-H295)*U295</f>
        <v>-2.6335692864859782E-2</v>
      </c>
      <c r="Z295">
        <f>C295-Y295</f>
        <v>-1.0843204748727302</v>
      </c>
    </row>
    <row r="296" spans="1:26" x14ac:dyDescent="0.75">
      <c r="A296" s="1">
        <v>45625</v>
      </c>
      <c r="B296">
        <v>2.3916293192117601E-2</v>
      </c>
      <c r="C296">
        <v>-0.24058689892994101</v>
      </c>
      <c r="D296">
        <v>2.4579085674238201</v>
      </c>
      <c r="E296" t="s">
        <v>19</v>
      </c>
      <c r="F296">
        <v>-0.21667060573782301</v>
      </c>
      <c r="G296">
        <v>5.5049999999999999</v>
      </c>
      <c r="H296">
        <v>5.5878947368421104</v>
      </c>
      <c r="I296">
        <v>3.7306691128533902E-2</v>
      </c>
      <c r="J296">
        <v>22.894967649328201</v>
      </c>
      <c r="K296">
        <v>17.325813305440999</v>
      </c>
      <c r="L296">
        <v>0.119233579688814</v>
      </c>
      <c r="M296">
        <v>1978.1252049019499</v>
      </c>
      <c r="N296">
        <f t="shared" si="28"/>
        <v>1496.9502695901024</v>
      </c>
      <c r="O296">
        <v>10301.7812851136</v>
      </c>
      <c r="P296">
        <f t="shared" si="29"/>
        <v>2933.8955057786229</v>
      </c>
      <c r="Q296">
        <f t="shared" si="30"/>
        <v>5.1470065381073562</v>
      </c>
      <c r="R296">
        <f t="shared" si="31"/>
        <v>15100.779350366362</v>
      </c>
      <c r="T296">
        <f t="shared" si="32"/>
        <v>-4.835</v>
      </c>
      <c r="U296">
        <f t="shared" si="33"/>
        <v>5.816780136209258E-3</v>
      </c>
      <c r="V296">
        <f t="shared" si="34"/>
        <v>-2.8124131958571764E-2</v>
      </c>
      <c r="W296">
        <f>F296-V296</f>
        <v>-0.18854647377925124</v>
      </c>
      <c r="Y296">
        <f>(1-H296)*U296</f>
        <v>-2.6686774972282189E-2</v>
      </c>
      <c r="Z296">
        <f>C296-Y296</f>
        <v>-0.21390012395765881</v>
      </c>
    </row>
    <row r="297" spans="1:26" x14ac:dyDescent="0.75">
      <c r="A297" s="1">
        <v>45626</v>
      </c>
      <c r="B297">
        <v>2.33010863589284E-2</v>
      </c>
      <c r="C297">
        <v>-0.30019645802774497</v>
      </c>
      <c r="D297">
        <v>8.3325124795034995</v>
      </c>
      <c r="E297" t="s">
        <v>19</v>
      </c>
      <c r="F297">
        <v>-0.276895371668817</v>
      </c>
      <c r="G297">
        <v>8.4287500000000009</v>
      </c>
      <c r="H297">
        <v>8.3926315789473698</v>
      </c>
      <c r="I297">
        <v>3.6842864443304597E-2</v>
      </c>
      <c r="J297">
        <v>22.607334267086699</v>
      </c>
      <c r="K297">
        <v>17.324074182485798</v>
      </c>
      <c r="L297">
        <v>0.11845354275591601</v>
      </c>
      <c r="M297">
        <v>1953.27368067629</v>
      </c>
      <c r="N297">
        <f t="shared" si="28"/>
        <v>1496.8000093667731</v>
      </c>
      <c r="O297">
        <v>10234.3860941112</v>
      </c>
      <c r="P297">
        <f t="shared" si="29"/>
        <v>859.77312167250625</v>
      </c>
      <c r="Q297">
        <f t="shared" si="30"/>
        <v>5.1802165285235313</v>
      </c>
      <c r="R297">
        <f t="shared" si="31"/>
        <v>4453.8109356681898</v>
      </c>
      <c r="T297">
        <f t="shared" si="32"/>
        <v>-7.7587500000000009</v>
      </c>
      <c r="U297">
        <f t="shared" si="33"/>
        <v>5.7789090518708189E-3</v>
      </c>
      <c r="V297">
        <f t="shared" si="34"/>
        <v>-4.4837110606202719E-2</v>
      </c>
      <c r="W297">
        <f>F297-V297</f>
        <v>-0.23205826106261429</v>
      </c>
      <c r="Y297">
        <f>(1-H297)*U297</f>
        <v>-4.2721345548725018E-2</v>
      </c>
      <c r="Z297">
        <f>C297-Y297</f>
        <v>-0.25747511247901994</v>
      </c>
    </row>
    <row r="298" spans="1:26" x14ac:dyDescent="0.75">
      <c r="A298" s="1">
        <v>45635</v>
      </c>
      <c r="B298">
        <v>4.6075242571632098E-2</v>
      </c>
      <c r="C298">
        <v>-0.69116856754807199</v>
      </c>
      <c r="D298">
        <v>7.3471091217284501</v>
      </c>
      <c r="E298" t="s">
        <v>19</v>
      </c>
      <c r="F298">
        <v>-0.64509332497644001</v>
      </c>
      <c r="G298">
        <v>8.3070833333333294</v>
      </c>
      <c r="H298">
        <v>8.2910526315789497</v>
      </c>
      <c r="I298">
        <v>3.9109156854677397E-2</v>
      </c>
      <c r="J298">
        <v>24.0137761154011</v>
      </c>
      <c r="K298">
        <v>17.963612529970401</v>
      </c>
      <c r="L298">
        <v>0.12214421524241301</v>
      </c>
      <c r="M298">
        <v>2074.7902563706498</v>
      </c>
      <c r="N298">
        <f t="shared" si="28"/>
        <v>1552.0561225894428</v>
      </c>
      <c r="O298">
        <v>10553.2601969445</v>
      </c>
      <c r="P298">
        <f t="shared" si="29"/>
        <v>1005.4678670844688</v>
      </c>
      <c r="Q298">
        <f t="shared" si="30"/>
        <v>5.0270024921722118</v>
      </c>
      <c r="R298">
        <f t="shared" si="31"/>
        <v>5054.4894736327033</v>
      </c>
      <c r="T298">
        <f t="shared" si="32"/>
        <v>-7.6370833333333294</v>
      </c>
      <c r="U298">
        <f t="shared" si="33"/>
        <v>6.1748770763739398E-3</v>
      </c>
      <c r="V298">
        <f t="shared" si="34"/>
        <v>-4.7158050805357454E-2</v>
      </c>
      <c r="W298">
        <f>F298-V298</f>
        <v>-0.59793527417108261</v>
      </c>
      <c r="Y298">
        <f>(1-H298)*U298</f>
        <v>-4.5021353757372748E-2</v>
      </c>
      <c r="Z298">
        <f>C298-Y298</f>
        <v>-0.64614721379069928</v>
      </c>
    </row>
    <row r="299" spans="1:26" x14ac:dyDescent="0.75">
      <c r="A299" s="1">
        <v>45636</v>
      </c>
      <c r="B299">
        <v>7.3521506162313996E-2</v>
      </c>
      <c r="C299">
        <v>-1.4633047028814701</v>
      </c>
      <c r="D299">
        <v>12.054412344638401</v>
      </c>
      <c r="E299" t="s">
        <v>19</v>
      </c>
      <c r="F299">
        <v>-1.3897831967191601</v>
      </c>
      <c r="G299">
        <v>7.22</v>
      </c>
      <c r="H299">
        <v>7.1778947368421004</v>
      </c>
      <c r="I299">
        <v>3.9452623450701198E-2</v>
      </c>
      <c r="J299">
        <v>24.227186999356501</v>
      </c>
      <c r="K299">
        <v>18.087134728813801</v>
      </c>
      <c r="L299">
        <v>0.122674191091233</v>
      </c>
      <c r="M299">
        <v>2093.2289567444</v>
      </c>
      <c r="N299">
        <f t="shared" si="28"/>
        <v>1562.7284405695125</v>
      </c>
      <c r="O299">
        <v>10599.0501102825</v>
      </c>
      <c r="P299">
        <f t="shared" si="29"/>
        <v>615.48708183171982</v>
      </c>
      <c r="Q299">
        <f t="shared" si="30"/>
        <v>5.0058046922980823</v>
      </c>
      <c r="R299">
        <f t="shared" si="31"/>
        <v>3081.0081222820768</v>
      </c>
      <c r="T299">
        <f t="shared" si="32"/>
        <v>-6.55</v>
      </c>
      <c r="U299">
        <f t="shared" si="33"/>
        <v>6.2436652511590083E-3</v>
      </c>
      <c r="V299">
        <f t="shared" si="34"/>
        <v>-4.0896007395091506E-2</v>
      </c>
      <c r="W299">
        <f>F299-V299</f>
        <v>-1.3488871893240686</v>
      </c>
      <c r="Y299">
        <f>(1-H299)*U299</f>
        <v>-3.8572706693739148E-2</v>
      </c>
      <c r="Z299">
        <f>C299-Y299</f>
        <v>-1.4247319961877309</v>
      </c>
    </row>
    <row r="300" spans="1:26" x14ac:dyDescent="0.75">
      <c r="A300" s="1">
        <v>45637</v>
      </c>
      <c r="B300">
        <v>2.4269352572088999E-2</v>
      </c>
      <c r="C300">
        <v>-0.45962066086518399</v>
      </c>
      <c r="D300">
        <v>2.68877030383522</v>
      </c>
      <c r="E300" t="s">
        <v>19</v>
      </c>
      <c r="F300">
        <v>-0.43535130829309499</v>
      </c>
      <c r="G300">
        <v>6.7495833333333302</v>
      </c>
      <c r="H300">
        <v>6.7789473684210497</v>
      </c>
      <c r="I300">
        <v>6.6416219044559396E-2</v>
      </c>
      <c r="J300">
        <v>41.042625757678699</v>
      </c>
      <c r="K300">
        <v>18.218392915515299</v>
      </c>
      <c r="L300">
        <v>0.158338381543012</v>
      </c>
      <c r="M300">
        <v>3546.0828654634402</v>
      </c>
      <c r="N300">
        <f t="shared" si="28"/>
        <v>1574.069147900522</v>
      </c>
      <c r="O300">
        <v>13680.4361653162</v>
      </c>
      <c r="P300">
        <f t="shared" si="29"/>
        <v>3561.5929341609612</v>
      </c>
      <c r="Q300">
        <f t="shared" si="30"/>
        <v>3.9027864430014607</v>
      </c>
      <c r="R300">
        <f t="shared" si="31"/>
        <v>13900.136618933193</v>
      </c>
      <c r="T300">
        <f t="shared" si="32"/>
        <v>-6.0795833333333302</v>
      </c>
      <c r="U300">
        <f t="shared" si="33"/>
        <v>8.0663862647323073E-3</v>
      </c>
      <c r="V300">
        <f t="shared" si="34"/>
        <v>-4.9040267495295428E-2</v>
      </c>
      <c r="W300">
        <f>F300-V300</f>
        <v>-0.38631104079779954</v>
      </c>
      <c r="Y300">
        <f>(1-H300)*U300</f>
        <v>-4.6615221677242469E-2</v>
      </c>
      <c r="Z300">
        <f>C300-Y300</f>
        <v>-0.41300543918794153</v>
      </c>
    </row>
    <row r="301" spans="1:26" x14ac:dyDescent="0.75">
      <c r="A301" s="1">
        <v>45638</v>
      </c>
      <c r="B301">
        <v>2.6638246449656101E-2</v>
      </c>
      <c r="C301">
        <v>-0.57210384773390099</v>
      </c>
      <c r="D301">
        <v>7.58895283452655</v>
      </c>
      <c r="E301" t="s">
        <v>19</v>
      </c>
      <c r="F301">
        <v>-0.54546560128424504</v>
      </c>
      <c r="G301">
        <v>8.3916666666666693</v>
      </c>
      <c r="H301">
        <v>8.3389473684210493</v>
      </c>
      <c r="I301">
        <v>6.8867455007637302E-2</v>
      </c>
      <c r="J301">
        <v>42.555863244976102</v>
      </c>
      <c r="K301">
        <v>18.356926721375</v>
      </c>
      <c r="L301">
        <v>0.16293753098593</v>
      </c>
      <c r="M301">
        <v>3676.8265843659301</v>
      </c>
      <c r="N301">
        <f t="shared" si="28"/>
        <v>1586.0384687268001</v>
      </c>
      <c r="O301">
        <v>14077.8026771844</v>
      </c>
      <c r="P301">
        <f t="shared" si="29"/>
        <v>1298.5272262064159</v>
      </c>
      <c r="Q301">
        <f t="shared" si="30"/>
        <v>3.7924882117578247</v>
      </c>
      <c r="R301">
        <f t="shared" si="31"/>
        <v>4924.6491980344181</v>
      </c>
      <c r="T301">
        <f t="shared" si="32"/>
        <v>-7.7216666666666693</v>
      </c>
      <c r="U301">
        <f t="shared" si="33"/>
        <v>8.3641049367516353E-3</v>
      </c>
      <c r="V301">
        <f t="shared" si="34"/>
        <v>-6.458483028661724E-2</v>
      </c>
      <c r="W301">
        <f>F301-V301</f>
        <v>-0.48088077099762783</v>
      </c>
      <c r="Y301">
        <f>(1-H301)*U301</f>
        <v>-6.1383725914770919E-2</v>
      </c>
      <c r="Z301">
        <f>C301-Y301</f>
        <v>-0.51072012181913007</v>
      </c>
    </row>
    <row r="302" spans="1:26" x14ac:dyDescent="0.75">
      <c r="A302" s="1">
        <v>45639</v>
      </c>
      <c r="B302">
        <v>4.3009968104042402E-2</v>
      </c>
      <c r="C302">
        <v>-0.645081468840356</v>
      </c>
      <c r="D302">
        <v>6.2297284075988202</v>
      </c>
      <c r="E302" t="s">
        <v>19</v>
      </c>
      <c r="F302">
        <v>-0.60207150073631299</v>
      </c>
      <c r="G302">
        <v>8.67</v>
      </c>
      <c r="H302">
        <v>8.6568421052631592</v>
      </c>
      <c r="I302">
        <v>5.5739850081098601E-2</v>
      </c>
      <c r="J302">
        <v>34.361211783899101</v>
      </c>
      <c r="K302">
        <v>18.502235416302</v>
      </c>
      <c r="L302">
        <v>0.146372977217613</v>
      </c>
      <c r="M302">
        <v>2968.8086981288898</v>
      </c>
      <c r="N302">
        <f t="shared" si="28"/>
        <v>1598.5931399684928</v>
      </c>
      <c r="O302">
        <v>12646.6252316018</v>
      </c>
      <c r="P302">
        <f t="shared" si="29"/>
        <v>1421.0310759812737</v>
      </c>
      <c r="Q302">
        <f t="shared" si="30"/>
        <v>4.211548133109277</v>
      </c>
      <c r="R302">
        <f t="shared" si="31"/>
        <v>5984.7407751392002</v>
      </c>
      <c r="T302">
        <f t="shared" si="32"/>
        <v>-8</v>
      </c>
      <c r="U302">
        <f t="shared" si="33"/>
        <v>7.5914751034237525E-3</v>
      </c>
      <c r="V302">
        <f t="shared" si="34"/>
        <v>-6.073180082739002E-2</v>
      </c>
      <c r="W302">
        <f>F302-V302</f>
        <v>-0.54133969990892294</v>
      </c>
      <c r="Y302">
        <f>(1-H302)*U302</f>
        <v>-5.8126726212951986E-2</v>
      </c>
      <c r="Z302">
        <f>C302-Y302</f>
        <v>-0.58695474262740399</v>
      </c>
    </row>
    <row r="303" spans="1:26" x14ac:dyDescent="0.75">
      <c r="A303" s="1">
        <v>45640</v>
      </c>
      <c r="B303">
        <v>5.5141189049943203E-2</v>
      </c>
      <c r="C303">
        <v>-1.15717084703106</v>
      </c>
      <c r="D303">
        <v>7.3075147090547103</v>
      </c>
      <c r="E303" t="s">
        <v>19</v>
      </c>
      <c r="F303">
        <v>-1.10202965798111</v>
      </c>
      <c r="G303">
        <v>7.415</v>
      </c>
      <c r="H303">
        <v>7.4184210526315804</v>
      </c>
      <c r="I303">
        <v>5.2345831055298497E-2</v>
      </c>
      <c r="J303">
        <v>32.246167244263901</v>
      </c>
      <c r="K303">
        <v>18.653827952766601</v>
      </c>
      <c r="L303">
        <v>0.141762887525964</v>
      </c>
      <c r="M303">
        <v>2786.0688499043999</v>
      </c>
      <c r="N303">
        <f t="shared" si="28"/>
        <v>1611.6907351190346</v>
      </c>
      <c r="O303">
        <v>12248.3134822433</v>
      </c>
      <c r="P303">
        <f t="shared" si="29"/>
        <v>1173.2880163684824</v>
      </c>
      <c r="Q303">
        <f t="shared" si="30"/>
        <v>4.3454369438517713</v>
      </c>
      <c r="R303">
        <f t="shared" si="31"/>
        <v>5098.4490921061652</v>
      </c>
      <c r="T303">
        <f t="shared" si="32"/>
        <v>-6.7450000000000001</v>
      </c>
      <c r="U303">
        <f t="shared" si="33"/>
        <v>7.4178535136696332E-3</v>
      </c>
      <c r="V303">
        <f t="shared" si="34"/>
        <v>-5.003342194970168E-2</v>
      </c>
      <c r="W303">
        <f>F303-V303</f>
        <v>-1.0519962360314083</v>
      </c>
      <c r="Y303">
        <f>(1-H303)*U303</f>
        <v>-4.7610907157474312E-2</v>
      </c>
      <c r="Z303">
        <f>C303-Y303</f>
        <v>-1.1095599398735856</v>
      </c>
    </row>
    <row r="304" spans="1:26" x14ac:dyDescent="0.75">
      <c r="A304" s="1">
        <v>45641</v>
      </c>
      <c r="B304">
        <v>0.10662078243192</v>
      </c>
      <c r="C304">
        <v>-3.2190617567209698</v>
      </c>
      <c r="D304">
        <v>16.5912361131195</v>
      </c>
      <c r="E304" t="s">
        <v>19</v>
      </c>
      <c r="F304">
        <v>-3.1124409742890502</v>
      </c>
      <c r="G304">
        <v>6.5162500000000003</v>
      </c>
      <c r="H304">
        <v>6.4947368421052598</v>
      </c>
      <c r="I304">
        <v>5.52080526888327E-2</v>
      </c>
      <c r="J304">
        <v>34.029637022313501</v>
      </c>
      <c r="K304">
        <v>18.811235620331001</v>
      </c>
      <c r="L304">
        <v>0.14566711302666899</v>
      </c>
      <c r="M304">
        <v>2940.1606387278798</v>
      </c>
      <c r="N304">
        <f t="shared" si="28"/>
        <v>1625.2907575965985</v>
      </c>
      <c r="O304">
        <v>12585.6385655042</v>
      </c>
      <c r="P304">
        <f t="shared" si="29"/>
        <v>531.00003735625728</v>
      </c>
      <c r="Q304">
        <f t="shared" si="30"/>
        <v>4.2314905448964506</v>
      </c>
      <c r="R304">
        <f t="shared" si="31"/>
        <v>2246.9216374126649</v>
      </c>
      <c r="T304">
        <f t="shared" si="32"/>
        <v>-5.8462500000000004</v>
      </c>
      <c r="U304">
        <f t="shared" si="33"/>
        <v>7.6818829693798664E-3</v>
      </c>
      <c r="V304">
        <f t="shared" si="34"/>
        <v>-4.4910208309737049E-2</v>
      </c>
      <c r="W304">
        <f>F304-V304</f>
        <v>-3.067530765979313</v>
      </c>
      <c r="Y304">
        <f>(1-H304)*U304</f>
        <v>-4.2209925368592506E-2</v>
      </c>
      <c r="Z304">
        <f>C304-Y304</f>
        <v>-3.1768518313523773</v>
      </c>
    </row>
    <row r="305" spans="1:26" x14ac:dyDescent="0.75">
      <c r="A305" s="1">
        <v>45642</v>
      </c>
      <c r="B305">
        <v>0.126734786927367</v>
      </c>
      <c r="C305">
        <v>-4.1012763825251897</v>
      </c>
      <c r="D305">
        <v>18.886489090978198</v>
      </c>
      <c r="E305" t="s">
        <v>19</v>
      </c>
      <c r="F305">
        <v>-3.9745415955978198</v>
      </c>
      <c r="G305">
        <v>6.2154166666666697</v>
      </c>
      <c r="H305">
        <v>6.1710526315789496</v>
      </c>
      <c r="I305">
        <v>5.8859953932029301E-2</v>
      </c>
      <c r="J305">
        <v>36.3063879567962</v>
      </c>
      <c r="K305">
        <v>18.9739863144633</v>
      </c>
      <c r="L305">
        <v>0.15053220762141001</v>
      </c>
      <c r="M305">
        <v>3136.8719194671899</v>
      </c>
      <c r="N305">
        <f t="shared" si="28"/>
        <v>1639.3524175696293</v>
      </c>
      <c r="O305">
        <v>13005.9827384898</v>
      </c>
      <c r="P305">
        <f t="shared" si="29"/>
        <v>482.04766238378301</v>
      </c>
      <c r="Q305">
        <f t="shared" si="30"/>
        <v>4.0976390073786506</v>
      </c>
      <c r="R305">
        <f t="shared" si="31"/>
        <v>1975.2573047994836</v>
      </c>
      <c r="T305">
        <f t="shared" si="32"/>
        <v>-5.5454166666666698</v>
      </c>
      <c r="U305">
        <f t="shared" si="33"/>
        <v>8.0014487104287848E-3</v>
      </c>
      <c r="V305">
        <f t="shared" si="34"/>
        <v>-4.4371367036290313E-2</v>
      </c>
      <c r="W305">
        <f>F305-V305</f>
        <v>-3.9301702285615296</v>
      </c>
      <c r="Y305">
        <f>(1-H305)*U305</f>
        <v>-4.1375912410506761E-2</v>
      </c>
      <c r="Z305">
        <f>C305-Y305</f>
        <v>-4.059900470114683</v>
      </c>
    </row>
    <row r="306" spans="1:26" x14ac:dyDescent="0.75">
      <c r="A306" s="1">
        <v>45643</v>
      </c>
      <c r="B306">
        <v>9.6436383058398606E-2</v>
      </c>
      <c r="C306">
        <v>-3.8810452209363899</v>
      </c>
      <c r="D306">
        <v>14.874479388700999</v>
      </c>
      <c r="E306" t="s">
        <v>19</v>
      </c>
      <c r="F306">
        <v>-3.7846088378779901</v>
      </c>
      <c r="G306">
        <v>5.7383333333333297</v>
      </c>
      <c r="H306">
        <v>5.7052631578947404</v>
      </c>
      <c r="I306">
        <v>6.3283921113296698E-2</v>
      </c>
      <c r="J306">
        <v>39.066819480567602</v>
      </c>
      <c r="K306">
        <v>19.1416106398447</v>
      </c>
      <c r="L306">
        <v>0.156210626301164</v>
      </c>
      <c r="M306">
        <v>3375.3732031210402</v>
      </c>
      <c r="N306">
        <f t="shared" si="28"/>
        <v>1653.8351592825823</v>
      </c>
      <c r="O306">
        <v>13496.598112420599</v>
      </c>
      <c r="P306">
        <f t="shared" si="29"/>
        <v>635.15625870382053</v>
      </c>
      <c r="Q306">
        <f t="shared" si="30"/>
        <v>3.9518832120558773</v>
      </c>
      <c r="R306">
        <f t="shared" si="31"/>
        <v>2510.063355803848</v>
      </c>
      <c r="T306">
        <f t="shared" si="32"/>
        <v>-5.0683333333333298</v>
      </c>
      <c r="U306">
        <f t="shared" si="33"/>
        <v>8.3698584727265376E-3</v>
      </c>
      <c r="V306">
        <f t="shared" si="34"/>
        <v>-4.2421232692602305E-2</v>
      </c>
      <c r="W306">
        <f>F306-V306</f>
        <v>-3.742187605185388</v>
      </c>
      <c r="Y306">
        <f>(1-H306)*U306</f>
        <v>-3.9382386708513316E-2</v>
      </c>
      <c r="Z306">
        <f>C306-Y306</f>
        <v>-3.8416628342278765</v>
      </c>
    </row>
    <row r="307" spans="1:26" x14ac:dyDescent="0.75">
      <c r="A307" s="1">
        <v>45644</v>
      </c>
      <c r="B307">
        <v>0.122064444552799</v>
      </c>
      <c r="C307">
        <v>-5.2677043734351603</v>
      </c>
      <c r="D307">
        <v>19.275484992297699</v>
      </c>
      <c r="E307" t="s">
        <v>19</v>
      </c>
      <c r="F307">
        <v>-5.1456399288823604</v>
      </c>
      <c r="G307">
        <v>5.5391666666666701</v>
      </c>
      <c r="H307">
        <v>5.5168421052631604</v>
      </c>
      <c r="I307">
        <v>6.6859496446265598E-2</v>
      </c>
      <c r="J307">
        <v>41.299756211946899</v>
      </c>
      <c r="K307">
        <v>19.3136473948244</v>
      </c>
      <c r="L307">
        <v>0.160634354135303</v>
      </c>
      <c r="M307">
        <v>3568.29893671221</v>
      </c>
      <c r="N307">
        <f t="shared" si="28"/>
        <v>1668.6991349128282</v>
      </c>
      <c r="O307">
        <v>13878.8081972902</v>
      </c>
      <c r="P307">
        <f t="shared" si="29"/>
        <v>504.01666894426927</v>
      </c>
      <c r="Q307">
        <f t="shared" si="30"/>
        <v>3.8454392540539302</v>
      </c>
      <c r="R307">
        <f t="shared" si="31"/>
        <v>1938.1654834557976</v>
      </c>
      <c r="T307">
        <f t="shared" si="32"/>
        <v>-4.8691666666666702</v>
      </c>
      <c r="U307">
        <f t="shared" si="33"/>
        <v>8.6788479789592626E-3</v>
      </c>
      <c r="V307">
        <f t="shared" si="34"/>
        <v>-4.2258757284215839E-2</v>
      </c>
      <c r="W307">
        <f>F307-V307</f>
        <v>-5.1033811715981443</v>
      </c>
      <c r="Y307">
        <f>(1-H307)*U307</f>
        <v>-3.9200985976541279E-2</v>
      </c>
      <c r="Z307">
        <f>C307-Y307</f>
        <v>-5.2285033874586189</v>
      </c>
    </row>
    <row r="308" spans="1:26" x14ac:dyDescent="0.75">
      <c r="A308" s="1">
        <v>45645</v>
      </c>
      <c r="B308">
        <v>7.5267983170139496E-2</v>
      </c>
      <c r="C308">
        <v>-4.3151105900393798</v>
      </c>
      <c r="D308">
        <v>16.061581395563099</v>
      </c>
      <c r="E308" t="s">
        <v>19</v>
      </c>
      <c r="F308">
        <v>-4.2398426068692396</v>
      </c>
      <c r="G308">
        <v>5.7108333333333299</v>
      </c>
      <c r="H308">
        <v>5.6663157894736802</v>
      </c>
      <c r="I308">
        <v>6.9759881034913596E-2</v>
      </c>
      <c r="J308">
        <v>43.111539187159899</v>
      </c>
      <c r="K308">
        <v>19.4896111520173</v>
      </c>
      <c r="L308">
        <v>0.16417935935116801</v>
      </c>
      <c r="M308">
        <v>3724.8369857706102</v>
      </c>
      <c r="N308">
        <f t="shared" si="28"/>
        <v>1683.9024035342948</v>
      </c>
      <c r="O308">
        <v>14185.0966479409</v>
      </c>
      <c r="P308">
        <f t="shared" si="29"/>
        <v>618.21855575825202</v>
      </c>
      <c r="Q308">
        <f t="shared" si="30"/>
        <v>3.7641700991716367</v>
      </c>
      <c r="R308">
        <f t="shared" si="31"/>
        <v>2327.0798023382854</v>
      </c>
      <c r="T308">
        <f t="shared" si="32"/>
        <v>-5.0408333333333299</v>
      </c>
      <c r="U308">
        <f t="shared" si="33"/>
        <v>8.9470048333090118E-3</v>
      </c>
      <c r="V308">
        <f t="shared" si="34"/>
        <v>-4.5100360197238482E-2</v>
      </c>
      <c r="W308">
        <f>F308-V308</f>
        <v>-4.1947422466720008</v>
      </c>
      <c r="Y308">
        <f>(1-H308)*U308</f>
        <v>-4.1749549922167173E-2</v>
      </c>
      <c r="Z308">
        <f>C308-Y308</f>
        <v>-4.2733610401172122</v>
      </c>
    </row>
    <row r="309" spans="1:26" x14ac:dyDescent="0.75">
      <c r="A309" s="1">
        <v>45646</v>
      </c>
      <c r="B309">
        <v>3.3431633524187099E-2</v>
      </c>
      <c r="C309">
        <v>-1.75983307348009</v>
      </c>
      <c r="D309">
        <v>8.1084258430518492</v>
      </c>
      <c r="E309" t="s">
        <v>19</v>
      </c>
      <c r="F309">
        <v>-1.72640143995591</v>
      </c>
      <c r="G309">
        <v>6.1541666666666703</v>
      </c>
      <c r="H309">
        <v>6.1184210526315796</v>
      </c>
      <c r="I309">
        <v>6.8371336591158002E-2</v>
      </c>
      <c r="J309">
        <v>42.243958306682998</v>
      </c>
      <c r="K309">
        <v>19.668960271187402</v>
      </c>
      <c r="L309">
        <v>0.16249916304458201</v>
      </c>
      <c r="M309">
        <v>3649.8779976974101</v>
      </c>
      <c r="N309">
        <f t="shared" si="28"/>
        <v>1699.3981674305917</v>
      </c>
      <c r="O309">
        <v>14039.927687051901</v>
      </c>
      <c r="P309">
        <f t="shared" si="29"/>
        <v>1212.0662593662307</v>
      </c>
      <c r="Q309">
        <f t="shared" si="30"/>
        <v>3.8022389535457597</v>
      </c>
      <c r="R309">
        <f t="shared" si="31"/>
        <v>4608.5655456407803</v>
      </c>
      <c r="T309">
        <f t="shared" si="32"/>
        <v>-5.4841666666666704</v>
      </c>
      <c r="U309">
        <f t="shared" si="33"/>
        <v>8.9389340764384432E-3</v>
      </c>
      <c r="V309">
        <f t="shared" si="34"/>
        <v>-4.9022604297534529E-2</v>
      </c>
      <c r="W309">
        <f>F309-V309</f>
        <v>-1.6773788356583754</v>
      </c>
      <c r="Y309">
        <f>(1-H309)*U309</f>
        <v>-4.5753228364928351E-2</v>
      </c>
      <c r="Z309">
        <f>C309-Y309</f>
        <v>-1.7140798451151615</v>
      </c>
    </row>
    <row r="310" spans="1:26" x14ac:dyDescent="0.75">
      <c r="A310" s="1">
        <v>45647</v>
      </c>
      <c r="B310">
        <v>4.1840707213692901E-2</v>
      </c>
      <c r="C310">
        <v>-1.74958753922272</v>
      </c>
      <c r="D310">
        <v>11.5799509312096</v>
      </c>
      <c r="E310" t="s">
        <v>19</v>
      </c>
      <c r="F310">
        <v>-1.7077468320090301</v>
      </c>
      <c r="G310">
        <v>7.2633333333333301</v>
      </c>
      <c r="H310">
        <v>7.1978947368421098</v>
      </c>
      <c r="I310">
        <v>6.45286205723926E-2</v>
      </c>
      <c r="J310">
        <v>39.844181414690702</v>
      </c>
      <c r="K310">
        <v>19.851151971239201</v>
      </c>
      <c r="L310">
        <v>0.15774599286723501</v>
      </c>
      <c r="M310">
        <v>3442.5372742292702</v>
      </c>
      <c r="N310">
        <f t="shared" si="28"/>
        <v>1715.1395303150671</v>
      </c>
      <c r="O310">
        <v>13629.2537837291</v>
      </c>
      <c r="P310">
        <f t="shared" si="29"/>
        <v>823.8789356954386</v>
      </c>
      <c r="Q310">
        <f t="shared" si="30"/>
        <v>3.9143007551411304</v>
      </c>
      <c r="R310">
        <f t="shared" si="31"/>
        <v>3224.9099401375261</v>
      </c>
      <c r="T310">
        <f t="shared" si="32"/>
        <v>-6.5933333333333302</v>
      </c>
      <c r="U310">
        <f t="shared" si="33"/>
        <v>8.7634529772009188E-3</v>
      </c>
      <c r="V310">
        <f t="shared" si="34"/>
        <v>-5.7780366629678032E-2</v>
      </c>
      <c r="W310">
        <f>F310-V310</f>
        <v>-1.649966465379352</v>
      </c>
      <c r="Y310">
        <f>(1-H310)*U310</f>
        <v>-5.4314959083956893E-2</v>
      </c>
      <c r="Z310">
        <f>C310-Y310</f>
        <v>-1.6952725801387631</v>
      </c>
    </row>
    <row r="311" spans="1:26" x14ac:dyDescent="0.75">
      <c r="A311" s="1">
        <v>45648</v>
      </c>
      <c r="B311">
        <v>4.5804416785135603E-2</v>
      </c>
      <c r="C311">
        <v>-1.1359959179408099</v>
      </c>
      <c r="D311">
        <v>8.6824690792562098</v>
      </c>
      <c r="E311" t="s">
        <v>19</v>
      </c>
      <c r="F311">
        <v>-1.09019150115567</v>
      </c>
      <c r="G311">
        <v>7.9754166666666704</v>
      </c>
      <c r="H311">
        <v>7.9173684210526298</v>
      </c>
      <c r="I311">
        <v>5.97876073024875E-2</v>
      </c>
      <c r="J311">
        <v>36.885162517163302</v>
      </c>
      <c r="K311">
        <v>20.035807274211301</v>
      </c>
      <c r="L311">
        <v>0.151727706519696</v>
      </c>
      <c r="M311">
        <v>3186.8780414829098</v>
      </c>
      <c r="N311">
        <f t="shared" si="28"/>
        <v>1731.0937484918566</v>
      </c>
      <c r="O311">
        <v>13109.2738433017</v>
      </c>
      <c r="P311">
        <f t="shared" si="29"/>
        <v>1056.8988621261294</v>
      </c>
      <c r="Q311">
        <f t="shared" si="30"/>
        <v>4.0660773382109747</v>
      </c>
      <c r="R311">
        <f t="shared" si="31"/>
        <v>4297.4325120720205</v>
      </c>
      <c r="T311">
        <f t="shared" si="32"/>
        <v>-7.3054166666666704</v>
      </c>
      <c r="U311">
        <f t="shared" si="33"/>
        <v>8.5148097515209444E-3</v>
      </c>
      <c r="V311">
        <f t="shared" si="34"/>
        <v>-6.2204233072256997E-2</v>
      </c>
      <c r="W311">
        <f>F311-V311</f>
        <v>-1.027987268083413</v>
      </c>
      <c r="Y311">
        <f>(1-H311)*U311</f>
        <v>-5.8900076086441967E-2</v>
      </c>
      <c r="Z311">
        <f>C311-Y311</f>
        <v>-1.0770958418543679</v>
      </c>
    </row>
    <row r="312" spans="1:26" x14ac:dyDescent="0.75">
      <c r="A312" s="1">
        <v>45649</v>
      </c>
      <c r="B312">
        <v>9.1728463451065806E-2</v>
      </c>
      <c r="C312">
        <v>-2.64558480326584</v>
      </c>
      <c r="D312">
        <v>18.397111493701001</v>
      </c>
      <c r="E312" t="s">
        <v>19</v>
      </c>
      <c r="F312">
        <v>-2.55385633981478</v>
      </c>
      <c r="G312">
        <v>7.78125</v>
      </c>
      <c r="H312">
        <v>7.7431578947368402</v>
      </c>
      <c r="I312">
        <v>6.0028327480897301E-2</v>
      </c>
      <c r="J312">
        <v>37.0352126158865</v>
      </c>
      <c r="K312">
        <v>20.222425037074199</v>
      </c>
      <c r="L312">
        <v>0.15205067260996</v>
      </c>
      <c r="M312">
        <v>3199.84237001259</v>
      </c>
      <c r="N312">
        <f t="shared" si="28"/>
        <v>1747.2175232032109</v>
      </c>
      <c r="O312">
        <v>13137.1781135005</v>
      </c>
      <c r="P312">
        <f t="shared" si="29"/>
        <v>499.86242039131969</v>
      </c>
      <c r="Q312">
        <f t="shared" si="30"/>
        <v>4.0576095448780718</v>
      </c>
      <c r="R312">
        <f t="shared" si="31"/>
        <v>2028.2465281056741</v>
      </c>
      <c r="T312">
        <f t="shared" si="32"/>
        <v>-7.1112500000000001</v>
      </c>
      <c r="U312">
        <f t="shared" si="33"/>
        <v>8.6120534954316989E-3</v>
      </c>
      <c r="V312">
        <f t="shared" si="34"/>
        <v>-6.1242465419388672E-2</v>
      </c>
      <c r="W312">
        <f>F312-V312</f>
        <v>-2.4926138743953912</v>
      </c>
      <c r="Y312">
        <f>(1-H312)*U312</f>
        <v>-5.807243651761626E-2</v>
      </c>
      <c r="Z312">
        <f>C312-Y312</f>
        <v>-2.5875123667482236</v>
      </c>
    </row>
    <row r="313" spans="1:26" x14ac:dyDescent="0.75">
      <c r="A313" s="1">
        <v>45650</v>
      </c>
      <c r="B313">
        <v>0.13329105111223</v>
      </c>
      <c r="C313">
        <v>-3.9816029972442699</v>
      </c>
      <c r="D313">
        <v>25.5935710047019</v>
      </c>
      <c r="E313" t="s">
        <v>19</v>
      </c>
      <c r="F313">
        <v>-3.8483119461320401</v>
      </c>
      <c r="G313">
        <v>7.5750000000000002</v>
      </c>
      <c r="H313">
        <v>7.5331578947368403</v>
      </c>
      <c r="I313">
        <v>6.1064598492833397E-2</v>
      </c>
      <c r="J313">
        <v>37.6817278413751</v>
      </c>
      <c r="K313">
        <v>20.410443767256901</v>
      </c>
      <c r="L313">
        <v>0.153388737354302</v>
      </c>
      <c r="M313">
        <v>3255.7012854948098</v>
      </c>
      <c r="N313">
        <f t="shared" si="28"/>
        <v>1763.4623414909963</v>
      </c>
      <c r="O313">
        <v>13252.786907411701</v>
      </c>
      <c r="P313">
        <f t="shared" si="29"/>
        <v>362.47192052581812</v>
      </c>
      <c r="Q313">
        <f t="shared" si="30"/>
        <v>4.0229795981666374</v>
      </c>
      <c r="R313">
        <f t="shared" si="31"/>
        <v>1458.217141183645</v>
      </c>
      <c r="T313">
        <f t="shared" si="32"/>
        <v>-6.9050000000000002</v>
      </c>
      <c r="U313">
        <f t="shared" si="33"/>
        <v>8.7669464806366219E-3</v>
      </c>
      <c r="V313">
        <f t="shared" si="34"/>
        <v>-6.0535765448795874E-2</v>
      </c>
      <c r="W313">
        <f>F313-V313</f>
        <v>-3.7877761806832444</v>
      </c>
      <c r="Y313">
        <f>(1-H313)*U313</f>
        <v>-5.7275845612706502E-2</v>
      </c>
      <c r="Z313">
        <f>C313-Y313</f>
        <v>-3.9243271516315632</v>
      </c>
    </row>
    <row r="314" spans="1:26" x14ac:dyDescent="0.75">
      <c r="A314" s="1">
        <v>45651</v>
      </c>
      <c r="B314">
        <v>0.199391917406749</v>
      </c>
      <c r="C314">
        <v>-5.6875038917538303</v>
      </c>
      <c r="D314">
        <v>35.4866697054984</v>
      </c>
      <c r="E314" t="s">
        <v>19</v>
      </c>
      <c r="F314">
        <v>-5.4881119743470803</v>
      </c>
      <c r="G314">
        <v>7.4595833333333301</v>
      </c>
      <c r="H314">
        <v>7.4157894736842103</v>
      </c>
      <c r="I314">
        <v>6.1325867954766203E-2</v>
      </c>
      <c r="J314">
        <v>37.844854266081903</v>
      </c>
      <c r="K314">
        <v>20.599120119650198</v>
      </c>
      <c r="L314">
        <v>0.15371495869853699</v>
      </c>
      <c r="M314">
        <v>3269.7954085894698</v>
      </c>
      <c r="N314">
        <f t="shared" si="28"/>
        <v>1779.7639783377772</v>
      </c>
      <c r="O314">
        <v>13280.9724315536</v>
      </c>
      <c r="P314">
        <f t="shared" si="29"/>
        <v>261.97670221635553</v>
      </c>
      <c r="Q314">
        <f t="shared" si="30"/>
        <v>4.0146436376537844</v>
      </c>
      <c r="R314">
        <f t="shared" si="31"/>
        <v>1051.7431007664118</v>
      </c>
      <c r="T314">
        <f t="shared" si="32"/>
        <v>-6.7895833333333302</v>
      </c>
      <c r="U314">
        <f t="shared" si="33"/>
        <v>8.8663609474334167E-3</v>
      </c>
      <c r="V314">
        <f t="shared" si="34"/>
        <v>-6.0198896516011444E-2</v>
      </c>
      <c r="W314">
        <f>F314-V314</f>
        <v>-5.4279130778310689</v>
      </c>
      <c r="Y314">
        <f>(1-H314)*U314</f>
        <v>-5.6884705236428079E-2</v>
      </c>
      <c r="Z314">
        <f>C314-Y314</f>
        <v>-5.6306191865174018</v>
      </c>
    </row>
    <row r="315" spans="1:26" x14ac:dyDescent="0.75">
      <c r="A315" s="1">
        <v>45652</v>
      </c>
      <c r="B315">
        <v>4.3688457176884299E-2</v>
      </c>
      <c r="C315">
        <v>-3.4808800668624298</v>
      </c>
      <c r="D315">
        <v>19.266042691566501</v>
      </c>
      <c r="E315" t="s">
        <v>19</v>
      </c>
      <c r="F315">
        <v>-3.4371916096855499</v>
      </c>
      <c r="G315">
        <v>6.9620833333333296</v>
      </c>
      <c r="H315">
        <v>6.9884210526315798</v>
      </c>
      <c r="I315">
        <v>5.9940259122942499E-2</v>
      </c>
      <c r="J315">
        <v>36.980348425229799</v>
      </c>
      <c r="K315">
        <v>20.777419710964502</v>
      </c>
      <c r="L315">
        <v>0.15192968314345401</v>
      </c>
      <c r="M315">
        <v>3195.1021039398602</v>
      </c>
      <c r="N315">
        <f t="shared" si="28"/>
        <v>1795.1690630273331</v>
      </c>
      <c r="O315">
        <v>13126.7246235944</v>
      </c>
      <c r="P315">
        <f t="shared" si="29"/>
        <v>476.93796715909576</v>
      </c>
      <c r="Q315">
        <f t="shared" si="30"/>
        <v>4.0607827031462964</v>
      </c>
      <c r="R315">
        <f t="shared" si="31"/>
        <v>1936.7414475134124</v>
      </c>
      <c r="T315">
        <f t="shared" si="32"/>
        <v>-6.2920833333333297</v>
      </c>
      <c r="U315">
        <f t="shared" si="33"/>
        <v>8.8414928562241726E-3</v>
      </c>
      <c r="V315">
        <f t="shared" si="34"/>
        <v>-5.5631409842433817E-2</v>
      </c>
      <c r="W315">
        <f>F315-V315</f>
        <v>-3.3815601998431162</v>
      </c>
      <c r="Y315">
        <f>(1-H315)*U315</f>
        <v>-5.2946581956904555E-2</v>
      </c>
      <c r="Z315">
        <f>C315-Y315</f>
        <v>-3.4279334849055254</v>
      </c>
    </row>
    <row r="316" spans="1:26" x14ac:dyDescent="0.75">
      <c r="A316" s="1">
        <v>45653</v>
      </c>
      <c r="B316">
        <v>8.81708923413385E-2</v>
      </c>
      <c r="C316">
        <v>-1.65113491348165</v>
      </c>
      <c r="D316">
        <v>8.1220458722207898</v>
      </c>
      <c r="E316" t="s">
        <v>19</v>
      </c>
      <c r="F316">
        <v>-1.56296402114031</v>
      </c>
      <c r="G316">
        <v>6.8283333333333296</v>
      </c>
      <c r="H316">
        <v>6.7736842105263202</v>
      </c>
      <c r="I316">
        <v>6.0709389449081698E-2</v>
      </c>
      <c r="J316">
        <v>37.460139430107802</v>
      </c>
      <c r="K316">
        <v>20.9390034368895</v>
      </c>
      <c r="L316">
        <v>0.15292817003211601</v>
      </c>
      <c r="M316">
        <v>3236.55604676131</v>
      </c>
      <c r="N316">
        <f t="shared" si="28"/>
        <v>1809.129896947253</v>
      </c>
      <c r="O316">
        <v>13212.9938907748</v>
      </c>
      <c r="P316">
        <f t="shared" si="29"/>
        <v>1138.7642804599677</v>
      </c>
      <c r="Q316">
        <f t="shared" si="30"/>
        <v>4.0348373519731355</v>
      </c>
      <c r="R316">
        <f t="shared" si="31"/>
        <v>4594.7286538926892</v>
      </c>
      <c r="T316">
        <f t="shared" si="32"/>
        <v>-6.1583333333333297</v>
      </c>
      <c r="U316">
        <f t="shared" si="33"/>
        <v>8.9675480775577923E-3</v>
      </c>
      <c r="V316">
        <f t="shared" si="34"/>
        <v>-5.5225150244293371E-2</v>
      </c>
      <c r="W316">
        <f>F316-V316</f>
        <v>-1.5077388708960167</v>
      </c>
      <c r="Y316">
        <f>(1-H316)*U316</f>
        <v>-5.177579074253108E-2</v>
      </c>
      <c r="Z316">
        <f>C316-Y316</f>
        <v>-1.5993591227391188</v>
      </c>
    </row>
    <row r="317" spans="1:26" x14ac:dyDescent="0.75">
      <c r="A317" s="1">
        <v>45654</v>
      </c>
      <c r="B317">
        <v>0.11688755175151699</v>
      </c>
      <c r="C317">
        <v>-3.4741240621678502</v>
      </c>
      <c r="D317">
        <v>14.5770180180547</v>
      </c>
      <c r="E317" t="s">
        <v>19</v>
      </c>
      <c r="F317">
        <v>-3.35723651041633</v>
      </c>
      <c r="G317">
        <v>6.1158333333333301</v>
      </c>
      <c r="H317">
        <v>6.0752631578947396</v>
      </c>
      <c r="I317">
        <v>6.2520662011020994E-2</v>
      </c>
      <c r="J317">
        <v>38.5904500312948</v>
      </c>
      <c r="K317">
        <v>21.092551216259899</v>
      </c>
      <c r="L317">
        <v>0.15524151101272299</v>
      </c>
      <c r="M317">
        <v>3334.21488270387</v>
      </c>
      <c r="N317">
        <f t="shared" si="28"/>
        <v>1822.3964250848553</v>
      </c>
      <c r="O317">
        <v>13412.866551499301</v>
      </c>
      <c r="P317">
        <f t="shared" si="29"/>
        <v>644.09652059293205</v>
      </c>
      <c r="Q317">
        <f t="shared" si="30"/>
        <v>3.9760186609854515</v>
      </c>
      <c r="R317">
        <f t="shared" si="31"/>
        <v>2560.9397853532978</v>
      </c>
      <c r="T317">
        <f t="shared" si="32"/>
        <v>-5.4458333333333302</v>
      </c>
      <c r="U317">
        <f t="shared" si="33"/>
        <v>9.1669410054186062E-3</v>
      </c>
      <c r="V317">
        <f t="shared" si="34"/>
        <v>-4.9921632892008801E-2</v>
      </c>
      <c r="W317">
        <f>F317-V317</f>
        <v>-3.3073148775243211</v>
      </c>
      <c r="Y317">
        <f>(1-H317)*U317</f>
        <v>-4.6524637955395617E-2</v>
      </c>
      <c r="Z317">
        <f>C317-Y317</f>
        <v>-3.4275994242124548</v>
      </c>
    </row>
    <row r="318" spans="1:26" x14ac:dyDescent="0.75">
      <c r="A318" s="1">
        <v>45655</v>
      </c>
      <c r="B318">
        <v>0.113146256159529</v>
      </c>
      <c r="C318">
        <v>-0.77715155348502096</v>
      </c>
      <c r="D318">
        <v>1.9711497337163799</v>
      </c>
      <c r="E318" t="s">
        <v>19</v>
      </c>
      <c r="F318">
        <v>-0.66400529732549096</v>
      </c>
      <c r="G318">
        <v>5.8904166666666704</v>
      </c>
      <c r="H318">
        <v>5.87947368421053</v>
      </c>
      <c r="I318">
        <v>8.7581981073052997E-2</v>
      </c>
      <c r="J318">
        <v>54.290848550722203</v>
      </c>
      <c r="K318">
        <v>21.238365716805198</v>
      </c>
      <c r="L318">
        <v>0.182347234065692</v>
      </c>
      <c r="M318">
        <v>4690.7293147823902</v>
      </c>
      <c r="N318">
        <f t="shared" si="28"/>
        <v>1834.9947979319693</v>
      </c>
      <c r="O318">
        <v>15754.801023275801</v>
      </c>
      <c r="P318">
        <f t="shared" si="29"/>
        <v>5594.8873531288427</v>
      </c>
      <c r="Q318">
        <f t="shared" si="30"/>
        <v>3.3994815224669375</v>
      </c>
      <c r="R318">
        <f t="shared" si="31"/>
        <v>19019.716177245453</v>
      </c>
      <c r="T318">
        <f t="shared" si="32"/>
        <v>-5.2204166666666705</v>
      </c>
      <c r="U318">
        <f t="shared" si="33"/>
        <v>1.079573332465328E-2</v>
      </c>
      <c r="V318">
        <f t="shared" si="34"/>
        <v>-5.635822617690877E-2</v>
      </c>
      <c r="W318">
        <f>F318-V318</f>
        <v>-0.60764707114858219</v>
      </c>
      <c r="Y318">
        <f>(1-H318)*U318</f>
        <v>-5.267749665940033E-2</v>
      </c>
      <c r="Z318">
        <f>C318-Y318</f>
        <v>-0.7244740568256206</v>
      </c>
    </row>
    <row r="319" spans="1:26" x14ac:dyDescent="0.75">
      <c r="A319" s="1">
        <v>45656</v>
      </c>
      <c r="B319">
        <v>3.3432478122471999E-2</v>
      </c>
      <c r="C319">
        <v>-2.1988733216982101</v>
      </c>
      <c r="D319">
        <v>6.3471739619000198</v>
      </c>
      <c r="E319" t="s">
        <v>19</v>
      </c>
      <c r="F319">
        <v>-2.1654408435757402</v>
      </c>
      <c r="G319">
        <v>6.1912500000000001</v>
      </c>
      <c r="H319">
        <v>6.1552631578947397</v>
      </c>
      <c r="I319">
        <v>0.106930599315744</v>
      </c>
      <c r="J319">
        <v>66.400471595238798</v>
      </c>
      <c r="K319">
        <v>21.3768246220728</v>
      </c>
      <c r="L319">
        <v>0.204121124826871</v>
      </c>
      <c r="M319">
        <v>5737.00074582864</v>
      </c>
      <c r="N319">
        <f t="shared" si="28"/>
        <v>1846.95764734709</v>
      </c>
      <c r="O319">
        <v>17636.0651850416</v>
      </c>
      <c r="P319">
        <f t="shared" si="29"/>
        <v>1944.9987827076325</v>
      </c>
      <c r="Q319">
        <f t="shared" si="30"/>
        <v>3.0421541044521776</v>
      </c>
      <c r="R319">
        <f t="shared" si="31"/>
        <v>5916.9860299685133</v>
      </c>
      <c r="T319">
        <f t="shared" si="32"/>
        <v>-5.5212500000000002</v>
      </c>
      <c r="U319">
        <f t="shared" si="33"/>
        <v>1.2142433183408276E-2</v>
      </c>
      <c r="V319">
        <f t="shared" si="34"/>
        <v>-6.7041409213892941E-2</v>
      </c>
      <c r="W319">
        <f>F319-V319</f>
        <v>-2.0983994343618471</v>
      </c>
      <c r="Y319">
        <f>(1-H319)*U319</f>
        <v>-6.2597438437623221E-2</v>
      </c>
      <c r="Z319">
        <f>C319-Y319</f>
        <v>-2.1362758832605868</v>
      </c>
    </row>
    <row r="320" spans="1:26" x14ac:dyDescent="0.75">
      <c r="A320" s="1">
        <v>45657</v>
      </c>
      <c r="B320">
        <v>6.8967163064880502E-2</v>
      </c>
      <c r="C320">
        <v>-4.1090890269696798</v>
      </c>
      <c r="D320">
        <v>13.348849698910101</v>
      </c>
      <c r="E320" t="s">
        <v>19</v>
      </c>
      <c r="F320">
        <v>-4.0401218639048002</v>
      </c>
      <c r="G320">
        <v>6.2</v>
      </c>
      <c r="H320">
        <v>6.16</v>
      </c>
      <c r="I320">
        <v>9.0135963453745305E-2</v>
      </c>
      <c r="J320">
        <v>55.863911615135201</v>
      </c>
      <c r="K320">
        <v>21.508418570036199</v>
      </c>
      <c r="L320">
        <v>0.18712454573970499</v>
      </c>
      <c r="M320">
        <v>4826.6419635476796</v>
      </c>
      <c r="N320">
        <f t="shared" si="28"/>
        <v>1858.3273644511278</v>
      </c>
      <c r="O320">
        <v>16167.5607519105</v>
      </c>
      <c r="P320">
        <f t="shared" si="29"/>
        <v>847.81031936117893</v>
      </c>
      <c r="Q320">
        <f t="shared" si="30"/>
        <v>3.3120926554664609</v>
      </c>
      <c r="R320">
        <f t="shared" si="31"/>
        <v>2808.0263319848355</v>
      </c>
      <c r="T320">
        <f t="shared" si="32"/>
        <v>-5.53</v>
      </c>
      <c r="U320">
        <f t="shared" si="33"/>
        <v>1.1221469673464851E-2</v>
      </c>
      <c r="V320">
        <f t="shared" si="34"/>
        <v>-6.2054727294260627E-2</v>
      </c>
      <c r="W320">
        <f>F320-V320</f>
        <v>-3.9780671366105396</v>
      </c>
      <c r="Y320">
        <f>(1-H320)*U320</f>
        <v>-5.7902783515078632E-2</v>
      </c>
      <c r="Z320">
        <f>C320-Y320</f>
        <v>-4.0511862434546009</v>
      </c>
    </row>
    <row r="321" spans="1:26" x14ac:dyDescent="0.75">
      <c r="A321" s="1">
        <v>45658</v>
      </c>
      <c r="B321">
        <v>3.38496841618601E-2</v>
      </c>
      <c r="C321">
        <v>-0.785201771620616</v>
      </c>
      <c r="D321">
        <v>3.98431955185097</v>
      </c>
      <c r="E321" t="s">
        <v>19</v>
      </c>
      <c r="F321">
        <v>-0.75135208745875504</v>
      </c>
      <c r="G321">
        <v>6.5804166666666699</v>
      </c>
      <c r="H321">
        <v>6.5278947368421099</v>
      </c>
      <c r="I321">
        <v>8.0765490167343995E-2</v>
      </c>
      <c r="J321">
        <v>49.995122783139003</v>
      </c>
      <c r="K321">
        <v>21.633616772278501</v>
      </c>
      <c r="L321">
        <v>0.17690894686672401</v>
      </c>
      <c r="M321">
        <v>4319.57860846321</v>
      </c>
      <c r="N321">
        <f t="shared" si="28"/>
        <v>1869.1444891248625</v>
      </c>
      <c r="O321">
        <v>15284.9330092849</v>
      </c>
      <c r="P321">
        <f t="shared" si="29"/>
        <v>2685.3903074939994</v>
      </c>
      <c r="Q321">
        <f t="shared" si="30"/>
        <v>3.4990649903144675</v>
      </c>
      <c r="R321">
        <f t="shared" si="31"/>
        <v>9396.3552102820559</v>
      </c>
      <c r="T321">
        <f t="shared" si="32"/>
        <v>-5.91041666666667</v>
      </c>
      <c r="U321">
        <f t="shared" si="33"/>
        <v>1.0683679750440296E-2</v>
      </c>
      <c r="V321">
        <f t="shared" si="34"/>
        <v>-6.3144998858331539E-2</v>
      </c>
      <c r="W321">
        <f>F321-V321</f>
        <v>-0.68820708860042346</v>
      </c>
      <c r="Y321">
        <f>(1-H321)*U321</f>
        <v>-5.9058257062565539E-2</v>
      </c>
      <c r="Z321">
        <f>C321-Y321</f>
        <v>-0.72614351455805048</v>
      </c>
    </row>
    <row r="322" spans="1:26" x14ac:dyDescent="0.75">
      <c r="A322" s="1">
        <v>45659</v>
      </c>
      <c r="B322">
        <v>4.01348778738463E-2</v>
      </c>
      <c r="C322">
        <v>-1.75795796445059</v>
      </c>
      <c r="D322">
        <v>14.7456895437372</v>
      </c>
      <c r="E322" t="s">
        <v>19</v>
      </c>
      <c r="F322">
        <v>-1.7178230865767501</v>
      </c>
      <c r="G322">
        <v>7.87083333333333</v>
      </c>
      <c r="H322">
        <v>7.8078947368421101</v>
      </c>
      <c r="I322">
        <v>6.9243213334911499E-2</v>
      </c>
      <c r="J322">
        <v>42.789179475481603</v>
      </c>
      <c r="K322">
        <v>21.752907183064799</v>
      </c>
      <c r="L322">
        <v>0.16351530291212801</v>
      </c>
      <c r="M322">
        <v>3696.98510668161</v>
      </c>
      <c r="N322">
        <f t="shared" si="28"/>
        <v>1879.4511806167989</v>
      </c>
      <c r="O322">
        <v>14127.7221716078</v>
      </c>
      <c r="P322">
        <f t="shared" si="29"/>
        <v>670.66416194322323</v>
      </c>
      <c r="Q322">
        <f t="shared" si="30"/>
        <v>3.7791866479623599</v>
      </c>
      <c r="R322">
        <f t="shared" si="31"/>
        <v>2534.5650460826951</v>
      </c>
      <c r="T322">
        <f t="shared" si="32"/>
        <v>-7.2008333333333301</v>
      </c>
      <c r="U322">
        <f t="shared" si="33"/>
        <v>9.9463263166964817E-3</v>
      </c>
      <c r="V322">
        <f t="shared" si="34"/>
        <v>-7.1621838085478548E-2</v>
      </c>
      <c r="W322">
        <f>F322-V322</f>
        <v>-1.6462012484912716</v>
      </c>
      <c r="Y322">
        <f>(1-H322)*U322</f>
        <v>-6.7713542582352154E-2</v>
      </c>
      <c r="Z322">
        <f>C322-Y322</f>
        <v>-1.690244421868238</v>
      </c>
    </row>
    <row r="323" spans="1:26" x14ac:dyDescent="0.75">
      <c r="A323" s="1">
        <v>45660</v>
      </c>
      <c r="B323">
        <v>2.3100600075951602E-2</v>
      </c>
      <c r="C323">
        <v>-0.82076877580682095</v>
      </c>
      <c r="D323">
        <v>9.9918259907091898</v>
      </c>
      <c r="E323" t="s">
        <v>19</v>
      </c>
      <c r="F323">
        <v>-0.79766817573086901</v>
      </c>
      <c r="G323">
        <v>8.4791666666666696</v>
      </c>
      <c r="H323">
        <v>8.4668421052631597</v>
      </c>
      <c r="I323">
        <v>5.9249035421147699E-2</v>
      </c>
      <c r="J323">
        <v>36.550549878520599</v>
      </c>
      <c r="K323">
        <v>21.8669040071652</v>
      </c>
      <c r="L323">
        <v>0.15090505766120399</v>
      </c>
      <c r="M323">
        <v>3157.9675095041798</v>
      </c>
      <c r="N323">
        <f t="shared" ref="N323:N386" si="35">K323*86.4</f>
        <v>1889.3005062190734</v>
      </c>
      <c r="O323">
        <v>13038.196981928</v>
      </c>
      <c r="P323">
        <f t="shared" ref="P323:P386" si="36">0.7*O323/D323</f>
        <v>913.42041943444724</v>
      </c>
      <c r="Q323">
        <f t="shared" ref="Q323:Q386" si="37">M323/(O323*I323)</f>
        <v>4.0879806834068138</v>
      </c>
      <c r="R323">
        <f t="shared" ref="R323:R386" si="38">Q323*P323</f>
        <v>3734.0450304773699</v>
      </c>
      <c r="T323">
        <f t="shared" ref="T323:T386" si="39">0.67-G323</f>
        <v>-7.8091666666666697</v>
      </c>
      <c r="U323">
        <f t="shared" ref="U323:U386" si="40">(2*(10^-5)*N323)/Q323</f>
        <v>9.2431968374399511E-3</v>
      </c>
      <c r="V323">
        <f t="shared" ref="V323:V386" si="41">T323*U323</f>
        <v>-7.2181664636374848E-2</v>
      </c>
      <c r="W323">
        <f>F323-V323</f>
        <v>-0.72548651109449414</v>
      </c>
      <c r="Y323">
        <f>(1-H323)*U323</f>
        <v>-6.9017491333031908E-2</v>
      </c>
      <c r="Z323">
        <f>C323-Y323</f>
        <v>-0.75175128447378903</v>
      </c>
    </row>
    <row r="324" spans="1:26" x14ac:dyDescent="0.75">
      <c r="A324" s="1">
        <v>45661</v>
      </c>
      <c r="B324">
        <v>2.1245572769750198E-2</v>
      </c>
      <c r="C324">
        <v>-0.381741013830253</v>
      </c>
      <c r="D324">
        <v>6.56015316588896</v>
      </c>
      <c r="E324" t="s">
        <v>19</v>
      </c>
      <c r="F324">
        <v>-0.36049544106050302</v>
      </c>
      <c r="G324">
        <v>8.9129166666666695</v>
      </c>
      <c r="H324">
        <v>8.9405263157894694</v>
      </c>
      <c r="I324">
        <v>5.25542595024584E-2</v>
      </c>
      <c r="J324">
        <v>32.376214402926799</v>
      </c>
      <c r="K324">
        <v>21.976117232388301</v>
      </c>
      <c r="L324">
        <v>0.14203012199212101</v>
      </c>
      <c r="M324">
        <v>2797.3049244128702</v>
      </c>
      <c r="N324">
        <f t="shared" si="35"/>
        <v>1898.7365288783494</v>
      </c>
      <c r="O324">
        <v>12271.402540119299</v>
      </c>
      <c r="P324">
        <f t="shared" si="36"/>
        <v>1309.4178688920122</v>
      </c>
      <c r="Q324">
        <f t="shared" si="37"/>
        <v>4.3374820059530048</v>
      </c>
      <c r="R324">
        <f t="shared" si="38"/>
        <v>5679.5764445924333</v>
      </c>
      <c r="T324">
        <f t="shared" si="39"/>
        <v>-8.2429166666666696</v>
      </c>
      <c r="U324">
        <f t="shared" si="40"/>
        <v>8.755017433028733E-3</v>
      </c>
      <c r="V324">
        <f t="shared" si="41"/>
        <v>-7.2166879115669783E-2</v>
      </c>
      <c r="W324">
        <f>F324-V324</f>
        <v>-0.28832856194483325</v>
      </c>
      <c r="Y324">
        <f>(1-H324)*U324</f>
        <v>-6.9519446322160228E-2</v>
      </c>
      <c r="Z324">
        <f>C324-Y324</f>
        <v>-0.31222156750809277</v>
      </c>
    </row>
    <row r="325" spans="1:26" x14ac:dyDescent="0.75">
      <c r="A325" s="1">
        <v>45662</v>
      </c>
      <c r="B325">
        <v>2.2991323807672E-2</v>
      </c>
      <c r="C325">
        <v>-0.42355070647521897</v>
      </c>
      <c r="D325">
        <v>5.6978547706296503</v>
      </c>
      <c r="E325" t="s">
        <v>19</v>
      </c>
      <c r="F325">
        <v>-0.40055938266754698</v>
      </c>
      <c r="G325">
        <v>8.87916666666667</v>
      </c>
      <c r="H325">
        <v>8.91947368421053</v>
      </c>
      <c r="I325">
        <v>4.7992318560394702E-2</v>
      </c>
      <c r="J325">
        <v>29.535704792446399</v>
      </c>
      <c r="K325">
        <v>22.080972992006199</v>
      </c>
      <c r="L325">
        <v>0.13560533333549199</v>
      </c>
      <c r="M325">
        <v>2551.8848940673702</v>
      </c>
      <c r="N325">
        <f t="shared" si="35"/>
        <v>1907.7960665093358</v>
      </c>
      <c r="O325">
        <v>11716.3008001865</v>
      </c>
      <c r="P325">
        <f t="shared" si="36"/>
        <v>1439.3856793974128</v>
      </c>
      <c r="Q325">
        <f t="shared" si="37"/>
        <v>4.5383588875391228</v>
      </c>
      <c r="R325">
        <f t="shared" si="38"/>
        <v>6532.4487906897866</v>
      </c>
      <c r="T325">
        <f t="shared" si="39"/>
        <v>-8.2091666666666701</v>
      </c>
      <c r="U325">
        <f t="shared" si="40"/>
        <v>8.4074270624455542E-3</v>
      </c>
      <c r="V325">
        <f t="shared" si="41"/>
        <v>-6.9017969993459327E-2</v>
      </c>
      <c r="W325">
        <f>F325-V325</f>
        <v>-0.33154141267408765</v>
      </c>
      <c r="Y325">
        <f>(1-H325)*U325</f>
        <v>-6.6582397372957014E-2</v>
      </c>
      <c r="Z325">
        <f>C325-Y325</f>
        <v>-0.35696830910226196</v>
      </c>
    </row>
    <row r="326" spans="1:26" x14ac:dyDescent="0.75">
      <c r="A326" s="1">
        <v>45663</v>
      </c>
      <c r="B326">
        <v>2.35512156229317E-2</v>
      </c>
      <c r="C326">
        <v>-0.64458501140608404</v>
      </c>
      <c r="D326">
        <v>5.3994516214181498</v>
      </c>
      <c r="E326" t="s">
        <v>19</v>
      </c>
      <c r="F326">
        <v>-0.62103379578315299</v>
      </c>
      <c r="G326">
        <v>7.9270833333333304</v>
      </c>
      <c r="H326">
        <v>8.0473684210526297</v>
      </c>
      <c r="I326">
        <v>4.9013911512671302E-2</v>
      </c>
      <c r="J326">
        <v>30.1718712198888</v>
      </c>
      <c r="K326">
        <v>22.181849442329099</v>
      </c>
      <c r="L326">
        <v>0.137036835340898</v>
      </c>
      <c r="M326">
        <v>2606.8496733983998</v>
      </c>
      <c r="N326">
        <f t="shared" si="35"/>
        <v>1916.5117918172343</v>
      </c>
      <c r="O326">
        <v>11839.982573453601</v>
      </c>
      <c r="P326">
        <f t="shared" si="36"/>
        <v>1534.9684343019826</v>
      </c>
      <c r="Q326">
        <f t="shared" si="37"/>
        <v>4.492060143164081</v>
      </c>
      <c r="R326">
        <f t="shared" si="38"/>
        <v>6895.170524742909</v>
      </c>
      <c r="T326">
        <f t="shared" si="39"/>
        <v>-7.2570833333333304</v>
      </c>
      <c r="U326">
        <f t="shared" si="40"/>
        <v>8.5328857171858685E-3</v>
      </c>
      <c r="V326">
        <f t="shared" si="41"/>
        <v>-6.1923862723427585E-2</v>
      </c>
      <c r="W326">
        <f>F326-V326</f>
        <v>-0.55910993305972545</v>
      </c>
      <c r="Y326">
        <f>(1-H326)*U326</f>
        <v>-6.0134389343746708E-2</v>
      </c>
      <c r="Z326">
        <f>C326-Y326</f>
        <v>-0.58445062206233733</v>
      </c>
    </row>
    <row r="327" spans="1:26" x14ac:dyDescent="0.75">
      <c r="A327" s="1">
        <v>45668</v>
      </c>
      <c r="B327">
        <v>4.0186396591527597E-2</v>
      </c>
      <c r="C327">
        <v>-0.327576603938532</v>
      </c>
      <c r="D327">
        <v>4.1852639859690504</v>
      </c>
      <c r="E327" t="s">
        <v>19</v>
      </c>
      <c r="F327">
        <v>-0.28739020734700499</v>
      </c>
      <c r="G327">
        <v>8.4433333333333298</v>
      </c>
      <c r="H327">
        <v>8.4321052631579008</v>
      </c>
      <c r="I327">
        <v>5.3828315080872498E-2</v>
      </c>
      <c r="J327">
        <v>33.170085402037898</v>
      </c>
      <c r="K327">
        <v>22.741522495642801</v>
      </c>
      <c r="L327">
        <v>0.143767822301338</v>
      </c>
      <c r="M327">
        <v>2865.8953787360701</v>
      </c>
      <c r="N327">
        <f t="shared" si="35"/>
        <v>1964.8675436235383</v>
      </c>
      <c r="O327">
        <v>12421.5398468356</v>
      </c>
      <c r="P327">
        <f t="shared" si="36"/>
        <v>2077.5458661472394</v>
      </c>
      <c r="Q327">
        <f t="shared" si="37"/>
        <v>4.2862165556497986</v>
      </c>
      <c r="R327">
        <f t="shared" si="38"/>
        <v>8904.8114866020987</v>
      </c>
      <c r="T327">
        <f t="shared" si="39"/>
        <v>-7.7733333333333299</v>
      </c>
      <c r="U327">
        <f t="shared" si="40"/>
        <v>9.1683073783735171E-3</v>
      </c>
      <c r="V327">
        <f t="shared" si="41"/>
        <v>-7.1268309354556775E-2</v>
      </c>
      <c r="W327">
        <f>F327-V327</f>
        <v>-0.21612189799244821</v>
      </c>
      <c r="Y327">
        <f>(1-H327)*U327</f>
        <v>-6.8139825521059225E-2</v>
      </c>
      <c r="Z327">
        <f>C327-Y327</f>
        <v>-0.25943677841747276</v>
      </c>
    </row>
    <row r="328" spans="1:26" x14ac:dyDescent="0.75">
      <c r="A328" s="1">
        <v>45670</v>
      </c>
      <c r="B328">
        <v>0.20326281954752601</v>
      </c>
      <c r="C328">
        <v>-3.1475110393493599</v>
      </c>
      <c r="D328">
        <v>39.546062628641202</v>
      </c>
      <c r="E328" t="s">
        <v>19</v>
      </c>
      <c r="F328">
        <v>-2.9442482198018398</v>
      </c>
      <c r="G328">
        <v>9.0591666666666697</v>
      </c>
      <c r="H328">
        <v>9.0431578947368401</v>
      </c>
      <c r="I328">
        <v>5.1030676909838701E-2</v>
      </c>
      <c r="J328">
        <v>31.428077316907199</v>
      </c>
      <c r="K328">
        <v>23.083508993374299</v>
      </c>
      <c r="L328">
        <v>0.13983389834419599</v>
      </c>
      <c r="M328">
        <v>2715.3858801807801</v>
      </c>
      <c r="N328">
        <f t="shared" si="35"/>
        <v>1994.4151770275396</v>
      </c>
      <c r="O328">
        <v>12081.648816938499</v>
      </c>
      <c r="P328">
        <f t="shared" si="36"/>
        <v>213.85578259140931</v>
      </c>
      <c r="Q328">
        <f t="shared" si="37"/>
        <v>4.4042708446408705</v>
      </c>
      <c r="R328">
        <f t="shared" si="38"/>
        <v>941.87878822520065</v>
      </c>
      <c r="T328">
        <f t="shared" si="39"/>
        <v>-8.3891666666666698</v>
      </c>
      <c r="U328">
        <f t="shared" si="40"/>
        <v>9.056732646014946E-3</v>
      </c>
      <c r="V328">
        <f t="shared" si="41"/>
        <v>-7.5978439622860411E-2</v>
      </c>
      <c r="W328">
        <f>F328-V328</f>
        <v>-2.8682697801789794</v>
      </c>
      <c r="Y328">
        <f>(1-H328)*U328</f>
        <v>-7.2844730682315978E-2</v>
      </c>
      <c r="Z328">
        <f>C328-Y328</f>
        <v>-3.074666308667044</v>
      </c>
    </row>
    <row r="329" spans="1:26" x14ac:dyDescent="0.75">
      <c r="A329" s="1">
        <v>45671</v>
      </c>
      <c r="B329">
        <v>3.0423818515367899E-2</v>
      </c>
      <c r="C329">
        <v>-1.1303431171866301</v>
      </c>
      <c r="D329">
        <v>14.3548782137293</v>
      </c>
      <c r="E329" t="s">
        <v>19</v>
      </c>
      <c r="F329">
        <v>-1.09991929867127</v>
      </c>
      <c r="G329">
        <v>9.0920833333333295</v>
      </c>
      <c r="H329">
        <v>9.0705263157894702</v>
      </c>
      <c r="I329">
        <v>6.2183066638860501E-2</v>
      </c>
      <c r="J329">
        <v>38.379833770741698</v>
      </c>
      <c r="K329">
        <v>23.2894564470758</v>
      </c>
      <c r="L329">
        <v>0.15480526053367699</v>
      </c>
      <c r="M329">
        <v>3316.0176377920802</v>
      </c>
      <c r="N329">
        <f t="shared" si="35"/>
        <v>2012.2090370273493</v>
      </c>
      <c r="O329">
        <v>13375.1745101097</v>
      </c>
      <c r="P329">
        <f t="shared" si="36"/>
        <v>652.22581603807589</v>
      </c>
      <c r="Q329">
        <f t="shared" si="37"/>
        <v>3.9869908478849916</v>
      </c>
      <c r="R329">
        <f t="shared" si="38"/>
        <v>2600.418359298129</v>
      </c>
      <c r="T329">
        <f t="shared" si="39"/>
        <v>-8.4220833333333296</v>
      </c>
      <c r="U329">
        <f t="shared" si="40"/>
        <v>1.0093873368657372E-2</v>
      </c>
      <c r="V329">
        <f t="shared" si="41"/>
        <v>-8.5011442666946407E-2</v>
      </c>
      <c r="W329">
        <f>F329-V329</f>
        <v>-1.0149078560043236</v>
      </c>
      <c r="Y329">
        <f>(1-H329)*U329</f>
        <v>-8.1462870649995828E-2</v>
      </c>
      <c r="Z329">
        <f>C329-Y329</f>
        <v>-1.0488802465366343</v>
      </c>
    </row>
    <row r="330" spans="1:26" x14ac:dyDescent="0.75">
      <c r="A330" s="1">
        <v>45672</v>
      </c>
      <c r="B330">
        <v>3.0970405112620399E-2</v>
      </c>
      <c r="C330">
        <v>-1.2191027530381799</v>
      </c>
      <c r="D330">
        <v>19.252210096584701</v>
      </c>
      <c r="E330" t="s">
        <v>19</v>
      </c>
      <c r="F330">
        <v>-1.1881323479255601</v>
      </c>
      <c r="G330">
        <v>9.2816666666666698</v>
      </c>
      <c r="H330">
        <v>9.2921052631578895</v>
      </c>
      <c r="I330">
        <v>5.4908620271786002E-2</v>
      </c>
      <c r="J330">
        <v>33.843134640953402</v>
      </c>
      <c r="K330">
        <v>23.519034091866001</v>
      </c>
      <c r="L330">
        <v>0.14525161993268301</v>
      </c>
      <c r="M330">
        <v>2924.0468329783798</v>
      </c>
      <c r="N330">
        <f t="shared" si="35"/>
        <v>2032.0445455372226</v>
      </c>
      <c r="O330">
        <v>12549.739962183799</v>
      </c>
      <c r="P330">
        <f t="shared" si="36"/>
        <v>456.30179233744525</v>
      </c>
      <c r="Q330">
        <f t="shared" si="37"/>
        <v>4.2433520654922052</v>
      </c>
      <c r="R330">
        <f t="shared" si="38"/>
        <v>1936.2491530028935</v>
      </c>
      <c r="T330">
        <f t="shared" si="39"/>
        <v>-8.6116666666666699</v>
      </c>
      <c r="U330">
        <f t="shared" si="40"/>
        <v>9.5775439519252669E-3</v>
      </c>
      <c r="V330">
        <f t="shared" si="41"/>
        <v>-8.2478615999329791E-2</v>
      </c>
      <c r="W330">
        <f>F330-V330</f>
        <v>-1.1056537319262303</v>
      </c>
      <c r="Y330">
        <f>(1-H330)*U330</f>
        <v>-7.9418002611885516E-2</v>
      </c>
      <c r="Z330">
        <f>C330-Y330</f>
        <v>-1.1396847504262944</v>
      </c>
    </row>
    <row r="331" spans="1:26" x14ac:dyDescent="0.75">
      <c r="A331" s="1">
        <v>45673</v>
      </c>
      <c r="B331">
        <v>2.5573364749564599E-2</v>
      </c>
      <c r="C331">
        <v>-0.55050135695721203</v>
      </c>
      <c r="D331">
        <v>8.2356302532073897</v>
      </c>
      <c r="E331" t="s">
        <v>19</v>
      </c>
      <c r="F331">
        <v>-0.52492799220764796</v>
      </c>
      <c r="G331">
        <v>9.1279166666666693</v>
      </c>
      <c r="H331">
        <v>9.1368421052631597</v>
      </c>
      <c r="I331">
        <v>5.11715862825666E-2</v>
      </c>
      <c r="J331">
        <v>31.514876295015</v>
      </c>
      <c r="K331">
        <v>23.771392783246402</v>
      </c>
      <c r="L331">
        <v>0.14012339810976099</v>
      </c>
      <c r="M331">
        <v>2722.8853118892998</v>
      </c>
      <c r="N331">
        <f t="shared" si="35"/>
        <v>2053.8483364724893</v>
      </c>
      <c r="O331">
        <v>12106.6615966833</v>
      </c>
      <c r="P331">
        <f t="shared" si="36"/>
        <v>1029.0242345906468</v>
      </c>
      <c r="Q331">
        <f t="shared" si="37"/>
        <v>4.3951739289133709</v>
      </c>
      <c r="R331">
        <f t="shared" si="38"/>
        <v>4522.740488092847</v>
      </c>
      <c r="T331">
        <f t="shared" si="39"/>
        <v>-8.4579166666666694</v>
      </c>
      <c r="U331">
        <f t="shared" si="40"/>
        <v>9.3459251883588924E-3</v>
      </c>
      <c r="V331">
        <f t="shared" si="41"/>
        <v>-7.9047056416040512E-2</v>
      </c>
      <c r="W331">
        <f>F331-V331</f>
        <v>-0.44588093579160748</v>
      </c>
      <c r="Y331">
        <f>(1-H331)*U331</f>
        <v>-7.6046317585278161E-2</v>
      </c>
      <c r="Z331">
        <f>C331-Y331</f>
        <v>-0.4744550393719339</v>
      </c>
    </row>
    <row r="332" spans="1:26" x14ac:dyDescent="0.75">
      <c r="A332" s="1">
        <v>45674</v>
      </c>
      <c r="B332">
        <v>2.46870716858438E-2</v>
      </c>
      <c r="C332">
        <v>-0.47532957783902902</v>
      </c>
      <c r="D332">
        <v>6.2060197586573498</v>
      </c>
      <c r="E332" t="s">
        <v>19</v>
      </c>
      <c r="F332">
        <v>-0.45064250615318502</v>
      </c>
      <c r="G332">
        <v>9.2337500000000006</v>
      </c>
      <c r="H332">
        <v>9.2621052631579008</v>
      </c>
      <c r="I332">
        <v>4.9239953631422501E-2</v>
      </c>
      <c r="J332">
        <v>30.312179778250801</v>
      </c>
      <c r="K332">
        <v>24.044739751555401</v>
      </c>
      <c r="L332">
        <v>0.13739919535967299</v>
      </c>
      <c r="M332">
        <v>2618.97233284087</v>
      </c>
      <c r="N332">
        <f t="shared" si="35"/>
        <v>2077.4655145343868</v>
      </c>
      <c r="O332">
        <v>11871.2904790757</v>
      </c>
      <c r="P332">
        <f t="shared" si="36"/>
        <v>1339.006909180516</v>
      </c>
      <c r="Q332">
        <f t="shared" si="37"/>
        <v>4.4803850903247762</v>
      </c>
      <c r="R332">
        <f t="shared" si="38"/>
        <v>5999.2665917342456</v>
      </c>
      <c r="T332">
        <f t="shared" si="39"/>
        <v>-8.5637500000000006</v>
      </c>
      <c r="U332">
        <f t="shared" si="40"/>
        <v>9.2736024812715128E-3</v>
      </c>
      <c r="V332">
        <f t="shared" si="41"/>
        <v>-7.9416813248988929E-2</v>
      </c>
      <c r="W332">
        <f>F332-V332</f>
        <v>-0.3712256929041961</v>
      </c>
      <c r="Y332">
        <f>(1-H332)*U332</f>
        <v>-7.6619479868947529E-2</v>
      </c>
      <c r="Z332">
        <f>C332-Y332</f>
        <v>-0.3987100979700815</v>
      </c>
    </row>
    <row r="333" spans="1:26" x14ac:dyDescent="0.75">
      <c r="A333" s="1">
        <v>45675</v>
      </c>
      <c r="B333">
        <v>5.3213743002803397E-2</v>
      </c>
      <c r="C333">
        <v>-0.47250714669808402</v>
      </c>
      <c r="D333">
        <v>2.6487604492319199</v>
      </c>
      <c r="E333" t="s">
        <v>19</v>
      </c>
      <c r="F333">
        <v>-0.41929340369528001</v>
      </c>
      <c r="G333">
        <v>8.1720833333333296</v>
      </c>
      <c r="H333">
        <v>8.2078947368421105</v>
      </c>
      <c r="I333">
        <v>4.8934649990512002E-2</v>
      </c>
      <c r="J333">
        <v>30.124064696127601</v>
      </c>
      <c r="K333">
        <v>24.338377538909501</v>
      </c>
      <c r="L333">
        <v>0.13677985768772899</v>
      </c>
      <c r="M333">
        <v>2602.71918974543</v>
      </c>
      <c r="N333">
        <f t="shared" si="35"/>
        <v>2102.835819361781</v>
      </c>
      <c r="O333">
        <v>11817.7797042197</v>
      </c>
      <c r="P333">
        <f t="shared" si="36"/>
        <v>3123.138521398796</v>
      </c>
      <c r="Q333">
        <f t="shared" si="37"/>
        <v>4.5006468610390744</v>
      </c>
      <c r="R333">
        <f t="shared" si="38"/>
        <v>14056.143582923707</v>
      </c>
      <c r="T333">
        <f t="shared" si="39"/>
        <v>-7.5020833333333297</v>
      </c>
      <c r="U333">
        <f t="shared" si="40"/>
        <v>9.3445937185851324E-3</v>
      </c>
      <c r="V333">
        <f t="shared" si="41"/>
        <v>-7.0103920792968843E-2</v>
      </c>
      <c r="W333">
        <f>F333-V333</f>
        <v>-0.34918948290231117</v>
      </c>
      <c r="Y333">
        <f>(1-H333)*U333</f>
        <v>-6.7354847882117624E-2</v>
      </c>
      <c r="Z333">
        <f>C333-Y333</f>
        <v>-0.40515229881596637</v>
      </c>
    </row>
    <row r="334" spans="1:26" x14ac:dyDescent="0.75">
      <c r="A334" s="1">
        <v>45677</v>
      </c>
      <c r="B334">
        <v>0.107141870851367</v>
      </c>
      <c r="C334">
        <v>-0.80936755985792497</v>
      </c>
      <c r="D334">
        <v>1.4482976179055</v>
      </c>
      <c r="E334" t="s">
        <v>19</v>
      </c>
      <c r="F334">
        <v>-0.70222568900655802</v>
      </c>
      <c r="G334">
        <v>6.8583333333333298</v>
      </c>
      <c r="H334">
        <v>6.81</v>
      </c>
      <c r="I334">
        <v>0.32720717623253398</v>
      </c>
      <c r="J334">
        <v>205.76424436943199</v>
      </c>
      <c r="K334">
        <v>24.9826739644969</v>
      </c>
      <c r="L334">
        <v>0.36049721898140002</v>
      </c>
      <c r="M334">
        <v>17778.0307135189</v>
      </c>
      <c r="N334">
        <f t="shared" si="35"/>
        <v>2158.5030305325322</v>
      </c>
      <c r="O334">
        <v>31146.959719992901</v>
      </c>
      <c r="P334">
        <f t="shared" si="36"/>
        <v>15054.137723105503</v>
      </c>
      <c r="Q334">
        <f t="shared" si="37"/>
        <v>1.7443963568289089</v>
      </c>
      <c r="R334">
        <f t="shared" si="38"/>
        <v>26260.382999385885</v>
      </c>
      <c r="T334">
        <f t="shared" si="39"/>
        <v>-6.1883333333333299</v>
      </c>
      <c r="U334">
        <f t="shared" si="40"/>
        <v>2.4747850705861558E-2</v>
      </c>
      <c r="V334">
        <f t="shared" si="41"/>
        <v>-0.15314794945143986</v>
      </c>
      <c r="W334">
        <f>F334-V334</f>
        <v>-0.54907773955511818</v>
      </c>
      <c r="Y334">
        <f>(1-H334)*U334</f>
        <v>-0.14378501260105564</v>
      </c>
      <c r="Z334">
        <f>C334-Y334</f>
        <v>-0.66558254725686927</v>
      </c>
    </row>
    <row r="335" spans="1:26" x14ac:dyDescent="0.75">
      <c r="A335" s="1">
        <v>45679</v>
      </c>
      <c r="B335">
        <v>5.68210582548941E-2</v>
      </c>
      <c r="C335">
        <v>-1.50562901276002</v>
      </c>
      <c r="D335">
        <v>2.1344337859818601</v>
      </c>
      <c r="E335" t="s">
        <v>19</v>
      </c>
      <c r="F335">
        <v>-1.44880795450512</v>
      </c>
      <c r="G335">
        <v>9.2733333333333299</v>
      </c>
      <c r="H335">
        <v>9.2666666666666693</v>
      </c>
      <c r="I335">
        <v>0.46053973456431802</v>
      </c>
      <c r="J335">
        <v>290.709244466021</v>
      </c>
      <c r="K335">
        <v>25.696166929537601</v>
      </c>
      <c r="L335">
        <v>0.429512977708988</v>
      </c>
      <c r="M335">
        <v>25117.278721864201</v>
      </c>
      <c r="N335">
        <f t="shared" si="35"/>
        <v>2220.148822712049</v>
      </c>
      <c r="O335">
        <v>37109.921274056498</v>
      </c>
      <c r="P335">
        <f t="shared" si="36"/>
        <v>12170.414965526748</v>
      </c>
      <c r="Q335">
        <f t="shared" si="37"/>
        <v>1.4696551659078154</v>
      </c>
      <c r="R335">
        <f t="shared" si="38"/>
        <v>17886.313225328173</v>
      </c>
      <c r="T335">
        <f t="shared" si="39"/>
        <v>-8.6033333333333299</v>
      </c>
      <c r="U335">
        <f t="shared" si="40"/>
        <v>3.0213193873144369E-2</v>
      </c>
      <c r="V335">
        <f t="shared" si="41"/>
        <v>-0.25993417795528528</v>
      </c>
      <c r="W335">
        <f>F335-V335</f>
        <v>-1.1888737765498347</v>
      </c>
      <c r="Y335">
        <f>(1-H335)*U335</f>
        <v>-0.24976240268466018</v>
      </c>
      <c r="Z335">
        <f>C335-Y335</f>
        <v>-1.2558666100753599</v>
      </c>
    </row>
    <row r="336" spans="1:26" x14ac:dyDescent="0.75">
      <c r="A336" s="1">
        <v>45680</v>
      </c>
      <c r="B336">
        <v>0.27467017480279798</v>
      </c>
      <c r="C336">
        <v>-12.142018687745299</v>
      </c>
      <c r="D336">
        <v>20.491739273311101</v>
      </c>
      <c r="E336" t="s">
        <v>19</v>
      </c>
      <c r="F336">
        <v>-11.867348512942501</v>
      </c>
      <c r="G336">
        <v>9.0012500000000006</v>
      </c>
      <c r="H336">
        <v>8.9627777777777808</v>
      </c>
      <c r="I336">
        <v>0.373175923473059</v>
      </c>
      <c r="J336">
        <v>234.99394797255999</v>
      </c>
      <c r="K336">
        <v>26.076183444518101</v>
      </c>
      <c r="L336">
        <v>0.386361615767362</v>
      </c>
      <c r="M336">
        <v>20303.477104829199</v>
      </c>
      <c r="N336">
        <f t="shared" si="35"/>
        <v>2252.9822496063639</v>
      </c>
      <c r="O336">
        <v>33381.643602300101</v>
      </c>
      <c r="P336">
        <f t="shared" si="36"/>
        <v>1140.3205072028204</v>
      </c>
      <c r="Q336">
        <f t="shared" si="37"/>
        <v>1.6298554452727758</v>
      </c>
      <c r="R336">
        <f t="shared" si="38"/>
        <v>1858.5575880207305</v>
      </c>
      <c r="T336">
        <f t="shared" si="39"/>
        <v>-8.3312500000000007</v>
      </c>
      <c r="U336">
        <f t="shared" si="40"/>
        <v>2.7646405773480119E-2</v>
      </c>
      <c r="V336">
        <f t="shared" si="41"/>
        <v>-0.23032911810030626</v>
      </c>
      <c r="W336">
        <f>F336-V336</f>
        <v>-11.637019394842195</v>
      </c>
      <c r="Y336">
        <f>(1-H336)*U336</f>
        <v>-0.22014218552849482</v>
      </c>
      <c r="Z336">
        <f>C336-Y336</f>
        <v>-11.921876502216804</v>
      </c>
    </row>
    <row r="337" spans="1:26" x14ac:dyDescent="0.75">
      <c r="A337" s="1">
        <v>45681</v>
      </c>
      <c r="B337">
        <v>0.1193243384811</v>
      </c>
      <c r="C337">
        <v>-3.85557336394199</v>
      </c>
      <c r="D337">
        <v>8.9274876164293602</v>
      </c>
      <c r="E337" t="s">
        <v>19</v>
      </c>
      <c r="F337">
        <v>-3.7362490254608902</v>
      </c>
      <c r="G337">
        <v>9.0804166666666699</v>
      </c>
      <c r="H337">
        <v>9.0094444444444406</v>
      </c>
      <c r="I337">
        <v>0.29461307695342698</v>
      </c>
      <c r="J337">
        <v>185.02639213621899</v>
      </c>
      <c r="K337">
        <v>26.470172347157501</v>
      </c>
      <c r="L337">
        <v>0.34266015391500398</v>
      </c>
      <c r="M337">
        <v>15986.280280569301</v>
      </c>
      <c r="N337">
        <f t="shared" si="35"/>
        <v>2287.0228907944083</v>
      </c>
      <c r="O337">
        <v>29605.837298256301</v>
      </c>
      <c r="P337">
        <f t="shared" si="36"/>
        <v>2321.3794293750275</v>
      </c>
      <c r="Q337">
        <f t="shared" si="37"/>
        <v>1.8328125711358505</v>
      </c>
      <c r="R337">
        <f t="shared" si="38"/>
        <v>4254.6534005347175</v>
      </c>
      <c r="T337">
        <f t="shared" si="39"/>
        <v>-8.41041666666667</v>
      </c>
      <c r="U337">
        <f t="shared" si="40"/>
        <v>2.4956429553263808E-2</v>
      </c>
      <c r="V337">
        <f t="shared" si="41"/>
        <v>-0.20989397105526258</v>
      </c>
      <c r="W337">
        <f>F337-V337</f>
        <v>-3.5263550544056277</v>
      </c>
      <c r="Y337">
        <f>(1-H337)*U337</f>
        <v>-0.19988713603855787</v>
      </c>
      <c r="Z337">
        <f>C337-Y337</f>
        <v>-3.6556862279034323</v>
      </c>
    </row>
    <row r="338" spans="1:26" x14ac:dyDescent="0.75">
      <c r="A338" s="1">
        <v>45682</v>
      </c>
      <c r="B338">
        <v>0.49204458718032201</v>
      </c>
      <c r="C338">
        <v>-7.6917573484174699</v>
      </c>
      <c r="D338">
        <v>21.435106122976901</v>
      </c>
      <c r="E338" t="s">
        <v>19</v>
      </c>
      <c r="F338">
        <v>-7.1997127612371496</v>
      </c>
      <c r="G338">
        <v>9.4700000000000006</v>
      </c>
      <c r="H338">
        <v>9.3794444444444505</v>
      </c>
      <c r="I338">
        <v>0.25631214807884201</v>
      </c>
      <c r="J338">
        <v>160.72022032652501</v>
      </c>
      <c r="K338">
        <v>26.876932704730802</v>
      </c>
      <c r="L338">
        <v>0.31920187709296899</v>
      </c>
      <c r="M338">
        <v>13886.2270362117</v>
      </c>
      <c r="N338">
        <f t="shared" si="35"/>
        <v>2322.1669856887415</v>
      </c>
      <c r="O338">
        <v>27579.042180832599</v>
      </c>
      <c r="P338">
        <f t="shared" si="36"/>
        <v>900.640725351431</v>
      </c>
      <c r="Q338">
        <f t="shared" si="37"/>
        <v>1.9644269888137365</v>
      </c>
      <c r="R338">
        <f t="shared" si="38"/>
        <v>1769.2429481051311</v>
      </c>
      <c r="T338">
        <f t="shared" si="39"/>
        <v>-8.8000000000000007</v>
      </c>
      <c r="U338">
        <f t="shared" si="40"/>
        <v>2.3642181653094011E-2</v>
      </c>
      <c r="V338">
        <f t="shared" si="41"/>
        <v>-0.20805119854722731</v>
      </c>
      <c r="W338">
        <f>F338-V338</f>
        <v>-6.9916615626899219</v>
      </c>
      <c r="Y338">
        <f>(1-H338)*U338</f>
        <v>-0.19810834770756514</v>
      </c>
      <c r="Z338">
        <f>C338-Y338</f>
        <v>-7.4936490007099046</v>
      </c>
    </row>
    <row r="339" spans="1:26" x14ac:dyDescent="0.75">
      <c r="A339" s="1">
        <v>45683</v>
      </c>
      <c r="B339">
        <v>0.151431088787158</v>
      </c>
      <c r="C339">
        <v>-2.5200948541740402</v>
      </c>
      <c r="D339">
        <v>6.0652565891270003</v>
      </c>
      <c r="E339" t="s">
        <v>19</v>
      </c>
      <c r="F339">
        <v>-2.3686637653868798</v>
      </c>
      <c r="G339">
        <v>9.1941666666666695</v>
      </c>
      <c r="H339">
        <v>9.1194444444444507</v>
      </c>
      <c r="I339">
        <v>0.234559263663982</v>
      </c>
      <c r="J339">
        <v>146.934207091887</v>
      </c>
      <c r="K339">
        <v>27.295418215233699</v>
      </c>
      <c r="L339">
        <v>0.305072478166862</v>
      </c>
      <c r="M339">
        <v>12695.1154927391</v>
      </c>
      <c r="N339">
        <f t="shared" si="35"/>
        <v>2358.3241337961917</v>
      </c>
      <c r="O339">
        <v>26358.2621136169</v>
      </c>
      <c r="P339">
        <f t="shared" si="36"/>
        <v>3042.0449998122067</v>
      </c>
      <c r="Q339">
        <f t="shared" si="37"/>
        <v>2.0533703854688685</v>
      </c>
      <c r="R339">
        <f t="shared" si="38"/>
        <v>6246.445113878035</v>
      </c>
      <c r="T339">
        <f t="shared" si="39"/>
        <v>-8.5241666666666696</v>
      </c>
      <c r="U339">
        <f t="shared" si="40"/>
        <v>2.2970275119241969E-2</v>
      </c>
      <c r="V339">
        <f t="shared" si="41"/>
        <v>-0.19580245349560516</v>
      </c>
      <c r="W339">
        <f>F339-V339</f>
        <v>-2.1728613118912747</v>
      </c>
      <c r="Y339">
        <f>(1-H339)*U339</f>
        <v>-0.18650587270428978</v>
      </c>
      <c r="Z339">
        <f>C339-Y339</f>
        <v>-2.3335889814697506</v>
      </c>
    </row>
    <row r="340" spans="1:26" x14ac:dyDescent="0.75">
      <c r="A340" s="1">
        <v>45686</v>
      </c>
      <c r="B340">
        <v>0.31869574231123099</v>
      </c>
      <c r="C340">
        <v>-10.6607251146182</v>
      </c>
      <c r="D340">
        <v>21.8095595302871</v>
      </c>
      <c r="E340" t="s">
        <v>19</v>
      </c>
      <c r="F340">
        <v>-10.342029372307</v>
      </c>
      <c r="G340">
        <v>7.5904166666666697</v>
      </c>
      <c r="H340">
        <v>7.5322222222222202</v>
      </c>
      <c r="I340">
        <v>0.18904260066095899</v>
      </c>
      <c r="J340">
        <v>118.136430658471</v>
      </c>
      <c r="K340">
        <v>28.612038659815799</v>
      </c>
      <c r="L340">
        <v>0.27322698247001598</v>
      </c>
      <c r="M340">
        <v>10206.987608891901</v>
      </c>
      <c r="N340">
        <f t="shared" si="35"/>
        <v>2472.0801402080851</v>
      </c>
      <c r="O340">
        <v>23606.8112854094</v>
      </c>
      <c r="P340">
        <f t="shared" si="36"/>
        <v>757.68462342572809</v>
      </c>
      <c r="Q340">
        <f t="shared" si="37"/>
        <v>2.2871812181234286</v>
      </c>
      <c r="R340">
        <f t="shared" si="38"/>
        <v>1732.9620399602479</v>
      </c>
      <c r="T340">
        <f t="shared" si="39"/>
        <v>-6.9204166666666698</v>
      </c>
      <c r="U340">
        <f t="shared" si="40"/>
        <v>2.1616827915685328E-2</v>
      </c>
      <c r="V340">
        <f t="shared" si="41"/>
        <v>-0.14959745618817408</v>
      </c>
      <c r="W340">
        <f>F340-V340</f>
        <v>-10.192431916118826</v>
      </c>
      <c r="Y340">
        <f>(1-H340)*U340</f>
        <v>-0.14120592368479334</v>
      </c>
      <c r="Z340">
        <f>C340-Y340</f>
        <v>-10.519519190933407</v>
      </c>
    </row>
    <row r="341" spans="1:26" x14ac:dyDescent="0.75">
      <c r="A341" s="1">
        <v>45687</v>
      </c>
      <c r="B341">
        <v>0.34255478935806299</v>
      </c>
      <c r="C341">
        <v>-13.077074340006099</v>
      </c>
      <c r="D341">
        <v>28.740495448738901</v>
      </c>
      <c r="E341" t="s">
        <v>19</v>
      </c>
      <c r="F341">
        <v>-12.7345195506481</v>
      </c>
      <c r="G341">
        <v>7.5654166666666702</v>
      </c>
      <c r="H341">
        <v>7.5205555555555597</v>
      </c>
      <c r="I341">
        <v>0.17611416571318</v>
      </c>
      <c r="J341">
        <v>109.970084184096</v>
      </c>
      <c r="K341">
        <v>29.068812586984301</v>
      </c>
      <c r="L341">
        <v>0.26351778498981598</v>
      </c>
      <c r="M341">
        <v>9501.4152735059106</v>
      </c>
      <c r="N341">
        <f t="shared" si="35"/>
        <v>2511.5454075154439</v>
      </c>
      <c r="O341">
        <v>22767.936623120098</v>
      </c>
      <c r="P341">
        <f t="shared" si="36"/>
        <v>554.53308606353164</v>
      </c>
      <c r="Q341">
        <f t="shared" si="37"/>
        <v>2.369574329794121</v>
      </c>
      <c r="R341">
        <f t="shared" si="38"/>
        <v>1314.0073657576586</v>
      </c>
      <c r="T341">
        <f t="shared" si="39"/>
        <v>-6.8954166666666703</v>
      </c>
      <c r="U341">
        <f t="shared" si="40"/>
        <v>2.119828338732601E-2</v>
      </c>
      <c r="V341">
        <f t="shared" si="41"/>
        <v>-0.14617099657369098</v>
      </c>
      <c r="W341">
        <f>F341-V341</f>
        <v>-12.588348554074409</v>
      </c>
      <c r="Y341">
        <f>(1-H341)*U341</f>
        <v>-0.13822458450946973</v>
      </c>
      <c r="Z341">
        <f>C341-Y341</f>
        <v>-12.93884975549663</v>
      </c>
    </row>
    <row r="342" spans="1:26" x14ac:dyDescent="0.75">
      <c r="A342" s="1">
        <v>45688</v>
      </c>
      <c r="B342">
        <v>7.8390488772311695E-2</v>
      </c>
      <c r="C342">
        <v>-2.1240937592712101</v>
      </c>
      <c r="D342">
        <v>4.2244117416397398</v>
      </c>
      <c r="E342" t="s">
        <v>19</v>
      </c>
      <c r="F342">
        <v>-2.0457032704989002</v>
      </c>
      <c r="G342">
        <v>7.2670833333333302</v>
      </c>
      <c r="H342">
        <v>7.2238888888888901</v>
      </c>
      <c r="I342">
        <v>0.163171052705742</v>
      </c>
      <c r="J342">
        <v>101.801302783255</v>
      </c>
      <c r="K342">
        <v>29.533685376201898</v>
      </c>
      <c r="L342">
        <v>0.25343489458541002</v>
      </c>
      <c r="M342">
        <v>8795.6325604732592</v>
      </c>
      <c r="N342">
        <f t="shared" si="35"/>
        <v>2551.710416503844</v>
      </c>
      <c r="O342">
        <v>21896.774892179401</v>
      </c>
      <c r="P342">
        <f t="shared" si="36"/>
        <v>3628.373217847366</v>
      </c>
      <c r="Q342">
        <f t="shared" si="37"/>
        <v>2.4617492214105972</v>
      </c>
      <c r="R342">
        <f t="shared" si="38"/>
        <v>8932.1449440228171</v>
      </c>
      <c r="T342">
        <f t="shared" si="39"/>
        <v>-6.5970833333333303</v>
      </c>
      <c r="U342">
        <f t="shared" si="40"/>
        <v>2.0730872131985066E-2</v>
      </c>
      <c r="V342">
        <f t="shared" si="41"/>
        <v>-0.13676329102738308</v>
      </c>
      <c r="W342">
        <f>F342-V342</f>
        <v>-1.9089399794715172</v>
      </c>
      <c r="Y342">
        <f>(1-H342)*U342</f>
        <v>-0.12902664471923819</v>
      </c>
      <c r="Z342">
        <f>C342-Y342</f>
        <v>-1.9950671145519721</v>
      </c>
    </row>
    <row r="343" spans="1:26" x14ac:dyDescent="0.75">
      <c r="A343" s="1">
        <v>45689</v>
      </c>
      <c r="B343">
        <v>4.0695550905293303E-2</v>
      </c>
      <c r="C343">
        <v>-1.8912829450192401</v>
      </c>
      <c r="D343">
        <v>4.1113908093772</v>
      </c>
      <c r="E343" t="s">
        <v>19</v>
      </c>
      <c r="F343">
        <v>-1.8505873941139399</v>
      </c>
      <c r="G343">
        <v>6.7549999999999999</v>
      </c>
      <c r="H343">
        <v>6.7266666666666701</v>
      </c>
      <c r="I343">
        <v>0.15371544667331799</v>
      </c>
      <c r="J343">
        <v>95.838034648615505</v>
      </c>
      <c r="K343">
        <v>30.005721735416898</v>
      </c>
      <c r="L343">
        <v>0.24582460527032801</v>
      </c>
      <c r="M343">
        <v>8280.4061936403796</v>
      </c>
      <c r="N343">
        <f t="shared" si="35"/>
        <v>2592.4943579400201</v>
      </c>
      <c r="O343">
        <v>21239.245895356398</v>
      </c>
      <c r="P343">
        <f t="shared" si="36"/>
        <v>3616.1661141139793</v>
      </c>
      <c r="Q343">
        <f t="shared" si="37"/>
        <v>2.5362673863510734</v>
      </c>
      <c r="R343">
        <f t="shared" si="38"/>
        <v>9171.5641788551802</v>
      </c>
      <c r="T343">
        <f t="shared" si="39"/>
        <v>-6.085</v>
      </c>
      <c r="U343">
        <f t="shared" si="40"/>
        <v>2.0443383626596569E-2</v>
      </c>
      <c r="V343">
        <f t="shared" si="41"/>
        <v>-0.12439798936784012</v>
      </c>
      <c r="W343">
        <f>F343-V343</f>
        <v>-1.7261894047460997</v>
      </c>
      <c r="Y343">
        <f>(1-H343)*U343</f>
        <v>-0.11707244356830976</v>
      </c>
      <c r="Z343">
        <f>C343-Y343</f>
        <v>-1.7742105014509304</v>
      </c>
    </row>
    <row r="344" spans="1:26" x14ac:dyDescent="0.75">
      <c r="A344" s="1">
        <v>45690</v>
      </c>
      <c r="B344">
        <v>0.45693979816436497</v>
      </c>
      <c r="C344">
        <v>-13.644637781955099</v>
      </c>
      <c r="D344">
        <v>36.949541609073698</v>
      </c>
      <c r="E344" t="s">
        <v>19</v>
      </c>
      <c r="F344">
        <v>-13.1876979837907</v>
      </c>
      <c r="G344">
        <v>7.1858333333333304</v>
      </c>
      <c r="H344">
        <v>7.1144444444444401</v>
      </c>
      <c r="I344">
        <v>0.136688897468704</v>
      </c>
      <c r="J344">
        <v>85.111019816973496</v>
      </c>
      <c r="K344">
        <v>30.480249450649701</v>
      </c>
      <c r="L344">
        <v>0.23149370885815401</v>
      </c>
      <c r="M344">
        <v>7353.5921121865103</v>
      </c>
      <c r="N344">
        <f t="shared" si="35"/>
        <v>2633.4935525361343</v>
      </c>
      <c r="O344">
        <v>20001.0564453445</v>
      </c>
      <c r="P344">
        <f t="shared" si="36"/>
        <v>378.91510698208464</v>
      </c>
      <c r="Q344">
        <f t="shared" si="37"/>
        <v>2.6897589473129373</v>
      </c>
      <c r="R344">
        <f t="shared" si="38"/>
        <v>1019.190299277101</v>
      </c>
      <c r="T344">
        <f t="shared" si="39"/>
        <v>-6.5158333333333305</v>
      </c>
      <c r="U344">
        <f t="shared" si="40"/>
        <v>1.958163243711477E-2</v>
      </c>
      <c r="V344">
        <f t="shared" si="41"/>
        <v>-0.12759065335483361</v>
      </c>
      <c r="W344">
        <f>F344-V344</f>
        <v>-13.060107330435867</v>
      </c>
      <c r="Y344">
        <f>(1-H344)*U344</f>
        <v>-0.11973080366826945</v>
      </c>
      <c r="Z344">
        <f>C344-Y344</f>
        <v>-13.524906978286829</v>
      </c>
    </row>
    <row r="345" spans="1:26" x14ac:dyDescent="0.75">
      <c r="A345" s="1">
        <v>45691</v>
      </c>
      <c r="B345">
        <v>0.21354238333211001</v>
      </c>
      <c r="C345">
        <v>-7.8174844332158404</v>
      </c>
      <c r="D345">
        <v>21.463639614676101</v>
      </c>
      <c r="E345" t="s">
        <v>19</v>
      </c>
      <c r="F345">
        <v>-7.60394204988373</v>
      </c>
      <c r="G345">
        <v>6.9808333333333303</v>
      </c>
      <c r="H345">
        <v>6.9472222222222202</v>
      </c>
      <c r="I345">
        <v>0.12367239416297</v>
      </c>
      <c r="J345">
        <v>76.920001663698997</v>
      </c>
      <c r="K345">
        <v>30.9532453277717</v>
      </c>
      <c r="L345">
        <v>0.219961498688555</v>
      </c>
      <c r="M345">
        <v>6645.8881437435903</v>
      </c>
      <c r="N345">
        <f t="shared" si="35"/>
        <v>2674.3603963194751</v>
      </c>
      <c r="O345">
        <v>19004.673486691099</v>
      </c>
      <c r="P345">
        <f t="shared" si="36"/>
        <v>619.80501347904897</v>
      </c>
      <c r="Q345">
        <f t="shared" si="37"/>
        <v>2.827612198541384</v>
      </c>
      <c r="R345">
        <f t="shared" si="38"/>
        <v>1752.5682168304659</v>
      </c>
      <c r="T345">
        <f t="shared" si="39"/>
        <v>-6.3108333333333304</v>
      </c>
      <c r="U345">
        <f t="shared" si="40"/>
        <v>1.8916033801940995E-2</v>
      </c>
      <c r="V345">
        <f t="shared" si="41"/>
        <v>-0.11937593665174924</v>
      </c>
      <c r="W345">
        <f>F345-V345</f>
        <v>-7.4845661132319812</v>
      </c>
      <c r="Y345">
        <f>(1-H345)*U345</f>
        <v>-0.11249785658321015</v>
      </c>
      <c r="Z345">
        <f>C345-Y345</f>
        <v>-7.7049865766326304</v>
      </c>
    </row>
    <row r="346" spans="1:26" x14ac:dyDescent="0.75">
      <c r="A346" s="1">
        <v>45692</v>
      </c>
      <c r="B346">
        <v>0.21032584558567199</v>
      </c>
      <c r="C346">
        <v>-8.0740987561722992</v>
      </c>
      <c r="D346">
        <v>22.3326220825627</v>
      </c>
      <c r="E346" t="s">
        <v>19</v>
      </c>
      <c r="F346">
        <v>-7.8637729105866301</v>
      </c>
      <c r="G346">
        <v>6.7204166666666696</v>
      </c>
      <c r="H346">
        <v>6.6822222222222196</v>
      </c>
      <c r="I346">
        <v>0.116861774481125</v>
      </c>
      <c r="J346">
        <v>72.637983181327698</v>
      </c>
      <c r="K346">
        <v>31.422013335936001</v>
      </c>
      <c r="L346">
        <v>0.21369133631412099</v>
      </c>
      <c r="M346">
        <v>6275.9217468667102</v>
      </c>
      <c r="N346">
        <f t="shared" si="35"/>
        <v>2714.8619522248705</v>
      </c>
      <c r="O346">
        <v>18462.9314575401</v>
      </c>
      <c r="P346">
        <f t="shared" si="36"/>
        <v>578.70732655119627</v>
      </c>
      <c r="Q346">
        <f t="shared" si="37"/>
        <v>2.9087365349588916</v>
      </c>
      <c r="R346">
        <f t="shared" si="38"/>
        <v>1683.3071437878505</v>
      </c>
      <c r="T346">
        <f t="shared" si="39"/>
        <v>-6.0504166666666697</v>
      </c>
      <c r="U346">
        <f t="shared" si="40"/>
        <v>1.8666949856723541E-2</v>
      </c>
      <c r="V346">
        <f t="shared" si="41"/>
        <v>-0.11294282452895112</v>
      </c>
      <c r="W346">
        <f>F346-V346</f>
        <v>-7.7508300860576789</v>
      </c>
      <c r="Y346">
        <f>(1-H346)*U346</f>
        <v>-0.10606975729698238</v>
      </c>
      <c r="Z346">
        <f>C346-Y346</f>
        <v>-7.968028998875317</v>
      </c>
    </row>
    <row r="347" spans="1:26" x14ac:dyDescent="0.75">
      <c r="A347" s="1">
        <v>45693</v>
      </c>
      <c r="B347">
        <v>0.54301405235367495</v>
      </c>
      <c r="C347">
        <v>-13.405686933612801</v>
      </c>
      <c r="D347">
        <v>40.4163239495658</v>
      </c>
      <c r="E347" t="s">
        <v>19</v>
      </c>
      <c r="F347">
        <v>-12.862672881259099</v>
      </c>
      <c r="G347">
        <v>6.7966666666666704</v>
      </c>
      <c r="H347">
        <v>6.7211111111111101</v>
      </c>
      <c r="I347">
        <v>0.109590263725982</v>
      </c>
      <c r="J347">
        <v>68.069309064154098</v>
      </c>
      <c r="K347">
        <v>31.881228206817401</v>
      </c>
      <c r="L347">
        <v>0.206793968615582</v>
      </c>
      <c r="M347">
        <v>5881.1883031429097</v>
      </c>
      <c r="N347">
        <f t="shared" si="35"/>
        <v>2754.5381170690234</v>
      </c>
      <c r="O347">
        <v>17866.998888386301</v>
      </c>
      <c r="P347">
        <f t="shared" si="36"/>
        <v>309.45167693819354</v>
      </c>
      <c r="Q347">
        <f t="shared" si="37"/>
        <v>3.0035958968343204</v>
      </c>
      <c r="R347">
        <f t="shared" si="38"/>
        <v>929.46778712005778</v>
      </c>
      <c r="T347">
        <f t="shared" si="39"/>
        <v>-6.1266666666666705</v>
      </c>
      <c r="U347">
        <f t="shared" si="40"/>
        <v>1.8341602610206023E-2</v>
      </c>
      <c r="V347">
        <f t="shared" si="41"/>
        <v>-0.11237288532519564</v>
      </c>
      <c r="W347">
        <f>F347-V347</f>
        <v>-12.750299995933904</v>
      </c>
      <c r="Y347">
        <f>(1-H347)*U347</f>
        <v>-0.10493434648883422</v>
      </c>
      <c r="Z347">
        <f>C347-Y347</f>
        <v>-13.300752587123966</v>
      </c>
    </row>
    <row r="348" spans="1:26" x14ac:dyDescent="0.75">
      <c r="A348" s="1">
        <v>45694</v>
      </c>
      <c r="B348">
        <v>0.302080901672095</v>
      </c>
      <c r="C348">
        <v>-9.3653593220725995</v>
      </c>
      <c r="D348">
        <v>28.118667451478199</v>
      </c>
      <c r="E348" t="s">
        <v>19</v>
      </c>
      <c r="F348">
        <v>-9.0632784204005095</v>
      </c>
      <c r="G348">
        <v>6.5708333333333302</v>
      </c>
      <c r="H348">
        <v>6.5222222222222204</v>
      </c>
      <c r="I348">
        <v>0.103290440520275</v>
      </c>
      <c r="J348">
        <v>64.113895022611402</v>
      </c>
      <c r="K348">
        <v>32.327160771658001</v>
      </c>
      <c r="L348">
        <v>0.20063366560378099</v>
      </c>
      <c r="M348">
        <v>5539.4405299536202</v>
      </c>
      <c r="N348">
        <f t="shared" si="35"/>
        <v>2793.0666906712513</v>
      </c>
      <c r="O348">
        <v>17334.748708166699</v>
      </c>
      <c r="P348">
        <f t="shared" si="36"/>
        <v>431.53979884202471</v>
      </c>
      <c r="Q348">
        <f t="shared" si="37"/>
        <v>3.0937714280565234</v>
      </c>
      <c r="R348">
        <f t="shared" si="38"/>
        <v>1335.0854997267156</v>
      </c>
      <c r="T348">
        <f t="shared" si="39"/>
        <v>-5.9008333333333303</v>
      </c>
      <c r="U348">
        <f t="shared" si="40"/>
        <v>1.8056063646730541E-2</v>
      </c>
      <c r="V348">
        <f t="shared" si="41"/>
        <v>-0.10654582223541574</v>
      </c>
      <c r="W348">
        <f>F348-V348</f>
        <v>-8.9567325981650932</v>
      </c>
      <c r="Y348">
        <f>(1-H348)*U348</f>
        <v>-9.9709595915834184E-2</v>
      </c>
      <c r="Z348">
        <f>C348-Y348</f>
        <v>-9.2656497261567647</v>
      </c>
    </row>
    <row r="349" spans="1:26" x14ac:dyDescent="0.75">
      <c r="A349" s="1">
        <v>45695</v>
      </c>
      <c r="B349">
        <v>0.14798688342489899</v>
      </c>
      <c r="C349">
        <v>-8.1692777721550591</v>
      </c>
      <c r="D349">
        <v>25.684649822539601</v>
      </c>
      <c r="E349" t="s">
        <v>19</v>
      </c>
      <c r="F349">
        <v>-8.0212908887301708</v>
      </c>
      <c r="G349">
        <v>6.3866666666666703</v>
      </c>
      <c r="H349">
        <v>6.3588888888888899</v>
      </c>
      <c r="I349">
        <v>9.6881999673090094E-2</v>
      </c>
      <c r="J349">
        <v>60.093049646937303</v>
      </c>
      <c r="K349">
        <v>32.760119571527497</v>
      </c>
      <c r="L349">
        <v>0.194175625362391</v>
      </c>
      <c r="M349">
        <v>5192.0394894953797</v>
      </c>
      <c r="N349">
        <f t="shared" si="35"/>
        <v>2830.474330979976</v>
      </c>
      <c r="O349">
        <v>16776.774031310601</v>
      </c>
      <c r="P349">
        <f t="shared" si="36"/>
        <v>457.22802931156502</v>
      </c>
      <c r="Q349">
        <f t="shared" si="37"/>
        <v>3.1943789679135484</v>
      </c>
      <c r="R349">
        <f t="shared" si="38"/>
        <v>1460.5596003734227</v>
      </c>
      <c r="T349">
        <f t="shared" si="39"/>
        <v>-5.7166666666666703</v>
      </c>
      <c r="U349">
        <f t="shared" si="40"/>
        <v>1.7721593833487696E-2</v>
      </c>
      <c r="V349">
        <f t="shared" si="41"/>
        <v>-0.10130844474810473</v>
      </c>
      <c r="W349">
        <f>F349-V349</f>
        <v>-7.9199824439820663</v>
      </c>
      <c r="Y349">
        <f>(1-H349)*U349</f>
        <v>-9.4968052287679086E-2</v>
      </c>
      <c r="Z349">
        <f>C349-Y349</f>
        <v>-8.0743097198673794</v>
      </c>
    </row>
    <row r="350" spans="1:26" x14ac:dyDescent="0.75">
      <c r="A350" s="1">
        <v>45703</v>
      </c>
      <c r="B350">
        <v>0.17398864728265401</v>
      </c>
      <c r="C350">
        <v>-4.0078157450724001</v>
      </c>
      <c r="D350">
        <v>8.8021408406582093</v>
      </c>
      <c r="E350" t="s">
        <v>19</v>
      </c>
      <c r="F350">
        <v>-3.8338270977897499</v>
      </c>
      <c r="G350">
        <v>6.3454166666666696</v>
      </c>
      <c r="H350">
        <v>6.2547058823529396</v>
      </c>
      <c r="I350">
        <v>0.13471029502665099</v>
      </c>
      <c r="J350">
        <v>83.865370757433794</v>
      </c>
      <c r="K350">
        <v>36.5199598625886</v>
      </c>
      <c r="L350">
        <v>0.229774729506832</v>
      </c>
      <c r="M350">
        <v>7245.9680334422801</v>
      </c>
      <c r="N350">
        <f t="shared" si="35"/>
        <v>3155.3245321276554</v>
      </c>
      <c r="O350">
        <v>19852.536629390299</v>
      </c>
      <c r="P350">
        <f t="shared" si="36"/>
        <v>1578.794965013765</v>
      </c>
      <c r="Q350">
        <f t="shared" si="37"/>
        <v>2.7094405139844806</v>
      </c>
      <c r="R350">
        <f t="shared" si="38"/>
        <v>4277.6510414830054</v>
      </c>
      <c r="T350">
        <f t="shared" si="39"/>
        <v>-5.6754166666666697</v>
      </c>
      <c r="U350">
        <f t="shared" si="40"/>
        <v>2.3291336464792589E-2</v>
      </c>
      <c r="V350">
        <f t="shared" si="41"/>
        <v>-0.13218803916122501</v>
      </c>
      <c r="W350">
        <f>F350-V350</f>
        <v>-3.7016390586285248</v>
      </c>
      <c r="Y350">
        <f>(1-H350)*U350</f>
        <v>-0.12238912272940713</v>
      </c>
      <c r="Z350">
        <f>C350-Y350</f>
        <v>-3.885426622342993</v>
      </c>
    </row>
    <row r="351" spans="1:26" x14ac:dyDescent="0.75">
      <c r="A351" s="1">
        <v>45704</v>
      </c>
      <c r="B351">
        <v>0.120414210248406</v>
      </c>
      <c r="C351">
        <v>-2.6948251140016102</v>
      </c>
      <c r="D351">
        <v>5.6801204898806201</v>
      </c>
      <c r="E351" t="s">
        <v>19</v>
      </c>
      <c r="F351">
        <v>-2.5744109037532099</v>
      </c>
      <c r="G351">
        <v>6.1537499999999996</v>
      </c>
      <c r="H351">
        <v>6.1394117647058799</v>
      </c>
      <c r="I351">
        <v>0.13893170498462201</v>
      </c>
      <c r="J351">
        <v>86.528022804170106</v>
      </c>
      <c r="K351">
        <v>37.730198938810098</v>
      </c>
      <c r="L351">
        <v>0.233144539499342</v>
      </c>
      <c r="M351">
        <v>7476.0211702802999</v>
      </c>
      <c r="N351">
        <f t="shared" si="35"/>
        <v>3259.8891883131928</v>
      </c>
      <c r="O351">
        <v>20143.688212743102</v>
      </c>
      <c r="P351">
        <f t="shared" si="36"/>
        <v>2482.444126676708</v>
      </c>
      <c r="Q351">
        <f t="shared" si="37"/>
        <v>2.6713461455828984</v>
      </c>
      <c r="R351">
        <f t="shared" si="38"/>
        <v>6631.4675494227286</v>
      </c>
      <c r="T351">
        <f t="shared" si="39"/>
        <v>-5.4837499999999997</v>
      </c>
      <c r="U351">
        <f t="shared" si="40"/>
        <v>2.440634055383244E-2</v>
      </c>
      <c r="V351">
        <f t="shared" si="41"/>
        <v>-0.13383827001207863</v>
      </c>
      <c r="W351">
        <f>F351-V351</f>
        <v>-2.4405726337411311</v>
      </c>
      <c r="Y351">
        <f>(1-H351)*U351</f>
        <v>-0.12543423377578466</v>
      </c>
      <c r="Z351">
        <f>C351-Y351</f>
        <v>-2.5693908802258254</v>
      </c>
    </row>
    <row r="352" spans="1:26" x14ac:dyDescent="0.75">
      <c r="A352" s="1">
        <v>45705</v>
      </c>
      <c r="B352">
        <v>6.7640474630485503E-2</v>
      </c>
      <c r="C352">
        <v>-2.0213528540826098</v>
      </c>
      <c r="D352">
        <v>5.4665994775464402</v>
      </c>
      <c r="E352" t="s">
        <v>19</v>
      </c>
      <c r="F352">
        <v>-1.9537123794521201</v>
      </c>
      <c r="G352">
        <v>6.9837499999999997</v>
      </c>
      <c r="H352">
        <v>6.8664705882352903</v>
      </c>
      <c r="I352">
        <v>0.15599935275628099</v>
      </c>
      <c r="J352">
        <v>97.278334199715403</v>
      </c>
      <c r="K352">
        <v>38.887300048007603</v>
      </c>
      <c r="L352">
        <v>0.24766645233496601</v>
      </c>
      <c r="M352">
        <v>8404.8480748554102</v>
      </c>
      <c r="N352">
        <f t="shared" si="35"/>
        <v>3359.8627241478571</v>
      </c>
      <c r="O352">
        <v>21398.381481740998</v>
      </c>
      <c r="P352">
        <f t="shared" si="36"/>
        <v>2740.070330512237</v>
      </c>
      <c r="Q352">
        <f t="shared" si="37"/>
        <v>2.5178285017728581</v>
      </c>
      <c r="R352">
        <f t="shared" si="38"/>
        <v>6899.0271750258862</v>
      </c>
      <c r="T352">
        <f t="shared" si="39"/>
        <v>-6.3137499999999998</v>
      </c>
      <c r="U352">
        <f t="shared" si="40"/>
        <v>2.6688574871418798E-2</v>
      </c>
      <c r="V352">
        <f t="shared" si="41"/>
        <v>-0.16850498959442042</v>
      </c>
      <c r="W352">
        <f>F352-V352</f>
        <v>-1.7852073898576997</v>
      </c>
      <c r="Y352">
        <f>(1-H352)*U352</f>
        <v>-0.15656773952509381</v>
      </c>
      <c r="Z352">
        <f>C352-Y352</f>
        <v>-1.8647851145575161</v>
      </c>
    </row>
    <row r="353" spans="1:26" x14ac:dyDescent="0.75">
      <c r="A353" s="1">
        <v>45706</v>
      </c>
      <c r="B353">
        <v>0.39978829429954699</v>
      </c>
      <c r="C353">
        <v>-6.3870890586959801</v>
      </c>
      <c r="D353">
        <v>20.080754060390799</v>
      </c>
      <c r="E353" t="s">
        <v>19</v>
      </c>
      <c r="F353">
        <v>-5.98730076439643</v>
      </c>
      <c r="G353">
        <v>7.5570833333333303</v>
      </c>
      <c r="H353">
        <v>7.4305882352941204</v>
      </c>
      <c r="I353">
        <v>0.135611527889722</v>
      </c>
      <c r="J353">
        <v>84.432904851155399</v>
      </c>
      <c r="K353">
        <v>40.003091546382997</v>
      </c>
      <c r="L353">
        <v>0.23054847868908501</v>
      </c>
      <c r="M353">
        <v>7295.0029791398301</v>
      </c>
      <c r="N353">
        <f t="shared" si="35"/>
        <v>3456.267109607491</v>
      </c>
      <c r="O353">
        <v>19919.388558736999</v>
      </c>
      <c r="P353">
        <f t="shared" si="36"/>
        <v>694.37491984524297</v>
      </c>
      <c r="Q353">
        <f t="shared" si="37"/>
        <v>2.7005539716937133</v>
      </c>
      <c r="R353">
        <f t="shared" si="38"/>
        <v>1875.1969476325746</v>
      </c>
      <c r="T353">
        <f t="shared" si="39"/>
        <v>-6.8870833333333303</v>
      </c>
      <c r="U353">
        <f t="shared" si="40"/>
        <v>2.5596726788910024E-2</v>
      </c>
      <c r="V353">
        <f t="shared" si="41"/>
        <v>-0.17628679045578902</v>
      </c>
      <c r="W353">
        <f>F353-V353</f>
        <v>-5.811013973940641</v>
      </c>
      <c r="Y353">
        <f>(1-H353)*U353</f>
        <v>-0.16460201015080264</v>
      </c>
      <c r="Z353">
        <f>C353-Y353</f>
        <v>-6.2224870485451778</v>
      </c>
    </row>
    <row r="354" spans="1:26" x14ac:dyDescent="0.75">
      <c r="A354" s="1">
        <v>45708</v>
      </c>
      <c r="B354">
        <v>7.1724367000452996E-2</v>
      </c>
      <c r="C354">
        <v>-1.66758328100836</v>
      </c>
      <c r="D354">
        <v>2.5080677688078401</v>
      </c>
      <c r="E354" t="s">
        <v>19</v>
      </c>
      <c r="F354">
        <v>-1.59585891400791</v>
      </c>
      <c r="G354">
        <v>6.8158333333333303</v>
      </c>
      <c r="H354">
        <v>6.77</v>
      </c>
      <c r="I354">
        <v>0.25533458930554198</v>
      </c>
      <c r="J354">
        <v>160.102346215567</v>
      </c>
      <c r="K354">
        <v>42.140428397563902</v>
      </c>
      <c r="L354">
        <v>0.31849355400226498</v>
      </c>
      <c r="M354">
        <v>13832.842713025</v>
      </c>
      <c r="N354">
        <f t="shared" si="35"/>
        <v>3640.9330135495215</v>
      </c>
      <c r="O354">
        <v>27517.8430657957</v>
      </c>
      <c r="P354">
        <f t="shared" si="36"/>
        <v>7680.2111911086949</v>
      </c>
      <c r="Q354">
        <f t="shared" si="37"/>
        <v>1.9687356159046374</v>
      </c>
      <c r="R354">
        <f t="shared" si="38"/>
        <v>15120.305309605066</v>
      </c>
      <c r="T354">
        <f t="shared" si="39"/>
        <v>-6.1458333333333304</v>
      </c>
      <c r="U354">
        <f t="shared" si="40"/>
        <v>3.6987526249191223E-2</v>
      </c>
      <c r="V354">
        <f t="shared" si="41"/>
        <v>-0.22731917173982094</v>
      </c>
      <c r="W354">
        <f>F354-V354</f>
        <v>-1.3685397422680892</v>
      </c>
      <c r="Y354">
        <f>(1-H354)*U354</f>
        <v>-0.21341802645783334</v>
      </c>
      <c r="Z354">
        <f>C354-Y354</f>
        <v>-1.4541652545505266</v>
      </c>
    </row>
    <row r="355" spans="1:26" x14ac:dyDescent="0.75">
      <c r="A355" s="1">
        <v>45710</v>
      </c>
      <c r="B355">
        <v>0.28574084125186699</v>
      </c>
      <c r="C355">
        <v>-3.7874952172062599</v>
      </c>
      <c r="D355">
        <v>11.4330331153324</v>
      </c>
      <c r="E355" t="s">
        <v>19</v>
      </c>
      <c r="F355">
        <v>-3.5017543759544001</v>
      </c>
      <c r="G355">
        <v>8.3125</v>
      </c>
      <c r="H355">
        <v>8.2141176470588206</v>
      </c>
      <c r="I355">
        <v>0.17023707062565599</v>
      </c>
      <c r="J355">
        <v>106.26064620707101</v>
      </c>
      <c r="K355">
        <v>44.186567842857301</v>
      </c>
      <c r="L355">
        <v>0.25895203245389298</v>
      </c>
      <c r="M355">
        <v>9180.9198322909597</v>
      </c>
      <c r="N355">
        <f t="shared" si="35"/>
        <v>3817.7194616228712</v>
      </c>
      <c r="O355">
        <v>22373.455604016399</v>
      </c>
      <c r="P355">
        <f t="shared" si="36"/>
        <v>1369.8393737536326</v>
      </c>
      <c r="Q355">
        <f t="shared" si="37"/>
        <v>2.4104547942652506</v>
      </c>
      <c r="R355">
        <f t="shared" si="38"/>
        <v>3301.9358858377523</v>
      </c>
      <c r="T355">
        <f t="shared" si="39"/>
        <v>-7.6425000000000001</v>
      </c>
      <c r="U355">
        <f t="shared" si="40"/>
        <v>3.1676341499584773E-2</v>
      </c>
      <c r="V355">
        <f t="shared" si="41"/>
        <v>-0.24208643991057663</v>
      </c>
      <c r="W355">
        <f>F355-V355</f>
        <v>-3.2596679360438237</v>
      </c>
      <c r="Y355">
        <f>(1-H355)*U355</f>
        <v>-0.22851685420641618</v>
      </c>
      <c r="Z355">
        <f>C355-Y355</f>
        <v>-3.5589783629998437</v>
      </c>
    </row>
    <row r="356" spans="1:26" x14ac:dyDescent="0.75">
      <c r="A356" s="1">
        <v>45711</v>
      </c>
      <c r="B356">
        <v>0.16846963806428999</v>
      </c>
      <c r="C356">
        <v>-2.4270692416235802</v>
      </c>
      <c r="D356">
        <v>6.4069329512216102</v>
      </c>
      <c r="E356" t="s">
        <v>19</v>
      </c>
      <c r="F356">
        <v>-2.2585996035592899</v>
      </c>
      <c r="G356">
        <v>7.8483333333333301</v>
      </c>
      <c r="H356">
        <v>7.74058823529412</v>
      </c>
      <c r="I356">
        <v>0.15523609365400601</v>
      </c>
      <c r="J356">
        <v>96.797041282497105</v>
      </c>
      <c r="K356">
        <v>45.1771954169187</v>
      </c>
      <c r="L356">
        <v>0.24704864948240099</v>
      </c>
      <c r="M356">
        <v>8363.2643668077508</v>
      </c>
      <c r="N356">
        <f t="shared" si="35"/>
        <v>3903.3096840217759</v>
      </c>
      <c r="O356">
        <v>21345.003315279399</v>
      </c>
      <c r="P356">
        <f t="shared" si="36"/>
        <v>2332.0834531047622</v>
      </c>
      <c r="Q356">
        <f t="shared" si="37"/>
        <v>2.5239857173299809</v>
      </c>
      <c r="R356">
        <f t="shared" si="38"/>
        <v>5886.145327258002</v>
      </c>
      <c r="T356">
        <f t="shared" si="39"/>
        <v>-7.1783333333333301</v>
      </c>
      <c r="U356">
        <f t="shared" si="40"/>
        <v>3.0929728779534652E-2</v>
      </c>
      <c r="V356">
        <f t="shared" si="41"/>
        <v>-0.22202390308909281</v>
      </c>
      <c r="W356">
        <f>F356-V356</f>
        <v>-2.036575700470197</v>
      </c>
      <c r="Y356">
        <f>(1-H356)*U356</f>
        <v>-0.20848456593216924</v>
      </c>
      <c r="Z356">
        <f>C356-Y356</f>
        <v>-2.2185846756914112</v>
      </c>
    </row>
    <row r="357" spans="1:26" x14ac:dyDescent="0.75">
      <c r="A357" s="1">
        <v>45713</v>
      </c>
      <c r="B357">
        <v>0.167956679518176</v>
      </c>
      <c r="C357">
        <v>-3.9714582614240999</v>
      </c>
      <c r="D357">
        <v>5.7162128404392298</v>
      </c>
      <c r="E357" t="s">
        <v>19</v>
      </c>
      <c r="F357">
        <v>-3.8035015819059299</v>
      </c>
      <c r="G357">
        <v>7.0295833333333304</v>
      </c>
      <c r="H357">
        <v>6.95705882352941</v>
      </c>
      <c r="I357">
        <v>0.22621331894179</v>
      </c>
      <c r="J357">
        <v>141.648333376408</v>
      </c>
      <c r="K357">
        <v>47.091863390975703</v>
      </c>
      <c r="L357">
        <v>0.29949658719653899</v>
      </c>
      <c r="M357">
        <v>12238.416003721601</v>
      </c>
      <c r="N357">
        <f t="shared" si="35"/>
        <v>4068.7369969803012</v>
      </c>
      <c r="O357">
        <v>25876.505133781</v>
      </c>
      <c r="P357">
        <f t="shared" si="36"/>
        <v>3168.8032092686854</v>
      </c>
      <c r="Q357">
        <f t="shared" si="37"/>
        <v>2.0907466975051485</v>
      </c>
      <c r="R357">
        <f t="shared" si="38"/>
        <v>6625.1648448222195</v>
      </c>
      <c r="T357">
        <f t="shared" si="39"/>
        <v>-6.3595833333333305</v>
      </c>
      <c r="U357">
        <f t="shared" si="40"/>
        <v>3.8921376767787841E-2</v>
      </c>
      <c r="V357">
        <f t="shared" si="41"/>
        <v>-0.24752373900281063</v>
      </c>
      <c r="W357">
        <f>F357-V357</f>
        <v>-3.5559778429031192</v>
      </c>
      <c r="Y357">
        <f>(1-H357)*U357</f>
        <v>-0.23185693089846315</v>
      </c>
      <c r="Z357">
        <f>C357-Y357</f>
        <v>-3.7396013305256366</v>
      </c>
    </row>
    <row r="358" spans="1:26" x14ac:dyDescent="0.75">
      <c r="A358" s="1">
        <v>45715</v>
      </c>
      <c r="B358">
        <v>0.68206403991410403</v>
      </c>
      <c r="C358">
        <v>-11.9845554727381</v>
      </c>
      <c r="D358">
        <v>23.371438064604501</v>
      </c>
      <c r="E358" t="s">
        <v>19</v>
      </c>
      <c r="F358">
        <v>-11.302491432824</v>
      </c>
      <c r="G358">
        <v>6.9924999999999997</v>
      </c>
      <c r="H358">
        <v>6.8635294117647101</v>
      </c>
      <c r="I358">
        <v>0.17886212429767501</v>
      </c>
      <c r="J358">
        <v>111.705490378444</v>
      </c>
      <c r="K358">
        <v>48.903303706688</v>
      </c>
      <c r="L358">
        <v>0.26560046706297202</v>
      </c>
      <c r="M358">
        <v>9651.3543686975499</v>
      </c>
      <c r="N358">
        <f t="shared" si="35"/>
        <v>4225.2454402578433</v>
      </c>
      <c r="O358">
        <v>22947.880354240799</v>
      </c>
      <c r="P358">
        <f t="shared" si="36"/>
        <v>687.31398571046338</v>
      </c>
      <c r="Q358">
        <f t="shared" si="37"/>
        <v>2.3514042594498705</v>
      </c>
      <c r="R358">
        <f t="shared" si="38"/>
        <v>1616.153033579051</v>
      </c>
      <c r="T358">
        <f t="shared" si="39"/>
        <v>-6.3224999999999998</v>
      </c>
      <c r="U358">
        <f t="shared" si="40"/>
        <v>3.5938060614437883E-2</v>
      </c>
      <c r="V358">
        <f t="shared" si="41"/>
        <v>-0.22721838823478352</v>
      </c>
      <c r="W358">
        <f>F358-V358</f>
        <v>-11.075273044589217</v>
      </c>
      <c r="Y358">
        <f>(1-H358)*U358</f>
        <v>-0.21072387541453946</v>
      </c>
      <c r="Z358">
        <f>C358-Y358</f>
        <v>-11.773831597323561</v>
      </c>
    </row>
    <row r="359" spans="1:26" x14ac:dyDescent="0.75">
      <c r="A359" s="1">
        <v>45716</v>
      </c>
      <c r="B359">
        <v>5.4572321265172301E-2</v>
      </c>
      <c r="C359">
        <v>-2.0993703451191301</v>
      </c>
      <c r="D359">
        <v>5.0252747722689497</v>
      </c>
      <c r="E359" t="s">
        <v>19</v>
      </c>
      <c r="F359">
        <v>-2.0447980238539598</v>
      </c>
      <c r="G359">
        <v>6.9445833333333304</v>
      </c>
      <c r="H359">
        <v>6.8547058823529401</v>
      </c>
      <c r="I359">
        <v>0.16245476339437501</v>
      </c>
      <c r="J359">
        <v>101.35017180899101</v>
      </c>
      <c r="K359">
        <v>49.753416034807699</v>
      </c>
      <c r="L359">
        <v>0.252825201335936</v>
      </c>
      <c r="M359">
        <v>8756.6548442967905</v>
      </c>
      <c r="N359">
        <f t="shared" si="35"/>
        <v>4298.6951454073851</v>
      </c>
      <c r="O359">
        <v>21844.0973954248</v>
      </c>
      <c r="P359">
        <f t="shared" si="36"/>
        <v>3042.7924580715844</v>
      </c>
      <c r="Q359">
        <f t="shared" si="37"/>
        <v>2.4675824768781789</v>
      </c>
      <c r="R359">
        <f t="shared" si="38"/>
        <v>7508.341350314523</v>
      </c>
      <c r="T359">
        <f t="shared" si="39"/>
        <v>-6.2745833333333305</v>
      </c>
      <c r="U359">
        <f t="shared" si="40"/>
        <v>3.4841349261369441E-2</v>
      </c>
      <c r="V359">
        <f t="shared" si="41"/>
        <v>-0.21861494938623424</v>
      </c>
      <c r="W359">
        <f>F359-V359</f>
        <v>-1.8261830744677257</v>
      </c>
      <c r="Y359">
        <f>(1-H359)*U359</f>
        <v>-0.20398585246965292</v>
      </c>
      <c r="Z359">
        <f>C359-Y359</f>
        <v>-1.8953844926494772</v>
      </c>
    </row>
    <row r="360" spans="1:26" x14ac:dyDescent="0.75">
      <c r="A360" s="1">
        <v>45717</v>
      </c>
      <c r="B360">
        <v>0.12270656498497</v>
      </c>
      <c r="C360">
        <v>-3.1125787836696799</v>
      </c>
      <c r="D360">
        <v>8.5402240308471704</v>
      </c>
      <c r="E360" t="s">
        <v>19</v>
      </c>
      <c r="F360">
        <v>-2.98987221868471</v>
      </c>
      <c r="G360">
        <v>7.24125</v>
      </c>
      <c r="H360">
        <v>7.1635294117647099</v>
      </c>
      <c r="I360">
        <v>0.14010007853348999</v>
      </c>
      <c r="J360">
        <v>87.259144635070101</v>
      </c>
      <c r="K360">
        <v>50.558410167401703</v>
      </c>
      <c r="L360">
        <v>0.23442241004868999</v>
      </c>
      <c r="M360">
        <v>7539.1900964700599</v>
      </c>
      <c r="N360">
        <f t="shared" si="35"/>
        <v>4368.2466384635072</v>
      </c>
      <c r="O360">
        <v>20254.096228206799</v>
      </c>
      <c r="P360">
        <f t="shared" si="36"/>
        <v>1660.1282716395378</v>
      </c>
      <c r="Q360">
        <f t="shared" si="37"/>
        <v>2.6568892169072136</v>
      </c>
      <c r="R360">
        <f t="shared" si="38"/>
        <v>4410.7769036018981</v>
      </c>
      <c r="T360">
        <f t="shared" si="39"/>
        <v>-6.57125</v>
      </c>
      <c r="U360">
        <f t="shared" si="40"/>
        <v>3.2882414597236551E-2</v>
      </c>
      <c r="V360">
        <f t="shared" si="41"/>
        <v>-0.21607856692209068</v>
      </c>
      <c r="W360">
        <f>F360-V360</f>
        <v>-2.7737936517626194</v>
      </c>
      <c r="Y360">
        <f>(1-H360)*U360</f>
        <v>-0.20267172949990872</v>
      </c>
      <c r="Z360">
        <f>C360-Y360</f>
        <v>-2.9099070541697714</v>
      </c>
    </row>
    <row r="361" spans="1:26" x14ac:dyDescent="0.75">
      <c r="A361" s="1">
        <v>45718</v>
      </c>
      <c r="B361">
        <v>2.9968292241961798E-2</v>
      </c>
      <c r="C361">
        <v>-1.14627485805217</v>
      </c>
      <c r="D361">
        <v>4.0362539129262398</v>
      </c>
      <c r="E361" t="s">
        <v>19</v>
      </c>
      <c r="F361">
        <v>-1.1163065658102</v>
      </c>
      <c r="G361">
        <v>7.2112499999999997</v>
      </c>
      <c r="H361">
        <v>7.1641176470588199</v>
      </c>
      <c r="I361">
        <v>0.13126975784254599</v>
      </c>
      <c r="J361">
        <v>81.699702641915593</v>
      </c>
      <c r="K361">
        <v>51.313645500866599</v>
      </c>
      <c r="L361">
        <v>0.226764078463707</v>
      </c>
      <c r="M361">
        <v>7058.8543082615097</v>
      </c>
      <c r="N361">
        <f t="shared" si="35"/>
        <v>4433.4989712748747</v>
      </c>
      <c r="O361">
        <v>19592.416379264199</v>
      </c>
      <c r="P361">
        <f t="shared" si="36"/>
        <v>3397.8762885960109</v>
      </c>
      <c r="Q361">
        <f t="shared" si="37"/>
        <v>2.7446156309752356</v>
      </c>
      <c r="R361">
        <f t="shared" si="38"/>
        <v>9325.8643738007322</v>
      </c>
      <c r="T361">
        <f t="shared" si="39"/>
        <v>-6.5412499999999998</v>
      </c>
      <c r="U361">
        <f t="shared" si="40"/>
        <v>3.230688422261542E-2</v>
      </c>
      <c r="V361">
        <f t="shared" si="41"/>
        <v>-0.21132740642118311</v>
      </c>
      <c r="W361">
        <f>F361-V361</f>
        <v>-0.90497915938901696</v>
      </c>
      <c r="Y361">
        <f>(1-H361)*U361</f>
        <v>-0.19914343515810987</v>
      </c>
      <c r="Z361">
        <f>C361-Y361</f>
        <v>-0.94713142289406016</v>
      </c>
    </row>
    <row r="362" spans="1:26" x14ac:dyDescent="0.75">
      <c r="A362" s="1">
        <v>45719</v>
      </c>
      <c r="B362">
        <v>2.8758765165265501E-2</v>
      </c>
      <c r="C362">
        <v>-1.5119365545530801</v>
      </c>
      <c r="D362">
        <v>6.2116211152079304</v>
      </c>
      <c r="E362" t="s">
        <v>19</v>
      </c>
      <c r="F362">
        <v>-1.48317778938782</v>
      </c>
      <c r="G362">
        <v>7.7716666666666701</v>
      </c>
      <c r="H362">
        <v>7.78058823529412</v>
      </c>
      <c r="I362">
        <v>0.119175036683407</v>
      </c>
      <c r="J362">
        <v>74.092243004419799</v>
      </c>
      <c r="K362">
        <v>52.014903509729997</v>
      </c>
      <c r="L362">
        <v>0.21583065923421599</v>
      </c>
      <c r="M362">
        <v>6401.5697955818696</v>
      </c>
      <c r="N362">
        <f t="shared" si="35"/>
        <v>4494.0876632406716</v>
      </c>
      <c r="O362">
        <v>18647.768957836201</v>
      </c>
      <c r="P362">
        <f t="shared" si="36"/>
        <v>2101.4543592374894</v>
      </c>
      <c r="Q362">
        <f t="shared" si="37"/>
        <v>2.8805426568637293</v>
      </c>
      <c r="R362">
        <f t="shared" si="38"/>
        <v>6053.3289232358238</v>
      </c>
      <c r="T362">
        <f t="shared" si="39"/>
        <v>-7.1016666666666701</v>
      </c>
      <c r="U362">
        <f t="shared" si="40"/>
        <v>3.1203062746057265E-2</v>
      </c>
      <c r="V362">
        <f t="shared" si="41"/>
        <v>-0.22159375060158346</v>
      </c>
      <c r="W362">
        <f>F362-V362</f>
        <v>-1.2615840387862365</v>
      </c>
      <c r="Y362">
        <f>(1-H362)*U362</f>
        <v>-0.21157512016106012</v>
      </c>
      <c r="Z362">
        <f>C362-Y362</f>
        <v>-1.30036143439202</v>
      </c>
    </row>
    <row r="363" spans="1:26" x14ac:dyDescent="0.75">
      <c r="A363" s="1">
        <v>45720</v>
      </c>
      <c r="B363">
        <v>5.51721736768057E-2</v>
      </c>
      <c r="C363">
        <v>-1.3870654871144701</v>
      </c>
      <c r="D363">
        <v>3.9028319567080998</v>
      </c>
      <c r="E363" t="s">
        <v>19</v>
      </c>
      <c r="F363">
        <v>-1.33189331343767</v>
      </c>
      <c r="G363">
        <v>7.2329166666666698</v>
      </c>
      <c r="H363">
        <v>7.29294117647059</v>
      </c>
      <c r="I363">
        <v>0.11271375482144901</v>
      </c>
      <c r="J363">
        <v>70.031406252382197</v>
      </c>
      <c r="K363">
        <v>52.658725242188503</v>
      </c>
      <c r="L363">
        <v>0.20978222867302901</v>
      </c>
      <c r="M363">
        <v>6050.7135002058203</v>
      </c>
      <c r="N363">
        <f t="shared" si="35"/>
        <v>4549.7138609250869</v>
      </c>
      <c r="O363">
        <v>18125.184557349701</v>
      </c>
      <c r="P363">
        <f t="shared" si="36"/>
        <v>3250.8776526587517</v>
      </c>
      <c r="Q363">
        <f t="shared" si="37"/>
        <v>2.9617420722050811</v>
      </c>
      <c r="R363">
        <f t="shared" si="38"/>
        <v>9628.2611154707211</v>
      </c>
      <c r="T363">
        <f t="shared" si="39"/>
        <v>-6.5629166666666698</v>
      </c>
      <c r="U363">
        <f t="shared" si="40"/>
        <v>3.0723228086757242E-2</v>
      </c>
      <c r="V363">
        <f t="shared" si="41"/>
        <v>-0.20163398566438065</v>
      </c>
      <c r="W363">
        <f>F363-V363</f>
        <v>-1.1302593277732893</v>
      </c>
      <c r="Y363">
        <f>(1-H363)*U363</f>
        <v>-0.19333946710125238</v>
      </c>
      <c r="Z363">
        <f>C363-Y363</f>
        <v>-1.1937260200132176</v>
      </c>
    </row>
    <row r="364" spans="1:26" x14ac:dyDescent="0.75">
      <c r="A364" s="1">
        <v>45721</v>
      </c>
      <c r="B364">
        <v>0.16514071622892801</v>
      </c>
      <c r="C364">
        <v>-2.6294483706627698</v>
      </c>
      <c r="D364">
        <v>6.3480895898579401</v>
      </c>
      <c r="E364" t="s">
        <v>19</v>
      </c>
      <c r="F364">
        <v>-2.46430765443385</v>
      </c>
      <c r="G364">
        <v>6.51</v>
      </c>
      <c r="H364">
        <v>6.4747058823529402</v>
      </c>
      <c r="I364">
        <v>0.121567560407848</v>
      </c>
      <c r="J364">
        <v>75.599814448529699</v>
      </c>
      <c r="K364">
        <v>53.240495373992196</v>
      </c>
      <c r="L364">
        <v>0.217823477261258</v>
      </c>
      <c r="M364">
        <v>6531.82396835297</v>
      </c>
      <c r="N364">
        <f t="shared" si="35"/>
        <v>4599.9788003129261</v>
      </c>
      <c r="O364">
        <v>18819.948435372698</v>
      </c>
      <c r="P364">
        <f t="shared" si="36"/>
        <v>2075.2643324077126</v>
      </c>
      <c r="Q364">
        <f t="shared" si="37"/>
        <v>2.8549489138036801</v>
      </c>
      <c r="R364">
        <f t="shared" si="38"/>
        <v>5924.7736516629184</v>
      </c>
      <c r="T364">
        <f t="shared" si="39"/>
        <v>-5.84</v>
      </c>
      <c r="U364">
        <f t="shared" si="40"/>
        <v>3.2224596230580702E-2</v>
      </c>
      <c r="V364">
        <f t="shared" si="41"/>
        <v>-0.1881916419865913</v>
      </c>
      <c r="W364">
        <f>F364-V364</f>
        <v>-2.2761160124472588</v>
      </c>
      <c r="Y364">
        <f>(1-H364)*U364</f>
        <v>-0.17642018654000854</v>
      </c>
      <c r="Z364">
        <f>C364-Y364</f>
        <v>-2.4530281841227612</v>
      </c>
    </row>
    <row r="365" spans="1:26" x14ac:dyDescent="0.75">
      <c r="A365" s="1">
        <v>45722</v>
      </c>
      <c r="B365">
        <v>0.21112126951014701</v>
      </c>
      <c r="C365">
        <v>-2.9977645719338302</v>
      </c>
      <c r="D365">
        <v>8.6225592703132605</v>
      </c>
      <c r="E365" t="s">
        <v>19</v>
      </c>
      <c r="F365">
        <v>-2.7866433024236801</v>
      </c>
      <c r="G365">
        <v>7.2916666666666696</v>
      </c>
      <c r="H365">
        <v>7.1376470588235303</v>
      </c>
      <c r="I365">
        <v>0.14739800979602</v>
      </c>
      <c r="J365">
        <v>91.8560798704859</v>
      </c>
      <c r="K365">
        <v>53.754390771061999</v>
      </c>
      <c r="L365">
        <v>0.24061601271320601</v>
      </c>
      <c r="M365">
        <v>7936.36530080998</v>
      </c>
      <c r="N365">
        <f t="shared" si="35"/>
        <v>4644.3793626197566</v>
      </c>
      <c r="O365">
        <v>20789.223498421001</v>
      </c>
      <c r="P365">
        <f t="shared" si="36"/>
        <v>1687.7189234288678</v>
      </c>
      <c r="Q365">
        <f t="shared" si="37"/>
        <v>2.5899522771799659</v>
      </c>
      <c r="R365">
        <f t="shared" si="38"/>
        <v>4371.1114689743163</v>
      </c>
      <c r="T365">
        <f t="shared" si="39"/>
        <v>-6.6216666666666697</v>
      </c>
      <c r="U365">
        <f t="shared" si="40"/>
        <v>3.5864594135894469E-2</v>
      </c>
      <c r="V365">
        <f t="shared" si="41"/>
        <v>-0.23748338750318132</v>
      </c>
      <c r="W365">
        <f>F365-V365</f>
        <v>-2.5491599149204989</v>
      </c>
      <c r="Y365">
        <f>(1-H365)*U365</f>
        <v>-0.22012422071407231</v>
      </c>
      <c r="Z365">
        <f>C365-Y365</f>
        <v>-2.7776403512197581</v>
      </c>
    </row>
    <row r="366" spans="1:26" x14ac:dyDescent="0.75">
      <c r="A366" s="1">
        <v>45723</v>
      </c>
      <c r="B366">
        <v>0.48983780104035901</v>
      </c>
      <c r="C366">
        <v>-7.8861803765263998</v>
      </c>
      <c r="D366">
        <v>26.0914706117767</v>
      </c>
      <c r="E366" t="s">
        <v>19</v>
      </c>
      <c r="F366">
        <v>-7.3963425754860399</v>
      </c>
      <c r="G366">
        <v>7.67458333333333</v>
      </c>
      <c r="H366">
        <v>7.5476470588235296</v>
      </c>
      <c r="I366">
        <v>0.13542951994994901</v>
      </c>
      <c r="J366">
        <v>84.318662009263903</v>
      </c>
      <c r="K366">
        <v>54.196021618453699</v>
      </c>
      <c r="L366">
        <v>0.23036964457803599</v>
      </c>
      <c r="M366">
        <v>7285.1323976004096</v>
      </c>
      <c r="N366">
        <f t="shared" si="35"/>
        <v>4682.5362678344</v>
      </c>
      <c r="O366">
        <v>19903.937291542301</v>
      </c>
      <c r="P366">
        <f t="shared" si="36"/>
        <v>533.99658115824616</v>
      </c>
      <c r="Q366">
        <f t="shared" si="37"/>
        <v>2.702620801485303</v>
      </c>
      <c r="R366">
        <f t="shared" si="38"/>
        <v>1443.190268160311</v>
      </c>
      <c r="T366">
        <f t="shared" si="39"/>
        <v>-7.0045833333333301</v>
      </c>
      <c r="U366">
        <f t="shared" si="40"/>
        <v>3.4651818451637589E-2</v>
      </c>
      <c r="V366">
        <f t="shared" si="41"/>
        <v>-0.24272154999603301</v>
      </c>
      <c r="W366">
        <f>F366-V366</f>
        <v>-7.1536210254900068</v>
      </c>
      <c r="Y366">
        <f>(1-H366)*U366</f>
        <v>-0.22688787716775177</v>
      </c>
      <c r="Z366">
        <f>C366-Y366</f>
        <v>-7.6592924993586484</v>
      </c>
    </row>
    <row r="367" spans="1:26" x14ac:dyDescent="0.75">
      <c r="A367" s="1">
        <v>45724</v>
      </c>
      <c r="B367">
        <v>0.14522241904726399</v>
      </c>
      <c r="C367">
        <v>-1.14178651871093</v>
      </c>
      <c r="D367">
        <v>2.65148645458626</v>
      </c>
      <c r="E367" t="s">
        <v>19</v>
      </c>
      <c r="F367">
        <v>-0.99656409966366599</v>
      </c>
      <c r="G367">
        <v>7.4937500000000004</v>
      </c>
      <c r="H367">
        <v>7.4135294117647099</v>
      </c>
      <c r="I367">
        <v>0.135499974636313</v>
      </c>
      <c r="J367">
        <v>84.365169639338106</v>
      </c>
      <c r="K367">
        <v>54.562254406011</v>
      </c>
      <c r="L367">
        <v>0.23030137686968499</v>
      </c>
      <c r="M367">
        <v>7289.1506568388104</v>
      </c>
      <c r="N367">
        <f t="shared" si="35"/>
        <v>4714.1787806793509</v>
      </c>
      <c r="O367">
        <v>19898.038961540798</v>
      </c>
      <c r="P367">
        <f t="shared" si="36"/>
        <v>5253.1391397403886</v>
      </c>
      <c r="Q367">
        <f t="shared" si="37"/>
        <v>2.7035066101594336</v>
      </c>
      <c r="R367">
        <f t="shared" si="38"/>
        <v>14201.89638837538</v>
      </c>
      <c r="T367">
        <f t="shared" si="39"/>
        <v>-6.8237500000000004</v>
      </c>
      <c r="U367">
        <f t="shared" si="40"/>
        <v>3.487454969012517E-2</v>
      </c>
      <c r="V367">
        <f t="shared" si="41"/>
        <v>-0.23797520844799164</v>
      </c>
      <c r="W367">
        <f>F367-V367</f>
        <v>-0.75858889121567441</v>
      </c>
      <c r="Y367">
        <f>(1-H367)*U367</f>
        <v>-0.22366895015966762</v>
      </c>
      <c r="Z367">
        <f>C367-Y367</f>
        <v>-0.91811756855126236</v>
      </c>
    </row>
    <row r="368" spans="1:26" x14ac:dyDescent="0.75">
      <c r="A368" s="1">
        <v>45726</v>
      </c>
      <c r="B368">
        <v>2.4406562796432201E-2</v>
      </c>
      <c r="C368">
        <v>-2.9316062157154801</v>
      </c>
      <c r="D368">
        <v>0.87353279849703103</v>
      </c>
      <c r="E368" t="s">
        <v>19</v>
      </c>
      <c r="F368">
        <v>-2.9071996529190498</v>
      </c>
      <c r="G368">
        <v>5.6987500000000004</v>
      </c>
      <c r="H368">
        <v>5.7794117647058796</v>
      </c>
      <c r="I368">
        <v>0.54236991716407701</v>
      </c>
      <c r="J368">
        <v>343.02021870185598</v>
      </c>
      <c r="K368">
        <v>55.062269533903397</v>
      </c>
      <c r="L368">
        <v>0.46594702707138402</v>
      </c>
      <c r="M368">
        <v>29636.946895840301</v>
      </c>
      <c r="N368">
        <f t="shared" si="35"/>
        <v>4757.3800877292542</v>
      </c>
      <c r="O368">
        <v>40257.8231389676</v>
      </c>
      <c r="P368">
        <f t="shared" si="36"/>
        <v>32260.352726038025</v>
      </c>
      <c r="Q368">
        <f t="shared" si="37"/>
        <v>1.357336666947091</v>
      </c>
      <c r="R368">
        <f t="shared" si="38"/>
        <v>43788.159643697953</v>
      </c>
      <c r="T368">
        <f t="shared" si="39"/>
        <v>-5.0287500000000005</v>
      </c>
      <c r="U368">
        <f t="shared" si="40"/>
        <v>7.0098748579886364E-2</v>
      </c>
      <c r="V368">
        <f t="shared" si="41"/>
        <v>-0.35250908192110358</v>
      </c>
      <c r="W368">
        <f>F368-V368</f>
        <v>-2.5546905709979462</v>
      </c>
      <c r="Y368">
        <f>(1-H368)*U368</f>
        <v>-0.33503078365386846</v>
      </c>
      <c r="Z368">
        <f>C368-Y368</f>
        <v>-2.5965754320616115</v>
      </c>
    </row>
    <row r="369" spans="1:26" x14ac:dyDescent="0.75">
      <c r="A369" s="1">
        <v>45727</v>
      </c>
      <c r="B369">
        <v>6.8230736090942004E-2</v>
      </c>
      <c r="C369">
        <v>-4.3145975640328498</v>
      </c>
      <c r="D369">
        <v>2.9075453633712698</v>
      </c>
      <c r="E369" t="s">
        <v>19</v>
      </c>
      <c r="F369">
        <v>-4.2463668279419098</v>
      </c>
      <c r="G369">
        <v>5.6058333333333303</v>
      </c>
      <c r="H369">
        <v>5.47529411764706</v>
      </c>
      <c r="I369">
        <v>0.41996077083063299</v>
      </c>
      <c r="J369">
        <v>264.80754192726602</v>
      </c>
      <c r="K369">
        <v>55.202312282447501</v>
      </c>
      <c r="L369">
        <v>0.41028003426037701</v>
      </c>
      <c r="M369">
        <v>22879.371622515799</v>
      </c>
      <c r="N369">
        <f t="shared" si="35"/>
        <v>4769.479781203464</v>
      </c>
      <c r="O369">
        <v>35448.194960096604</v>
      </c>
      <c r="P369">
        <f t="shared" si="36"/>
        <v>8534.2560032481633</v>
      </c>
      <c r="Q369">
        <f t="shared" si="37"/>
        <v>1.5368845427547542</v>
      </c>
      <c r="R369">
        <f t="shared" si="38"/>
        <v>13116.166135304069</v>
      </c>
      <c r="T369">
        <f t="shared" si="39"/>
        <v>-4.9358333333333304</v>
      </c>
      <c r="U369">
        <f t="shared" si="40"/>
        <v>6.2066858615866062E-2</v>
      </c>
      <c r="V369">
        <f t="shared" si="41"/>
        <v>-0.3063516696514787</v>
      </c>
      <c r="W369">
        <f>F369-V369</f>
        <v>-3.9400151582904313</v>
      </c>
      <c r="Y369">
        <f>(1-H369)*U369</f>
        <v>-0.27776744726441716</v>
      </c>
      <c r="Z369">
        <f>C369-Y369</f>
        <v>-4.0368301167684324</v>
      </c>
    </row>
    <row r="370" spans="1:26" x14ac:dyDescent="0.75">
      <c r="A370" s="1">
        <v>45728</v>
      </c>
      <c r="B370">
        <v>0.24127455232563999</v>
      </c>
      <c r="C370">
        <v>-9.6308514097420908</v>
      </c>
      <c r="D370">
        <v>8.5237182550223594</v>
      </c>
      <c r="E370" t="s">
        <v>19</v>
      </c>
      <c r="F370">
        <v>-9.3895768574164507</v>
      </c>
      <c r="G370">
        <v>6.1345833333333299</v>
      </c>
      <c r="H370">
        <v>6.0017647058823496</v>
      </c>
      <c r="I370">
        <v>0.32893331604845</v>
      </c>
      <c r="J370">
        <v>206.83497944666999</v>
      </c>
      <c r="K370">
        <v>54.8262444967053</v>
      </c>
      <c r="L370">
        <v>0.36250718810452598</v>
      </c>
      <c r="M370">
        <v>17870.542224192301</v>
      </c>
      <c r="N370">
        <f t="shared" si="35"/>
        <v>4736.987524515338</v>
      </c>
      <c r="O370">
        <v>31320.621052231101</v>
      </c>
      <c r="P370">
        <f t="shared" si="36"/>
        <v>2572.1679296055354</v>
      </c>
      <c r="Q370">
        <f t="shared" si="37"/>
        <v>1.7346006374903677</v>
      </c>
      <c r="R370">
        <f t="shared" si="38"/>
        <v>4461.6841304260406</v>
      </c>
      <c r="T370">
        <f t="shared" si="39"/>
        <v>-5.46458333333333</v>
      </c>
      <c r="U370">
        <f t="shared" si="40"/>
        <v>5.4617615399575138E-2</v>
      </c>
      <c r="V370">
        <f t="shared" si="41"/>
        <v>-0.29846251081892811</v>
      </c>
      <c r="W370">
        <f>F370-V370</f>
        <v>-9.0911143465975233</v>
      </c>
      <c r="Y370">
        <f>(1-H370)*U370</f>
        <v>-0.27318446102505123</v>
      </c>
      <c r="Z370">
        <f>C370-Y370</f>
        <v>-9.3576669487170392</v>
      </c>
    </row>
    <row r="371" spans="1:26" x14ac:dyDescent="0.75">
      <c r="A371" s="1">
        <v>45729</v>
      </c>
      <c r="B371">
        <v>0.61303064755788905</v>
      </c>
      <c r="C371">
        <v>-15.131348732136701</v>
      </c>
      <c r="D371">
        <v>15.5058840805878</v>
      </c>
      <c r="E371" t="s">
        <v>19</v>
      </c>
      <c r="F371">
        <v>-14.5183180845788</v>
      </c>
      <c r="G371">
        <v>6.27708333333333</v>
      </c>
      <c r="H371">
        <v>6.1505882352941201</v>
      </c>
      <c r="I371">
        <v>0.28390983584997498</v>
      </c>
      <c r="J371">
        <v>178.22956115488199</v>
      </c>
      <c r="K371">
        <v>54.058994519459397</v>
      </c>
      <c r="L371">
        <v>0.336290573167419</v>
      </c>
      <c r="M371">
        <v>15399.0340837818</v>
      </c>
      <c r="N371">
        <f t="shared" si="35"/>
        <v>4670.6971264812919</v>
      </c>
      <c r="O371">
        <v>29055.505521665</v>
      </c>
      <c r="P371">
        <f t="shared" si="36"/>
        <v>1311.686180514416</v>
      </c>
      <c r="Q371">
        <f t="shared" si="37"/>
        <v>1.8667433192059897</v>
      </c>
      <c r="R371">
        <f t="shared" si="38"/>
        <v>2448.5814143701077</v>
      </c>
      <c r="T371">
        <f t="shared" si="39"/>
        <v>-5.6070833333333301</v>
      </c>
      <c r="U371">
        <f t="shared" si="40"/>
        <v>5.0041128616096518E-2</v>
      </c>
      <c r="V371">
        <f t="shared" si="41"/>
        <v>-0.28058477824450434</v>
      </c>
      <c r="W371">
        <f>F371-V371</f>
        <v>-14.237733306334295</v>
      </c>
      <c r="Y371">
        <f>(1-H371)*U371</f>
        <v>-0.25774124833090667</v>
      </c>
      <c r="Z371">
        <f>C371-Y371</f>
        <v>-14.873607483805793</v>
      </c>
    </row>
    <row r="372" spans="1:26" x14ac:dyDescent="0.75">
      <c r="A372" s="1">
        <v>45730</v>
      </c>
      <c r="B372">
        <v>0.709686918261213</v>
      </c>
      <c r="C372">
        <v>-16.1636345945074</v>
      </c>
      <c r="D372">
        <v>18.176540543608201</v>
      </c>
      <c r="E372" t="s">
        <v>19</v>
      </c>
      <c r="F372">
        <v>-15.4539476762462</v>
      </c>
      <c r="G372">
        <v>6.2029166666666704</v>
      </c>
      <c r="H372">
        <v>6.0662500000000001</v>
      </c>
      <c r="I372">
        <v>0.253960722921446</v>
      </c>
      <c r="J372">
        <v>159.22973002403401</v>
      </c>
      <c r="K372">
        <v>53.298703258231697</v>
      </c>
      <c r="L372">
        <v>0.31768635695477998</v>
      </c>
      <c r="M372">
        <v>13757.448674076601</v>
      </c>
      <c r="N372">
        <f t="shared" si="35"/>
        <v>4605.007961511219</v>
      </c>
      <c r="O372">
        <v>27448.101240893</v>
      </c>
      <c r="P372">
        <f t="shared" si="36"/>
        <v>1057.0587303193736</v>
      </c>
      <c r="Q372">
        <f t="shared" si="37"/>
        <v>1.9735995599457856</v>
      </c>
      <c r="R372">
        <f t="shared" si="38"/>
        <v>2086.2106449951666</v>
      </c>
      <c r="T372">
        <f t="shared" si="39"/>
        <v>-5.5329166666666705</v>
      </c>
      <c r="U372">
        <f t="shared" si="40"/>
        <v>4.6666082167526608E-2</v>
      </c>
      <c r="V372">
        <f t="shared" si="41"/>
        <v>-0.25819954379274429</v>
      </c>
      <c r="W372">
        <f>F372-V372</f>
        <v>-15.195748132453456</v>
      </c>
      <c r="Y372">
        <f>(1-H372)*U372</f>
        <v>-0.23642203878123169</v>
      </c>
      <c r="Z372">
        <f>C372-Y372</f>
        <v>-15.927212555726168</v>
      </c>
    </row>
    <row r="373" spans="1:26" x14ac:dyDescent="0.75">
      <c r="A373" s="1">
        <v>45731</v>
      </c>
      <c r="B373">
        <v>0.45399852661606199</v>
      </c>
      <c r="C373">
        <v>-9.8956394060472395</v>
      </c>
      <c r="D373">
        <v>11.354136647812</v>
      </c>
      <c r="E373" t="s">
        <v>19</v>
      </c>
      <c r="F373">
        <v>-9.4416408794311693</v>
      </c>
      <c r="G373">
        <v>5.9395833333333297</v>
      </c>
      <c r="H373">
        <v>5.82</v>
      </c>
      <c r="I373">
        <v>0.22788661774293201</v>
      </c>
      <c r="J373">
        <v>142.70848666785599</v>
      </c>
      <c r="K373">
        <v>52.542928386183199</v>
      </c>
      <c r="L373">
        <v>0.30059698280382402</v>
      </c>
      <c r="M373">
        <v>12330.013248102799</v>
      </c>
      <c r="N373">
        <f t="shared" si="35"/>
        <v>4539.7090125662289</v>
      </c>
      <c r="O373">
        <v>25971.579314250401</v>
      </c>
      <c r="P373">
        <f t="shared" si="36"/>
        <v>1601.1878387493848</v>
      </c>
      <c r="Q373">
        <f t="shared" si="37"/>
        <v>2.0832738425680355</v>
      </c>
      <c r="R373">
        <f t="shared" si="38"/>
        <v>3335.7127415046389</v>
      </c>
      <c r="T373">
        <f t="shared" si="39"/>
        <v>-5.2695833333333297</v>
      </c>
      <c r="U373">
        <f t="shared" si="40"/>
        <v>4.3582451042251509E-2</v>
      </c>
      <c r="V373">
        <f t="shared" si="41"/>
        <v>-0.22966135763806436</v>
      </c>
      <c r="W373">
        <f>F373-V373</f>
        <v>-9.2119795217931042</v>
      </c>
      <c r="Y373">
        <f>(1-H373)*U373</f>
        <v>-0.21006741402365228</v>
      </c>
      <c r="Z373">
        <f>C373-Y373</f>
        <v>-9.6855719920235863</v>
      </c>
    </row>
    <row r="374" spans="1:26" x14ac:dyDescent="0.75">
      <c r="A374" s="1">
        <v>45732</v>
      </c>
      <c r="B374">
        <v>0.17037610502119899</v>
      </c>
      <c r="C374">
        <v>-2.64021933547629</v>
      </c>
      <c r="D374">
        <v>2.6753929339081202</v>
      </c>
      <c r="E374" t="s">
        <v>19</v>
      </c>
      <c r="F374">
        <v>-2.4698432304550901</v>
      </c>
      <c r="G374">
        <v>5.51</v>
      </c>
      <c r="H374">
        <v>5.4737499999999999</v>
      </c>
      <c r="I374">
        <v>0.22517998354178501</v>
      </c>
      <c r="J374">
        <v>141.00106990371401</v>
      </c>
      <c r="K374">
        <v>51.792206740536699</v>
      </c>
      <c r="L374">
        <v>0.29847154849199797</v>
      </c>
      <c r="M374">
        <v>12182.4924396809</v>
      </c>
      <c r="N374">
        <f t="shared" si="35"/>
        <v>4474.8466623823715</v>
      </c>
      <c r="O374">
        <v>25787.941789708599</v>
      </c>
      <c r="P374">
        <f t="shared" si="36"/>
        <v>6747.255337341021</v>
      </c>
      <c r="Q374">
        <f t="shared" si="37"/>
        <v>2.0979236859791373</v>
      </c>
      <c r="R374">
        <f t="shared" si="38"/>
        <v>14155.226787556881</v>
      </c>
      <c r="T374">
        <f t="shared" si="39"/>
        <v>-4.84</v>
      </c>
      <c r="U374">
        <f t="shared" si="40"/>
        <v>4.265976586554323E-2</v>
      </c>
      <c r="V374">
        <f t="shared" si="41"/>
        <v>-0.20647326678922923</v>
      </c>
      <c r="W374">
        <f>F374-V374</f>
        <v>-2.2633699636658609</v>
      </c>
      <c r="Y374">
        <f>(1-H374)*U374</f>
        <v>-0.19084912754097402</v>
      </c>
      <c r="Z374">
        <f>C374-Y374</f>
        <v>-2.4493702079353161</v>
      </c>
    </row>
    <row r="375" spans="1:26" x14ac:dyDescent="0.75">
      <c r="A375" s="1">
        <v>45733</v>
      </c>
      <c r="B375">
        <v>0.146879357987659</v>
      </c>
      <c r="C375">
        <v>-3.7071052243636902</v>
      </c>
      <c r="D375">
        <v>4.3918035205391801</v>
      </c>
      <c r="E375" t="s">
        <v>19</v>
      </c>
      <c r="F375">
        <v>-3.56022586637603</v>
      </c>
      <c r="G375">
        <v>6.0204166666666703</v>
      </c>
      <c r="H375">
        <v>5.8849999999999998</v>
      </c>
      <c r="I375">
        <v>0.25698146759929902</v>
      </c>
      <c r="J375">
        <v>161.144597761103</v>
      </c>
      <c r="K375">
        <v>51.0456317027149</v>
      </c>
      <c r="L375">
        <v>0.31962784372962999</v>
      </c>
      <c r="M375">
        <v>13922.893246559301</v>
      </c>
      <c r="N375">
        <f t="shared" si="35"/>
        <v>4410.3425791145673</v>
      </c>
      <c r="O375">
        <v>27615.845698239998</v>
      </c>
      <c r="P375">
        <f t="shared" si="36"/>
        <v>4401.6295124228891</v>
      </c>
      <c r="Q375">
        <f t="shared" si="37"/>
        <v>1.9618660000793307</v>
      </c>
      <c r="R375">
        <f t="shared" si="38"/>
        <v>8635.4072853682283</v>
      </c>
      <c r="T375">
        <f t="shared" si="39"/>
        <v>-5.3504166666666704</v>
      </c>
      <c r="U375">
        <f t="shared" si="40"/>
        <v>4.4960691290192395E-2</v>
      </c>
      <c r="V375">
        <f t="shared" si="41"/>
        <v>-0.2405584320239004</v>
      </c>
      <c r="W375">
        <f>F375-V375</f>
        <v>-3.3196674343521297</v>
      </c>
      <c r="Y375">
        <f>(1-H375)*U375</f>
        <v>-0.21963297695258985</v>
      </c>
      <c r="Z375">
        <f>C375-Y375</f>
        <v>-3.4874722474111004</v>
      </c>
    </row>
    <row r="376" spans="1:26" x14ac:dyDescent="0.75">
      <c r="A376" s="1">
        <v>45734</v>
      </c>
      <c r="B376">
        <v>0.45982602605384798</v>
      </c>
      <c r="C376">
        <v>-9.0332159176300397</v>
      </c>
      <c r="D376">
        <v>13.894688240936899</v>
      </c>
      <c r="E376" t="s">
        <v>19</v>
      </c>
      <c r="F376">
        <v>-8.5733898915762001</v>
      </c>
      <c r="G376">
        <v>6.6958333333333302</v>
      </c>
      <c r="H376">
        <v>6.5287499999999996</v>
      </c>
      <c r="I376">
        <v>0.22035090191392501</v>
      </c>
      <c r="J376">
        <v>137.938693742487</v>
      </c>
      <c r="K376">
        <v>50.303644566746001</v>
      </c>
      <c r="L376">
        <v>0.29542515972435901</v>
      </c>
      <c r="M376">
        <v>11917.903139350899</v>
      </c>
      <c r="N376">
        <f t="shared" si="35"/>
        <v>4346.234890566855</v>
      </c>
      <c r="O376">
        <v>25524.7338001846</v>
      </c>
      <c r="P376">
        <f t="shared" si="36"/>
        <v>1285.9096476513998</v>
      </c>
      <c r="Q376">
        <f t="shared" si="37"/>
        <v>2.1189650692969799</v>
      </c>
      <c r="R376">
        <f t="shared" si="38"/>
        <v>2724.7976256453035</v>
      </c>
      <c r="T376">
        <f t="shared" si="39"/>
        <v>-6.0258333333333303</v>
      </c>
      <c r="U376">
        <f t="shared" si="40"/>
        <v>4.1022241975973942E-2</v>
      </c>
      <c r="V376">
        <f t="shared" si="41"/>
        <v>-0.24719319310688953</v>
      </c>
      <c r="W376">
        <f>F376-V376</f>
        <v>-8.3261966984693103</v>
      </c>
      <c r="Y376">
        <f>(1-H376)*U376</f>
        <v>-0.22680172032466592</v>
      </c>
      <c r="Z376">
        <f>C376-Y376</f>
        <v>-8.806414197305374</v>
      </c>
    </row>
    <row r="377" spans="1:26" x14ac:dyDescent="0.75">
      <c r="A377" s="1">
        <v>45736</v>
      </c>
      <c r="B377">
        <v>0.103611858625826</v>
      </c>
      <c r="C377">
        <v>-5.8052932024231598</v>
      </c>
      <c r="D377">
        <v>11.4294924144503</v>
      </c>
      <c r="E377" t="s">
        <v>19</v>
      </c>
      <c r="F377">
        <v>-5.7016813437973299</v>
      </c>
      <c r="G377">
        <v>6.6808333333333296</v>
      </c>
      <c r="H377">
        <v>6.5993750000000002</v>
      </c>
      <c r="I377">
        <v>0.17511605765635699</v>
      </c>
      <c r="J377">
        <v>109.340161673137</v>
      </c>
      <c r="K377">
        <v>48.821901895337398</v>
      </c>
      <c r="L377">
        <v>0.262739795667077</v>
      </c>
      <c r="M377">
        <v>9446.9899685590299</v>
      </c>
      <c r="N377">
        <f t="shared" si="35"/>
        <v>4218.2123237571514</v>
      </c>
      <c r="O377">
        <v>22700.718345635501</v>
      </c>
      <c r="P377">
        <f t="shared" si="36"/>
        <v>1390.3069590259754</v>
      </c>
      <c r="Q377">
        <f t="shared" si="37"/>
        <v>2.3764456285414823</v>
      </c>
      <c r="R377">
        <f t="shared" si="38"/>
        <v>3303.9888951080811</v>
      </c>
      <c r="T377">
        <f t="shared" si="39"/>
        <v>-6.0108333333333297</v>
      </c>
      <c r="U377">
        <f t="shared" si="40"/>
        <v>3.550017953784227E-2</v>
      </c>
      <c r="V377">
        <f t="shared" si="41"/>
        <v>-0.21338566250538013</v>
      </c>
      <c r="W377">
        <f>F377-V377</f>
        <v>-5.4882956812919499</v>
      </c>
      <c r="Y377">
        <f>(1-H377)*U377</f>
        <v>-0.19877881779970558</v>
      </c>
      <c r="Z377">
        <f>C377-Y377</f>
        <v>-5.6065143846234546</v>
      </c>
    </row>
    <row r="378" spans="1:26" x14ac:dyDescent="0.75">
      <c r="A378" s="1">
        <v>45737</v>
      </c>
      <c r="B378">
        <v>0.15668310741895</v>
      </c>
      <c r="C378">
        <v>-3.0668369187118598</v>
      </c>
      <c r="D378">
        <v>8.0002629169640098</v>
      </c>
      <c r="E378" t="s">
        <v>19</v>
      </c>
      <c r="F378">
        <v>-2.91015381129291</v>
      </c>
      <c r="G378">
        <v>7.2104166666666698</v>
      </c>
      <c r="H378">
        <v>7.0593750000000002</v>
      </c>
      <c r="I378">
        <v>0.160614134713118</v>
      </c>
      <c r="J378">
        <v>100.1887968221</v>
      </c>
      <c r="K378">
        <v>48.072321183496904</v>
      </c>
      <c r="L378">
        <v>0.25137494557590501</v>
      </c>
      <c r="M378">
        <v>8656.3120454294003</v>
      </c>
      <c r="N378">
        <f t="shared" si="35"/>
        <v>4153.4485502541329</v>
      </c>
      <c r="O378">
        <v>21718.795297758199</v>
      </c>
      <c r="P378">
        <f t="shared" si="36"/>
        <v>1900.3321348594038</v>
      </c>
      <c r="Q378">
        <f t="shared" si="37"/>
        <v>2.4814950271646312</v>
      </c>
      <c r="R378">
        <f t="shared" si="38"/>
        <v>4715.6647426147583</v>
      </c>
      <c r="T378">
        <f t="shared" si="39"/>
        <v>-6.5404166666666699</v>
      </c>
      <c r="U378">
        <f t="shared" si="40"/>
        <v>3.3475372747370641E-2</v>
      </c>
      <c r="V378">
        <f t="shared" si="41"/>
        <v>-0.21894288583978216</v>
      </c>
      <c r="W378">
        <f>F378-V378</f>
        <v>-2.6912109254531278</v>
      </c>
      <c r="Y378">
        <f>(1-H378)*U378</f>
        <v>-0.20283983674109898</v>
      </c>
      <c r="Z378">
        <f>C378-Y378</f>
        <v>-2.8639970819707607</v>
      </c>
    </row>
    <row r="379" spans="1:26" x14ac:dyDescent="0.75">
      <c r="A379" s="1">
        <v>45738</v>
      </c>
      <c r="B379">
        <v>0.58640953863081302</v>
      </c>
      <c r="C379">
        <v>-8.8203896616988509</v>
      </c>
      <c r="D379">
        <v>26.147463134221599</v>
      </c>
      <c r="E379" t="s">
        <v>19</v>
      </c>
      <c r="F379">
        <v>-8.2339801230680401</v>
      </c>
      <c r="G379">
        <v>7.5625</v>
      </c>
      <c r="H379">
        <v>7.4362500000000002</v>
      </c>
      <c r="I379">
        <v>0.14582745741249101</v>
      </c>
      <c r="J379">
        <v>90.866827904171998</v>
      </c>
      <c r="K379">
        <v>47.3105945198024</v>
      </c>
      <c r="L379">
        <v>0.23928149323669401</v>
      </c>
      <c r="M379">
        <v>7850.8939309204598</v>
      </c>
      <c r="N379">
        <f t="shared" si="35"/>
        <v>4087.6353665109277</v>
      </c>
      <c r="O379">
        <v>20673.921015650401</v>
      </c>
      <c r="P379">
        <f t="shared" si="36"/>
        <v>553.46649258737341</v>
      </c>
      <c r="Q379">
        <f t="shared" si="37"/>
        <v>2.6040957782787051</v>
      </c>
      <c r="R379">
        <f t="shared" si="38"/>
        <v>1441.2797567655014</v>
      </c>
      <c r="T379">
        <f t="shared" si="39"/>
        <v>-6.8925000000000001</v>
      </c>
      <c r="U379">
        <f t="shared" si="40"/>
        <v>3.1393894192423562E-2</v>
      </c>
      <c r="V379">
        <f t="shared" si="41"/>
        <v>-0.21638241572127939</v>
      </c>
      <c r="W379">
        <f>F379-V379</f>
        <v>-8.017597707346761</v>
      </c>
      <c r="Y379">
        <f>(1-H379)*U379</f>
        <v>-0.20205895149598616</v>
      </c>
      <c r="Z379">
        <f>C379-Y379</f>
        <v>-8.6183307102028639</v>
      </c>
    </row>
    <row r="380" spans="1:26" x14ac:dyDescent="0.75">
      <c r="A380" s="1">
        <v>45739</v>
      </c>
      <c r="B380">
        <v>0.23221012131011701</v>
      </c>
      <c r="C380">
        <v>-3.3662104259660199</v>
      </c>
      <c r="D380">
        <v>9.4598436419119203</v>
      </c>
      <c r="E380" t="s">
        <v>19</v>
      </c>
      <c r="F380">
        <v>-3.1340003046559</v>
      </c>
      <c r="G380">
        <v>7.3574999999999999</v>
      </c>
      <c r="H380">
        <v>7.2493749999999997</v>
      </c>
      <c r="I380">
        <v>0.13343036822437301</v>
      </c>
      <c r="J380">
        <v>83.059674706566199</v>
      </c>
      <c r="K380">
        <v>46.535722521050602</v>
      </c>
      <c r="L380">
        <v>0.22865701361587501</v>
      </c>
      <c r="M380">
        <v>7176.3558946473204</v>
      </c>
      <c r="N380">
        <f t="shared" si="35"/>
        <v>4020.686425818772</v>
      </c>
      <c r="O380">
        <v>19755.9659764116</v>
      </c>
      <c r="P380">
        <f t="shared" si="36"/>
        <v>1461.8821099978686</v>
      </c>
      <c r="Q380">
        <f t="shared" si="37"/>
        <v>2.7223942217507773</v>
      </c>
      <c r="R380">
        <f t="shared" si="38"/>
        <v>3979.8194091390319</v>
      </c>
      <c r="T380">
        <f t="shared" si="39"/>
        <v>-6.6875</v>
      </c>
      <c r="U380">
        <f t="shared" si="40"/>
        <v>2.9537870699953665E-2</v>
      </c>
      <c r="V380">
        <f t="shared" si="41"/>
        <v>-0.19753451030594013</v>
      </c>
      <c r="W380">
        <f>F380-V380</f>
        <v>-2.9364657943499597</v>
      </c>
      <c r="Y380">
        <f>(1-H380)*U380</f>
        <v>-0.18459323070552291</v>
      </c>
      <c r="Z380">
        <f>C380-Y380</f>
        <v>-3.1816171952604968</v>
      </c>
    </row>
    <row r="381" spans="1:26" x14ac:dyDescent="0.75">
      <c r="A381" s="1">
        <v>45740</v>
      </c>
      <c r="B381">
        <v>0.316798984608262</v>
      </c>
      <c r="C381">
        <v>-7.74617796446244</v>
      </c>
      <c r="D381">
        <v>20.870102535046701</v>
      </c>
      <c r="E381" t="s">
        <v>19</v>
      </c>
      <c r="F381">
        <v>-7.4293789798541701</v>
      </c>
      <c r="G381">
        <v>6.8787500000000001</v>
      </c>
      <c r="H381">
        <v>6.8262499999999999</v>
      </c>
      <c r="I381">
        <v>0.124699858339111</v>
      </c>
      <c r="J381">
        <v>77.5661610509746</v>
      </c>
      <c r="K381">
        <v>45.7519626771616</v>
      </c>
      <c r="L381">
        <v>0.22089680291432501</v>
      </c>
      <c r="M381">
        <v>6701.7163148042</v>
      </c>
      <c r="N381">
        <f t="shared" si="35"/>
        <v>3952.9695753067626</v>
      </c>
      <c r="O381">
        <v>19085.483771797699</v>
      </c>
      <c r="P381">
        <f t="shared" si="36"/>
        <v>640.142453436609</v>
      </c>
      <c r="Q381">
        <f t="shared" si="37"/>
        <v>2.815897921416012</v>
      </c>
      <c r="R381">
        <f t="shared" si="38"/>
        <v>1802.5758040422936</v>
      </c>
      <c r="T381">
        <f t="shared" si="39"/>
        <v>-6.2087500000000002</v>
      </c>
      <c r="U381">
        <f t="shared" si="40"/>
        <v>2.8076085750430607E-2</v>
      </c>
      <c r="V381">
        <f t="shared" si="41"/>
        <v>-0.17431739740298605</v>
      </c>
      <c r="W381">
        <f>F381-V381</f>
        <v>-7.2550615824511837</v>
      </c>
      <c r="Y381">
        <f>(1-H381)*U381</f>
        <v>-0.16357829460344633</v>
      </c>
      <c r="Z381">
        <f>C381-Y381</f>
        <v>-7.5825996698589933</v>
      </c>
    </row>
    <row r="382" spans="1:26" x14ac:dyDescent="0.75">
      <c r="A382" s="1">
        <v>45741</v>
      </c>
      <c r="B382">
        <v>0.68285114650508105</v>
      </c>
      <c r="C382">
        <v>-10.720667492068699</v>
      </c>
      <c r="D382">
        <v>27.350254423589099</v>
      </c>
      <c r="E382" t="s">
        <v>19</v>
      </c>
      <c r="F382">
        <v>-10.0378163455636</v>
      </c>
      <c r="G382">
        <v>6.5383333333333304</v>
      </c>
      <c r="H382">
        <v>6.4143749999999997</v>
      </c>
      <c r="I382">
        <v>0.11697626334646601</v>
      </c>
      <c r="J382">
        <v>72.709970307881804</v>
      </c>
      <c r="K382">
        <v>44.963490512780901</v>
      </c>
      <c r="L382">
        <v>0.21379641711058001</v>
      </c>
      <c r="M382">
        <v>6282.1414346009897</v>
      </c>
      <c r="N382">
        <f t="shared" si="35"/>
        <v>3884.8455803042702</v>
      </c>
      <c r="O382">
        <v>18472.0104383541</v>
      </c>
      <c r="P382">
        <f t="shared" si="36"/>
        <v>472.77100631632982</v>
      </c>
      <c r="Q382">
        <f t="shared" si="37"/>
        <v>2.9073398439601732</v>
      </c>
      <c r="R382">
        <f t="shared" si="38"/>
        <v>1374.5059837326123</v>
      </c>
      <c r="T382">
        <f t="shared" si="39"/>
        <v>-5.8683333333333305</v>
      </c>
      <c r="U382">
        <f t="shared" si="40"/>
        <v>2.6724399546030422E-2</v>
      </c>
      <c r="V382">
        <f t="shared" si="41"/>
        <v>-0.15682768466928845</v>
      </c>
      <c r="W382">
        <f>F382-V382</f>
        <v>-9.880988660894312</v>
      </c>
      <c r="Y382">
        <f>(1-H382)*U382</f>
        <v>-0.14469592079203847</v>
      </c>
      <c r="Z382">
        <f>C382-Y382</f>
        <v>-10.575971571276661</v>
      </c>
    </row>
    <row r="383" spans="1:26" x14ac:dyDescent="0.75">
      <c r="A383" s="1">
        <v>45743</v>
      </c>
      <c r="B383">
        <v>0.34788896056711699</v>
      </c>
      <c r="C383">
        <v>-4.9416419207621303</v>
      </c>
      <c r="D383">
        <v>17.0391006743831</v>
      </c>
      <c r="E383" t="s">
        <v>19</v>
      </c>
      <c r="F383">
        <v>-4.5937529601950198</v>
      </c>
      <c r="G383">
        <v>6.53541666666667</v>
      </c>
      <c r="H383">
        <v>6.3581250000000002</v>
      </c>
      <c r="I383">
        <v>9.2534358402050099E-2</v>
      </c>
      <c r="J383">
        <v>57.367704614461701</v>
      </c>
      <c r="K383">
        <v>43.382735225412397</v>
      </c>
      <c r="L383">
        <v>0.18961552957611499</v>
      </c>
      <c r="M383">
        <v>4956.5696786894896</v>
      </c>
      <c r="N383">
        <f t="shared" si="35"/>
        <v>3748.2683234756314</v>
      </c>
      <c r="O383">
        <v>16382.7817553763</v>
      </c>
      <c r="P383">
        <f t="shared" si="36"/>
        <v>673.03711903084968</v>
      </c>
      <c r="Q383">
        <f t="shared" si="37"/>
        <v>3.2695693380714679</v>
      </c>
      <c r="R383">
        <f t="shared" si="38"/>
        <v>2200.5415277672228</v>
      </c>
      <c r="T383">
        <f t="shared" si="39"/>
        <v>-5.8654166666666701</v>
      </c>
      <c r="U383">
        <f t="shared" si="40"/>
        <v>2.2928208188339082E-2</v>
      </c>
      <c r="V383">
        <f t="shared" si="41"/>
        <v>-0.13448349444468727</v>
      </c>
      <c r="W383">
        <f>F383-V383</f>
        <v>-4.4592694657503325</v>
      </c>
      <c r="Y383">
        <f>(1-H383)*U383</f>
        <v>-0.12285220549914436</v>
      </c>
      <c r="Z383">
        <f>C383-Y383</f>
        <v>-4.8187897152629855</v>
      </c>
    </row>
    <row r="384" spans="1:26" x14ac:dyDescent="0.75">
      <c r="A384" s="1">
        <v>45744</v>
      </c>
      <c r="B384">
        <v>0.64096003496572596</v>
      </c>
      <c r="C384">
        <v>-9.3229982469311992</v>
      </c>
      <c r="D384">
        <v>34.1062852581558</v>
      </c>
      <c r="E384" t="s">
        <v>19</v>
      </c>
      <c r="F384">
        <v>-8.6820382119654695</v>
      </c>
      <c r="G384">
        <v>6.49</v>
      </c>
      <c r="H384">
        <v>6.3468749999999998</v>
      </c>
      <c r="I384">
        <v>8.2653088639510597E-2</v>
      </c>
      <c r="J384">
        <v>51.177167297812403</v>
      </c>
      <c r="K384">
        <v>42.5945134849376</v>
      </c>
      <c r="L384">
        <v>0.17897968552833601</v>
      </c>
      <c r="M384">
        <v>4421.7072545309902</v>
      </c>
      <c r="N384">
        <f t="shared" si="35"/>
        <v>3680.1659650986089</v>
      </c>
      <c r="O384">
        <v>15463.8448296482</v>
      </c>
      <c r="P384">
        <f t="shared" si="36"/>
        <v>317.38113074525592</v>
      </c>
      <c r="Q384">
        <f t="shared" si="37"/>
        <v>3.4595006434003999</v>
      </c>
      <c r="R384">
        <f t="shared" si="38"/>
        <v>1097.9802260163592</v>
      </c>
      <c r="T384">
        <f t="shared" si="39"/>
        <v>-5.82</v>
      </c>
      <c r="U384">
        <f t="shared" si="40"/>
        <v>2.1275706204126117E-2</v>
      </c>
      <c r="V384">
        <f t="shared" si="41"/>
        <v>-0.123824610108014</v>
      </c>
      <c r="W384">
        <f>F384-V384</f>
        <v>-8.5582136018574548</v>
      </c>
      <c r="Y384">
        <f>(1-H384)*U384</f>
        <v>-0.11375854161018682</v>
      </c>
      <c r="Z384">
        <f>C384-Y384</f>
        <v>-9.2092397053210124</v>
      </c>
    </row>
    <row r="385" spans="1:26" x14ac:dyDescent="0.75">
      <c r="A385" s="1">
        <v>45745</v>
      </c>
      <c r="B385">
        <v>0.39159812867275701</v>
      </c>
      <c r="C385">
        <v>-6.0002518919881096</v>
      </c>
      <c r="D385">
        <v>21.994974321261299</v>
      </c>
      <c r="E385" t="s">
        <v>19</v>
      </c>
      <c r="F385">
        <v>-5.6086537633153499</v>
      </c>
      <c r="G385">
        <v>6.1729166666666702</v>
      </c>
      <c r="H385">
        <v>6.0140000000000002</v>
      </c>
      <c r="I385">
        <v>7.5543036540618405E-2</v>
      </c>
      <c r="J385">
        <v>46.727504392978197</v>
      </c>
      <c r="K385">
        <v>41.813327237277299</v>
      </c>
      <c r="L385">
        <v>0.17096325538103499</v>
      </c>
      <c r="M385">
        <v>4037.2563795533101</v>
      </c>
      <c r="N385">
        <f t="shared" si="35"/>
        <v>3612.6714733007589</v>
      </c>
      <c r="O385">
        <v>14771.225264921401</v>
      </c>
      <c r="P385">
        <f t="shared" si="36"/>
        <v>470.10092098402788</v>
      </c>
      <c r="Q385">
        <f t="shared" si="37"/>
        <v>3.6180567148359053</v>
      </c>
      <c r="R385">
        <f t="shared" si="38"/>
        <v>1700.8517938168054</v>
      </c>
      <c r="T385">
        <f t="shared" si="39"/>
        <v>-5.5029166666666702</v>
      </c>
      <c r="U385">
        <f t="shared" si="40"/>
        <v>1.9970231303931395E-2</v>
      </c>
      <c r="V385">
        <f t="shared" si="41"/>
        <v>-0.10989451867959255</v>
      </c>
      <c r="W385">
        <f>F385-V385</f>
        <v>-5.4987592446357576</v>
      </c>
      <c r="Y385">
        <f>(1-H385)*U385</f>
        <v>-0.10013073975791202</v>
      </c>
      <c r="Z385">
        <f>C385-Y385</f>
        <v>-5.9001211522301977</v>
      </c>
    </row>
    <row r="386" spans="1:26" x14ac:dyDescent="0.75">
      <c r="A386" s="1">
        <v>45747</v>
      </c>
      <c r="B386">
        <v>6.7112010191391999E-2</v>
      </c>
      <c r="C386">
        <v>-2.0432718119173501</v>
      </c>
      <c r="D386">
        <v>1.1397106755300599</v>
      </c>
      <c r="E386" t="s">
        <v>19</v>
      </c>
      <c r="F386">
        <v>-1.9761598017259601</v>
      </c>
      <c r="G386">
        <v>4.7766666666666699</v>
      </c>
      <c r="H386">
        <v>4.7560000000000002</v>
      </c>
      <c r="I386">
        <v>0.38174791031400201</v>
      </c>
      <c r="J386">
        <v>240.45277988414901</v>
      </c>
      <c r="K386">
        <v>40.315914016784497</v>
      </c>
      <c r="L386">
        <v>0.39086769691826501</v>
      </c>
      <c r="M386">
        <v>20775.120181990402</v>
      </c>
      <c r="N386">
        <f t="shared" si="35"/>
        <v>3483.2949710501807</v>
      </c>
      <c r="O386">
        <v>33770.969013738097</v>
      </c>
      <c r="P386">
        <f t="shared" si="36"/>
        <v>20741.824058656166</v>
      </c>
      <c r="Q386">
        <f t="shared" si="37"/>
        <v>1.6114741900165586</v>
      </c>
      <c r="R386">
        <f t="shared" si="38"/>
        <v>33424.91412438891</v>
      </c>
      <c r="T386">
        <f t="shared" si="39"/>
        <v>-4.10666666666667</v>
      </c>
      <c r="U386">
        <f t="shared" si="40"/>
        <v>4.32311605439289E-2</v>
      </c>
      <c r="V386">
        <f t="shared" si="41"/>
        <v>-0.17753596596706817</v>
      </c>
      <c r="W386">
        <f>F386-V386</f>
        <v>-1.798623835758892</v>
      </c>
      <c r="Y386">
        <f>(1-H386)*U386</f>
        <v>-0.16237623900299697</v>
      </c>
      <c r="Z386">
        <f>C386-Y386</f>
        <v>-1.8808955729143531</v>
      </c>
    </row>
    <row r="387" spans="1:26" x14ac:dyDescent="0.75">
      <c r="A387" s="1">
        <v>45748</v>
      </c>
      <c r="B387">
        <v>0.39935787037986598</v>
      </c>
      <c r="C387">
        <v>-2.8730114534821798</v>
      </c>
      <c r="D387">
        <v>1.68886201787729</v>
      </c>
      <c r="E387" t="s">
        <v>19</v>
      </c>
      <c r="F387">
        <v>-2.4736535831023199</v>
      </c>
      <c r="G387">
        <v>4.9349999999999996</v>
      </c>
      <c r="H387">
        <v>4.8559999999999999</v>
      </c>
      <c r="I387">
        <v>0.304265368985283</v>
      </c>
      <c r="J387">
        <v>191.16369855532199</v>
      </c>
      <c r="K387">
        <v>39.613164721575899</v>
      </c>
      <c r="L387">
        <v>0.34808985388791303</v>
      </c>
      <c r="M387">
        <v>16516.5435551798</v>
      </c>
      <c r="N387">
        <f t="shared" ref="N387:N413" si="42">K387*86.4</f>
        <v>3422.577431944158</v>
      </c>
      <c r="O387">
        <v>30074.9633759157</v>
      </c>
      <c r="P387">
        <f t="shared" ref="P387:P416" si="43">0.7*O387/D387</f>
        <v>12465.479204512862</v>
      </c>
      <c r="Q387">
        <f t="shared" ref="Q387:Q416" si="44">M387/(O387*I387)</f>
        <v>1.804934870420668</v>
      </c>
      <c r="R387">
        <f t="shared" ref="R387:R416" si="45">Q387*P387</f>
        <v>22499.378092728955</v>
      </c>
      <c r="T387">
        <f t="shared" ref="T387:T416" si="46">0.67-G387</f>
        <v>-4.2649999999999997</v>
      </c>
      <c r="U387">
        <f t="shared" ref="U387:U416" si="47">(2*(10^-5)*N387)/Q387</f>
        <v>3.7924664075512864E-2</v>
      </c>
      <c r="V387">
        <f t="shared" ref="V387:V416" si="48">T387*U387</f>
        <v>-0.16174869228206235</v>
      </c>
      <c r="W387">
        <f>F387-V387</f>
        <v>-2.3119048908202577</v>
      </c>
      <c r="Y387">
        <f>(1-H387)*U387</f>
        <v>-0.1462375046751776</v>
      </c>
      <c r="Z387">
        <f>C387-Y387</f>
        <v>-2.7267739488070024</v>
      </c>
    </row>
    <row r="388" spans="1:26" x14ac:dyDescent="0.75">
      <c r="A388" s="1">
        <v>45749</v>
      </c>
      <c r="B388">
        <v>6.1668709327200498E-2</v>
      </c>
      <c r="C388">
        <v>-4.21516575274795</v>
      </c>
      <c r="D388">
        <v>2.6061357692404998</v>
      </c>
      <c r="E388" t="s">
        <v>19</v>
      </c>
      <c r="F388">
        <v>-4.1534970434207503</v>
      </c>
      <c r="G388">
        <v>4.6966666666666699</v>
      </c>
      <c r="H388">
        <v>4.6406666666666698</v>
      </c>
      <c r="I388">
        <v>0.33963700878450698</v>
      </c>
      <c r="J388">
        <v>213.64140281244201</v>
      </c>
      <c r="K388">
        <v>38.950598742434401</v>
      </c>
      <c r="L388">
        <v>0.36850589383485499</v>
      </c>
      <c r="M388">
        <v>18458.617202994999</v>
      </c>
      <c r="N388">
        <f t="shared" si="42"/>
        <v>3365.3317313463326</v>
      </c>
      <c r="O388">
        <v>31838.909227331402</v>
      </c>
      <c r="P388">
        <f t="shared" si="43"/>
        <v>8551.8324571505709</v>
      </c>
      <c r="Q388">
        <f t="shared" si="44"/>
        <v>1.7069703414119115</v>
      </c>
      <c r="R388">
        <f t="shared" si="45"/>
        <v>14597.724369079777</v>
      </c>
      <c r="T388">
        <f t="shared" si="46"/>
        <v>-4.0266666666666699</v>
      </c>
      <c r="U388">
        <f t="shared" si="47"/>
        <v>3.943046518971989E-2</v>
      </c>
      <c r="V388">
        <f t="shared" si="48"/>
        <v>-0.15877333983060554</v>
      </c>
      <c r="W388">
        <f>F388-V388</f>
        <v>-3.9947237035901448</v>
      </c>
      <c r="Y388">
        <f>(1-H388)*U388</f>
        <v>-0.14355318026737368</v>
      </c>
      <c r="Z388">
        <f>C388-Y388</f>
        <v>-4.0716125724805767</v>
      </c>
    </row>
    <row r="389" spans="1:26" x14ac:dyDescent="0.75">
      <c r="A389" s="1">
        <v>45750</v>
      </c>
      <c r="B389">
        <v>8.6620370587729298E-2</v>
      </c>
      <c r="C389">
        <v>-4.64025926003655</v>
      </c>
      <c r="D389">
        <v>3.7280299155198202</v>
      </c>
      <c r="E389" t="s">
        <v>19</v>
      </c>
      <c r="F389">
        <v>-4.5536388894488198</v>
      </c>
      <c r="G389">
        <v>4.7104166666666698</v>
      </c>
      <c r="H389">
        <v>4.63</v>
      </c>
      <c r="I389">
        <v>0.27191492549651802</v>
      </c>
      <c r="J389">
        <v>170.61990270356401</v>
      </c>
      <c r="K389">
        <v>38.3375697943316</v>
      </c>
      <c r="L389">
        <v>0.32884154637327601</v>
      </c>
      <c r="M389">
        <v>14741.559593587899</v>
      </c>
      <c r="N389">
        <f t="shared" si="42"/>
        <v>3312.3660302302505</v>
      </c>
      <c r="O389">
        <v>28411.909606651101</v>
      </c>
      <c r="P389">
        <f t="shared" si="43"/>
        <v>5334.8114621775039</v>
      </c>
      <c r="Q389">
        <f t="shared" si="44"/>
        <v>1.9081387947604995</v>
      </c>
      <c r="R389">
        <f t="shared" si="45"/>
        <v>10179.560713713881</v>
      </c>
      <c r="T389">
        <f t="shared" si="46"/>
        <v>-4.0404166666666699</v>
      </c>
      <c r="U389">
        <f t="shared" si="47"/>
        <v>3.4718292393882209E-2</v>
      </c>
      <c r="V389">
        <f t="shared" si="48"/>
        <v>-0.14027636722644835</v>
      </c>
      <c r="W389">
        <f>F389-V389</f>
        <v>-4.4133625222223714</v>
      </c>
      <c r="Y389">
        <f>(1-H389)*U389</f>
        <v>-0.1260274013897924</v>
      </c>
      <c r="Z389">
        <f>C389-Y389</f>
        <v>-4.5142318586467578</v>
      </c>
    </row>
    <row r="390" spans="1:26" x14ac:dyDescent="0.75">
      <c r="A390" s="1">
        <v>45751</v>
      </c>
      <c r="B390">
        <v>8.93365094430663E-2</v>
      </c>
      <c r="C390">
        <v>-5.2051167952150399</v>
      </c>
      <c r="D390">
        <v>5.1897449586942797</v>
      </c>
      <c r="E390" t="s">
        <v>19</v>
      </c>
      <c r="F390">
        <v>-5.1157802857719696</v>
      </c>
      <c r="G390">
        <v>4.8162500000000001</v>
      </c>
      <c r="H390">
        <v>4.7326666666666704</v>
      </c>
      <c r="I390">
        <v>0.22571720052531</v>
      </c>
      <c r="J390">
        <v>141.336645365366</v>
      </c>
      <c r="K390">
        <v>37.176676211342098</v>
      </c>
      <c r="L390">
        <v>0.29904678637521798</v>
      </c>
      <c r="M390">
        <v>12211.486159567599</v>
      </c>
      <c r="N390">
        <f t="shared" si="42"/>
        <v>3212.0648246599576</v>
      </c>
      <c r="O390">
        <v>25837.642342818799</v>
      </c>
      <c r="P390">
        <f t="shared" si="43"/>
        <v>3485.0170449461966</v>
      </c>
      <c r="Q390">
        <f t="shared" si="44"/>
        <v>2.0938761207169398</v>
      </c>
      <c r="R390">
        <f t="shared" si="45"/>
        <v>7297.1939707043557</v>
      </c>
      <c r="T390">
        <f t="shared" si="46"/>
        <v>-4.1462500000000002</v>
      </c>
      <c r="U390">
        <f t="shared" si="47"/>
        <v>3.0680562167738477E-2</v>
      </c>
      <c r="V390">
        <f t="shared" si="48"/>
        <v>-0.12720928088798567</v>
      </c>
      <c r="W390">
        <f>F390-V390</f>
        <v>-4.9885710048839842</v>
      </c>
      <c r="Y390">
        <f>(1-H390)*U390</f>
        <v>-0.11452031171811193</v>
      </c>
      <c r="Z390">
        <f>C390-Y390</f>
        <v>-5.0905964834969284</v>
      </c>
    </row>
    <row r="391" spans="1:26" x14ac:dyDescent="0.75">
      <c r="A391" s="1">
        <v>45753</v>
      </c>
      <c r="B391">
        <v>6.0720070414933901E-2</v>
      </c>
      <c r="C391">
        <v>-5.0505148580249504</v>
      </c>
      <c r="D391">
        <v>7.1379470738450204</v>
      </c>
      <c r="E391" t="s">
        <v>19</v>
      </c>
      <c r="F391">
        <v>-4.9897947876100099</v>
      </c>
      <c r="G391">
        <v>4.8754166666666698</v>
      </c>
      <c r="H391">
        <v>4.8026666666666697</v>
      </c>
      <c r="I391">
        <v>0.162020292828465</v>
      </c>
      <c r="J391">
        <v>101.07640272726699</v>
      </c>
      <c r="K391">
        <v>34.037277770839403</v>
      </c>
      <c r="L391">
        <v>0.25246247404764</v>
      </c>
      <c r="M391">
        <v>8733.0011956358794</v>
      </c>
      <c r="N391">
        <f t="shared" si="42"/>
        <v>2940.8207994005247</v>
      </c>
      <c r="O391">
        <v>21812.757757716099</v>
      </c>
      <c r="P391">
        <f t="shared" si="43"/>
        <v>2139.1207125014876</v>
      </c>
      <c r="Q391">
        <f t="shared" si="44"/>
        <v>2.4710613648128246</v>
      </c>
      <c r="R391">
        <f t="shared" si="45"/>
        <v>5285.8985473333078</v>
      </c>
      <c r="T391">
        <f t="shared" si="46"/>
        <v>-4.2054166666666699</v>
      </c>
      <c r="U391">
        <f t="shared" si="47"/>
        <v>2.3802086352665574E-2</v>
      </c>
      <c r="V391">
        <f t="shared" si="48"/>
        <v>-0.10009769064893909</v>
      </c>
      <c r="W391">
        <f>F391-V391</f>
        <v>-4.8896970969610711</v>
      </c>
      <c r="Y391">
        <f>(1-H391)*U391</f>
        <v>-9.0511400370403033E-2</v>
      </c>
      <c r="Z391">
        <f>C391-Y391</f>
        <v>-4.9600034576545475</v>
      </c>
    </row>
    <row r="392" spans="1:26" x14ac:dyDescent="0.75">
      <c r="A392" s="1">
        <v>45754</v>
      </c>
      <c r="B392">
        <v>6.8878969134342896E-2</v>
      </c>
      <c r="C392">
        <v>-6.4502257543000798</v>
      </c>
      <c r="D392">
        <v>10.493292692842299</v>
      </c>
      <c r="E392" t="s">
        <v>19</v>
      </c>
      <c r="F392">
        <v>-6.3813467851657304</v>
      </c>
      <c r="G392">
        <v>4.8804166666666697</v>
      </c>
      <c r="H392">
        <v>4.8293333333333299</v>
      </c>
      <c r="I392">
        <v>0.140552162770992</v>
      </c>
      <c r="J392">
        <v>87.544400659863598</v>
      </c>
      <c r="K392">
        <v>32.487748616699598</v>
      </c>
      <c r="L392">
        <v>0.23477696525920499</v>
      </c>
      <c r="M392">
        <v>7563.83621701222</v>
      </c>
      <c r="N392">
        <f t="shared" si="42"/>
        <v>2806.9414804828452</v>
      </c>
      <c r="O392">
        <v>20284.729798395299</v>
      </c>
      <c r="P392">
        <f t="shared" si="43"/>
        <v>1353.1797191326193</v>
      </c>
      <c r="Q392">
        <f t="shared" si="44"/>
        <v>2.652988432890599</v>
      </c>
      <c r="R392">
        <f t="shared" si="45"/>
        <v>3589.9701424809887</v>
      </c>
      <c r="T392">
        <f t="shared" si="46"/>
        <v>-4.2104166666666698</v>
      </c>
      <c r="U392">
        <f t="shared" si="47"/>
        <v>2.1160600971218746E-2</v>
      </c>
      <c r="V392">
        <f t="shared" si="48"/>
        <v>-8.9094947005902328E-2</v>
      </c>
      <c r="W392">
        <f>F392-V392</f>
        <v>-6.292251838159828</v>
      </c>
      <c r="Y392">
        <f>(1-H392)*U392</f>
        <v>-8.1030994652453572E-2</v>
      </c>
      <c r="Z392">
        <f>C392-Y392</f>
        <v>-6.3691947596476259</v>
      </c>
    </row>
    <row r="393" spans="1:26" x14ac:dyDescent="0.75">
      <c r="A393" s="1">
        <v>45755</v>
      </c>
      <c r="B393">
        <v>4.4862975490733301E-2</v>
      </c>
      <c r="C393">
        <v>-2.5367115746462399</v>
      </c>
      <c r="D393">
        <v>5.0854580362197703</v>
      </c>
      <c r="E393" t="s">
        <v>19</v>
      </c>
      <c r="F393">
        <v>-2.4918485991554999</v>
      </c>
      <c r="G393">
        <v>5.2837500000000004</v>
      </c>
      <c r="H393">
        <v>5.19</v>
      </c>
      <c r="I393">
        <v>0.13239703282436799</v>
      </c>
      <c r="J393">
        <v>82.409309173550298</v>
      </c>
      <c r="K393">
        <v>30.949454372872701</v>
      </c>
      <c r="L393">
        <v>0.22774819132326099</v>
      </c>
      <c r="M393">
        <v>7120.1643125947403</v>
      </c>
      <c r="N393">
        <f t="shared" si="42"/>
        <v>2674.0328578162016</v>
      </c>
      <c r="O393">
        <v>19677.443730329702</v>
      </c>
      <c r="P393">
        <f t="shared" si="43"/>
        <v>2708.5486721407942</v>
      </c>
      <c r="Q393">
        <f t="shared" si="44"/>
        <v>2.7330217296496326</v>
      </c>
      <c r="R393">
        <f t="shared" si="45"/>
        <v>7402.5223767744492</v>
      </c>
      <c r="T393">
        <f t="shared" si="46"/>
        <v>-4.6137500000000005</v>
      </c>
      <c r="U393">
        <f t="shared" si="47"/>
        <v>1.9568324896992364E-2</v>
      </c>
      <c r="V393">
        <f t="shared" si="48"/>
        <v>-9.0283358993498528E-2</v>
      </c>
      <c r="W393">
        <f>F393-V393</f>
        <v>-2.4015652401620016</v>
      </c>
      <c r="Y393">
        <f>(1-H393)*U393</f>
        <v>-8.1991281318398015E-2</v>
      </c>
      <c r="Z393">
        <f>C393-Y393</f>
        <v>-2.454720293327842</v>
      </c>
    </row>
    <row r="394" spans="1:26" x14ac:dyDescent="0.75">
      <c r="A394" s="1">
        <v>45756</v>
      </c>
      <c r="B394">
        <v>4.8262115550419801E-2</v>
      </c>
      <c r="C394">
        <v>-2.8981459237093201</v>
      </c>
      <c r="D394">
        <v>7.5857191399450201</v>
      </c>
      <c r="E394" t="s">
        <v>19</v>
      </c>
      <c r="F394">
        <v>-2.8498838081589</v>
      </c>
      <c r="G394">
        <v>5.8991666666666696</v>
      </c>
      <c r="H394">
        <v>5.80066666666667</v>
      </c>
      <c r="I394">
        <v>0.11680599785442</v>
      </c>
      <c r="J394">
        <v>72.604120269163403</v>
      </c>
      <c r="K394">
        <v>29.4167410897231</v>
      </c>
      <c r="L394">
        <v>0.213561696550363</v>
      </c>
      <c r="M394">
        <v>6272.9959912557197</v>
      </c>
      <c r="N394">
        <f t="shared" si="42"/>
        <v>2541.606430152076</v>
      </c>
      <c r="O394">
        <v>18451.7305819514</v>
      </c>
      <c r="P394">
        <f t="shared" si="43"/>
        <v>1702.7009791796211</v>
      </c>
      <c r="Q394">
        <f t="shared" si="44"/>
        <v>2.9105345658358908</v>
      </c>
      <c r="R394">
        <f t="shared" si="45"/>
        <v>4955.7700551849048</v>
      </c>
      <c r="T394">
        <f t="shared" si="46"/>
        <v>-5.2291666666666696</v>
      </c>
      <c r="U394">
        <f t="shared" si="47"/>
        <v>1.7464877139654514E-2</v>
      </c>
      <c r="V394">
        <f t="shared" si="48"/>
        <v>-9.1326753376110112E-2</v>
      </c>
      <c r="W394">
        <f>F394-V394</f>
        <v>-2.75855705478279</v>
      </c>
      <c r="Y394">
        <f>(1-H394)*U394</f>
        <v>-8.3843053521768157E-2</v>
      </c>
      <c r="Z394">
        <f>C394-Y394</f>
        <v>-2.8143028701875519</v>
      </c>
    </row>
    <row r="395" spans="1:26" x14ac:dyDescent="0.75">
      <c r="A395" s="1">
        <v>45757</v>
      </c>
      <c r="B395">
        <v>0.30836933523555998</v>
      </c>
      <c r="C395">
        <v>-13.8513776578307</v>
      </c>
      <c r="D395">
        <v>40.5335166926914</v>
      </c>
      <c r="E395" t="s">
        <v>19</v>
      </c>
      <c r="F395">
        <v>-13.543008322595099</v>
      </c>
      <c r="G395">
        <v>5.99125</v>
      </c>
      <c r="H395">
        <v>5.9193333333333298</v>
      </c>
      <c r="I395">
        <v>9.9195261875372406E-2</v>
      </c>
      <c r="J395">
        <v>61.544819154892302</v>
      </c>
      <c r="K395">
        <v>27.883726201355302</v>
      </c>
      <c r="L395">
        <v>0.19648123717257701</v>
      </c>
      <c r="M395">
        <v>5317.4723749826999</v>
      </c>
      <c r="N395">
        <f t="shared" si="42"/>
        <v>2409.1539437970982</v>
      </c>
      <c r="O395">
        <v>16975.9788917107</v>
      </c>
      <c r="P395">
        <f t="shared" si="43"/>
        <v>293.16936189600705</v>
      </c>
      <c r="Q395">
        <f t="shared" si="44"/>
        <v>3.1577626784764221</v>
      </c>
      <c r="R395">
        <f t="shared" si="45"/>
        <v>925.75926946795869</v>
      </c>
      <c r="T395">
        <f t="shared" si="46"/>
        <v>-5.32125</v>
      </c>
      <c r="U395">
        <f t="shared" si="47"/>
        <v>1.5258613069424727E-2</v>
      </c>
      <c r="V395">
        <f t="shared" si="48"/>
        <v>-8.1194894795676334E-2</v>
      </c>
      <c r="W395">
        <f>F395-V395</f>
        <v>-13.461813427799424</v>
      </c>
      <c r="Y395">
        <f>(1-H395)*U395</f>
        <v>-7.5062203892856658E-2</v>
      </c>
      <c r="Z395">
        <f>C395-Y395</f>
        <v>-13.776315453937842</v>
      </c>
    </row>
    <row r="396" spans="1:26" x14ac:dyDescent="0.75">
      <c r="A396" s="1">
        <v>45758</v>
      </c>
      <c r="B396">
        <v>0.197458964118505</v>
      </c>
      <c r="C396">
        <v>-6.81899459921007</v>
      </c>
      <c r="D396">
        <v>22.128042375962501</v>
      </c>
      <c r="E396" t="s">
        <v>19</v>
      </c>
      <c r="F396">
        <v>-6.6215356350915702</v>
      </c>
      <c r="G396">
        <v>5.96875</v>
      </c>
      <c r="H396">
        <v>5.9053333333333304</v>
      </c>
      <c r="I396">
        <v>8.9108499277604503E-2</v>
      </c>
      <c r="J396">
        <v>55.220589228681803</v>
      </c>
      <c r="K396">
        <v>26.345266237738901</v>
      </c>
      <c r="L396">
        <v>0.18599055002706999</v>
      </c>
      <c r="M396">
        <v>4771.0589093581102</v>
      </c>
      <c r="N396">
        <f t="shared" si="42"/>
        <v>2276.2310029406412</v>
      </c>
      <c r="O396">
        <v>16069.5835223388</v>
      </c>
      <c r="P396">
        <f t="shared" si="43"/>
        <v>508.3462998903388</v>
      </c>
      <c r="Q396">
        <f t="shared" si="44"/>
        <v>3.3318928623428663</v>
      </c>
      <c r="R396">
        <f t="shared" si="45"/>
        <v>1693.755408203026</v>
      </c>
      <c r="T396">
        <f t="shared" si="46"/>
        <v>-5.2987500000000001</v>
      </c>
      <c r="U396">
        <f t="shared" si="47"/>
        <v>1.3663290489719279E-2</v>
      </c>
      <c r="V396">
        <f t="shared" si="48"/>
        <v>-7.2398360482400032E-2</v>
      </c>
      <c r="W396">
        <f>F396-V396</f>
        <v>-6.5491372746091701</v>
      </c>
      <c r="Y396">
        <f>(1-H396)*U396</f>
        <v>-6.7022994282236265E-2</v>
      </c>
      <c r="Z396">
        <f>C396-Y396</f>
        <v>-6.7519716049278333</v>
      </c>
    </row>
    <row r="397" spans="1:26" x14ac:dyDescent="0.75">
      <c r="A397" s="1">
        <v>45759</v>
      </c>
      <c r="B397">
        <v>6.3556237263413695E-2</v>
      </c>
      <c r="C397">
        <v>-5.03010073431627</v>
      </c>
      <c r="D397">
        <v>18.406738055100099</v>
      </c>
      <c r="E397" t="s">
        <v>19</v>
      </c>
      <c r="F397">
        <v>-4.9665444970528503</v>
      </c>
      <c r="G397">
        <v>6.3370833333333296</v>
      </c>
      <c r="H397">
        <v>6.2320000000000002</v>
      </c>
      <c r="I397">
        <v>9.1095908555453395E-2</v>
      </c>
      <c r="J397">
        <v>56.465531447408097</v>
      </c>
      <c r="K397">
        <v>24.799564430796099</v>
      </c>
      <c r="L397">
        <v>0.188140773453363</v>
      </c>
      <c r="M397">
        <v>4878.6219170560598</v>
      </c>
      <c r="N397">
        <f t="shared" si="42"/>
        <v>2142.682366820783</v>
      </c>
      <c r="O397">
        <v>16255.3628263706</v>
      </c>
      <c r="P397">
        <f t="shared" si="43"/>
        <v>618.18416410324357</v>
      </c>
      <c r="Q397">
        <f t="shared" si="44"/>
        <v>3.294591876490931</v>
      </c>
      <c r="R397">
        <f t="shared" si="45"/>
        <v>2036.6645252298829</v>
      </c>
      <c r="T397">
        <f t="shared" si="46"/>
        <v>-5.6670833333333297</v>
      </c>
      <c r="U397">
        <f t="shared" si="47"/>
        <v>1.300727038216918E-2</v>
      </c>
      <c r="V397">
        <f t="shared" si="48"/>
        <v>-7.3713285194951211E-2</v>
      </c>
      <c r="W397">
        <f>F397-V397</f>
        <v>-4.8928312118578994</v>
      </c>
      <c r="Y397">
        <f>(1-H397)*U397</f>
        <v>-6.8054038639509151E-2</v>
      </c>
      <c r="Z397">
        <f>C397-Y397</f>
        <v>-4.9620466956767606</v>
      </c>
    </row>
    <row r="398" spans="1:26" x14ac:dyDescent="0.75">
      <c r="A398" s="1">
        <v>45760</v>
      </c>
      <c r="B398">
        <v>0.12679754842636801</v>
      </c>
      <c r="C398">
        <v>-6.4164657401970704</v>
      </c>
      <c r="D398">
        <v>28.847884650425399</v>
      </c>
      <c r="E398" t="s">
        <v>19</v>
      </c>
      <c r="F398">
        <v>-6.2896681917706996</v>
      </c>
      <c r="G398">
        <v>6.5724999999999998</v>
      </c>
      <c r="H398">
        <v>6.47</v>
      </c>
      <c r="I398">
        <v>7.81850872792655E-2</v>
      </c>
      <c r="J398">
        <v>48.381447897308199</v>
      </c>
      <c r="K398">
        <v>23.250998129909402</v>
      </c>
      <c r="L398">
        <v>0.173903682353682</v>
      </c>
      <c r="M398">
        <v>4180.1570983274296</v>
      </c>
      <c r="N398">
        <f t="shared" si="42"/>
        <v>2008.8862384241725</v>
      </c>
      <c r="O398">
        <v>15025.278155358101</v>
      </c>
      <c r="P398">
        <f t="shared" si="43"/>
        <v>364.59154063469862</v>
      </c>
      <c r="Q398">
        <f t="shared" si="44"/>
        <v>3.5583294725439991</v>
      </c>
      <c r="R398">
        <f t="shared" si="45"/>
        <v>1297.3368244806711</v>
      </c>
      <c r="T398">
        <f t="shared" si="46"/>
        <v>-5.9024999999999999</v>
      </c>
      <c r="U398">
        <f t="shared" si="47"/>
        <v>1.1291176120281722E-2</v>
      </c>
      <c r="V398">
        <f t="shared" si="48"/>
        <v>-6.6646167049962859E-2</v>
      </c>
      <c r="W398">
        <f>F398-V398</f>
        <v>-6.2230220247207368</v>
      </c>
      <c r="Y398">
        <f>(1-H398)*U398</f>
        <v>-6.1762733377941019E-2</v>
      </c>
      <c r="Z398">
        <f>C398-Y398</f>
        <v>-6.354703006819129</v>
      </c>
    </row>
    <row r="399" spans="1:26" x14ac:dyDescent="0.75">
      <c r="A399" s="1">
        <v>45761</v>
      </c>
      <c r="B399">
        <v>0.21166259299280099</v>
      </c>
      <c r="C399">
        <v>-4.25494225903965</v>
      </c>
      <c r="D399">
        <v>20.349184354856501</v>
      </c>
      <c r="E399" t="s">
        <v>19</v>
      </c>
      <c r="F399">
        <v>-4.0432796660468497</v>
      </c>
      <c r="G399">
        <v>6.5016666666666696</v>
      </c>
      <c r="H399">
        <v>6.3866666666666703</v>
      </c>
      <c r="I399">
        <v>6.6254760388308395E-2</v>
      </c>
      <c r="J399">
        <v>40.9231470670722</v>
      </c>
      <c r="K399">
        <v>21.705709850448901</v>
      </c>
      <c r="L399">
        <v>0.15979534392445199</v>
      </c>
      <c r="M399">
        <v>3535.7599065950399</v>
      </c>
      <c r="N399">
        <f t="shared" si="42"/>
        <v>1875.3733310787852</v>
      </c>
      <c r="O399">
        <v>13806.317715072601</v>
      </c>
      <c r="P399">
        <f t="shared" si="43"/>
        <v>474.92922723678242</v>
      </c>
      <c r="Q399">
        <f t="shared" si="44"/>
        <v>3.8653410226382596</v>
      </c>
      <c r="R399">
        <f t="shared" si="45"/>
        <v>1835.763424888223</v>
      </c>
      <c r="T399">
        <f t="shared" si="46"/>
        <v>-5.8316666666666697</v>
      </c>
      <c r="U399">
        <f t="shared" si="47"/>
        <v>9.7035336343946361E-3</v>
      </c>
      <c r="V399">
        <f t="shared" si="48"/>
        <v>-5.6587773644578079E-2</v>
      </c>
      <c r="W399">
        <f>F399-V399</f>
        <v>-3.9866918924022716</v>
      </c>
      <c r="Y399">
        <f>(1-H399)*U399</f>
        <v>-5.2269701177272476E-2</v>
      </c>
      <c r="Z399">
        <f>C399-Y399</f>
        <v>-4.2026725578623774</v>
      </c>
    </row>
    <row r="400" spans="1:26" x14ac:dyDescent="0.75">
      <c r="A400" s="1">
        <v>45762</v>
      </c>
      <c r="B400">
        <v>0.34809987026770001</v>
      </c>
      <c r="C400">
        <v>-7.9811193102545097</v>
      </c>
      <c r="D400">
        <v>38.263180165461897</v>
      </c>
      <c r="E400" t="s">
        <v>19</v>
      </c>
      <c r="F400">
        <v>-7.6330194399868097</v>
      </c>
      <c r="G400">
        <v>6.0833333333333304</v>
      </c>
      <c r="H400">
        <v>5.9726666666666697</v>
      </c>
      <c r="I400">
        <v>5.8481259992822797E-2</v>
      </c>
      <c r="J400">
        <v>36.071044931242298</v>
      </c>
      <c r="K400">
        <v>20.170277451159301</v>
      </c>
      <c r="L400">
        <v>0.14995876108987</v>
      </c>
      <c r="M400">
        <v>3116.53828205933</v>
      </c>
      <c r="N400">
        <f t="shared" si="42"/>
        <v>1742.7119717801636</v>
      </c>
      <c r="O400">
        <v>12956.436958164701</v>
      </c>
      <c r="P400">
        <f t="shared" si="43"/>
        <v>237.02958905914051</v>
      </c>
      <c r="Q400">
        <f t="shared" si="44"/>
        <v>4.1131084309014856</v>
      </c>
      <c r="R400">
        <f t="shared" si="45"/>
        <v>974.92840113226532</v>
      </c>
      <c r="T400">
        <f t="shared" si="46"/>
        <v>-5.4133333333333304</v>
      </c>
      <c r="U400">
        <f t="shared" si="47"/>
        <v>8.4739413076849388E-3</v>
      </c>
      <c r="V400">
        <f t="shared" si="48"/>
        <v>-4.5872268945601112E-2</v>
      </c>
      <c r="W400">
        <f>F400-V400</f>
        <v>-7.5871471710412086</v>
      </c>
      <c r="Y400">
        <f>(1-H400)*U400</f>
        <v>-4.2138085476014664E-2</v>
      </c>
      <c r="Z400">
        <f>C400-Y400</f>
        <v>-7.9389812247784954</v>
      </c>
    </row>
    <row r="401" spans="1:26" x14ac:dyDescent="0.75">
      <c r="A401" s="1">
        <v>45763</v>
      </c>
      <c r="B401">
        <v>5.7903914111306298E-2</v>
      </c>
      <c r="C401">
        <v>-2.9084183784278199</v>
      </c>
      <c r="D401">
        <v>16.1455814577482</v>
      </c>
      <c r="E401" t="s">
        <v>19</v>
      </c>
      <c r="F401">
        <v>-2.8505144643165101</v>
      </c>
      <c r="G401">
        <v>6.0404166666666699</v>
      </c>
      <c r="H401">
        <v>5.9219999999999997</v>
      </c>
      <c r="I401">
        <v>5.5607070095259101E-2</v>
      </c>
      <c r="J401">
        <v>34.279506030630998</v>
      </c>
      <c r="K401">
        <v>18.6510565829151</v>
      </c>
      <c r="L401">
        <v>0.14609549485671999</v>
      </c>
      <c r="M401">
        <v>2961.74932104652</v>
      </c>
      <c r="N401">
        <f t="shared" si="42"/>
        <v>1611.4512887638648</v>
      </c>
      <c r="O401">
        <v>12622.6507556206</v>
      </c>
      <c r="P401">
        <f t="shared" si="43"/>
        <v>547.26152489814024</v>
      </c>
      <c r="Q401">
        <f t="shared" si="44"/>
        <v>4.2195653594445082</v>
      </c>
      <c r="R401">
        <f t="shared" si="45"/>
        <v>2309.2057730169709</v>
      </c>
      <c r="T401">
        <f t="shared" si="46"/>
        <v>-5.3704166666666699</v>
      </c>
      <c r="U401">
        <f t="shared" si="47"/>
        <v>7.6379965778087013E-3</v>
      </c>
      <c r="V401">
        <f t="shared" si="48"/>
        <v>-4.1019224121406836E-2</v>
      </c>
      <c r="W401">
        <f>F401-V401</f>
        <v>-2.8094952401951034</v>
      </c>
      <c r="Y401">
        <f>(1-H401)*U401</f>
        <v>-3.7594219155974426E-2</v>
      </c>
      <c r="Z401">
        <f>C401-Y401</f>
        <v>-2.8708241592718453</v>
      </c>
    </row>
    <row r="402" spans="1:26" x14ac:dyDescent="0.75">
      <c r="A402" s="1">
        <v>45764</v>
      </c>
      <c r="B402">
        <v>4.2960734857894797E-2</v>
      </c>
      <c r="C402">
        <v>-2.5648031433668002</v>
      </c>
      <c r="D402">
        <v>16.659690397719501</v>
      </c>
      <c r="E402" t="s">
        <v>19</v>
      </c>
      <c r="F402">
        <v>-2.5218424085089102</v>
      </c>
      <c r="G402">
        <v>6.3412499999999996</v>
      </c>
      <c r="H402">
        <v>6.3019999999999996</v>
      </c>
      <c r="I402">
        <v>4.9407283511536698E-2</v>
      </c>
      <c r="J402">
        <v>30.417175951454901</v>
      </c>
      <c r="K402">
        <v>17.1513566309414</v>
      </c>
      <c r="L402">
        <v>0.13755394952408601</v>
      </c>
      <c r="M402">
        <v>2628.0440022057001</v>
      </c>
      <c r="N402">
        <f t="shared" si="42"/>
        <v>1481.8772129133372</v>
      </c>
      <c r="O402">
        <v>11884.661238881001</v>
      </c>
      <c r="P402">
        <f t="shared" si="43"/>
        <v>499.36479421943523</v>
      </c>
      <c r="Q402">
        <f t="shared" si="44"/>
        <v>4.4756369334091364</v>
      </c>
      <c r="R402">
        <f t="shared" si="45"/>
        <v>2234.9755162527576</v>
      </c>
      <c r="T402">
        <f t="shared" si="46"/>
        <v>-5.6712499999999997</v>
      </c>
      <c r="U402">
        <f t="shared" si="47"/>
        <v>6.6219724028623427E-3</v>
      </c>
      <c r="V402">
        <f t="shared" si="48"/>
        <v>-3.7554860989733062E-2</v>
      </c>
      <c r="W402">
        <f>F402-V402</f>
        <v>-2.4842875475191772</v>
      </c>
      <c r="Y402">
        <f>(1-H402)*U402</f>
        <v>-3.510969767997614E-2</v>
      </c>
      <c r="Z402">
        <f>C402-Y402</f>
        <v>-2.5296934456868239</v>
      </c>
    </row>
    <row r="403" spans="1:26" x14ac:dyDescent="0.75">
      <c r="A403" s="1">
        <v>45765</v>
      </c>
      <c r="B403">
        <v>3.4762490451754703E-2</v>
      </c>
      <c r="C403">
        <v>-2.73955280426184</v>
      </c>
      <c r="D403">
        <v>18.026891187761301</v>
      </c>
      <c r="E403" t="s">
        <v>19</v>
      </c>
      <c r="F403">
        <v>-2.7047903138100899</v>
      </c>
      <c r="G403">
        <v>6.1074999999999999</v>
      </c>
      <c r="H403">
        <v>6.19</v>
      </c>
      <c r="I403">
        <v>4.4140795705833603E-2</v>
      </c>
      <c r="J403">
        <v>27.1414479748702</v>
      </c>
      <c r="K403">
        <v>15.6739632113003</v>
      </c>
      <c r="L403">
        <v>0.12977845261645801</v>
      </c>
      <c r="M403">
        <v>2345.0211050287899</v>
      </c>
      <c r="N403">
        <f t="shared" si="42"/>
        <v>1354.230421456346</v>
      </c>
      <c r="O403">
        <v>11212.858306062</v>
      </c>
      <c r="P403">
        <f t="shared" si="43"/>
        <v>435.4051251816615</v>
      </c>
      <c r="Q403">
        <f t="shared" si="44"/>
        <v>4.7379477153321652</v>
      </c>
      <c r="R403">
        <f t="shared" si="45"/>
        <v>2062.9267180983684</v>
      </c>
      <c r="T403">
        <f t="shared" si="46"/>
        <v>-5.4375</v>
      </c>
      <c r="U403">
        <f t="shared" si="47"/>
        <v>5.7165275044045285E-3</v>
      </c>
      <c r="V403">
        <f t="shared" si="48"/>
        <v>-3.1083618305199623E-2</v>
      </c>
      <c r="W403">
        <f>F403-V403</f>
        <v>-2.6737066955048903</v>
      </c>
      <c r="Y403">
        <f>(1-H403)*U403</f>
        <v>-2.9668777747859504E-2</v>
      </c>
      <c r="Z403">
        <f>C403-Y403</f>
        <v>-2.7098840265139805</v>
      </c>
    </row>
    <row r="404" spans="1:26" x14ac:dyDescent="0.75">
      <c r="A404" s="1">
        <v>45766</v>
      </c>
      <c r="B404">
        <v>2.7390819516105801E-2</v>
      </c>
      <c r="C404">
        <v>-3.4223620094837601</v>
      </c>
      <c r="D404">
        <v>25.355836051484399</v>
      </c>
      <c r="E404" t="s">
        <v>19</v>
      </c>
      <c r="F404">
        <v>-3.39497118996765</v>
      </c>
      <c r="G404">
        <v>5.8574999999999999</v>
      </c>
      <c r="H404">
        <v>5.8866666666666703</v>
      </c>
      <c r="I404">
        <v>3.8692299960357501E-2</v>
      </c>
      <c r="J404">
        <v>23.7571829353361</v>
      </c>
      <c r="K404">
        <v>14.2222153460478</v>
      </c>
      <c r="L404">
        <v>0.12122599566966299</v>
      </c>
      <c r="M404">
        <v>2052.62060561304</v>
      </c>
      <c r="N404">
        <f t="shared" si="42"/>
        <v>1228.79940589853</v>
      </c>
      <c r="O404">
        <v>10473.9260258588</v>
      </c>
      <c r="P404">
        <f t="shared" si="43"/>
        <v>289.15426820138077</v>
      </c>
      <c r="Q404">
        <f t="shared" si="44"/>
        <v>5.0649438611323117</v>
      </c>
      <c r="R404">
        <f t="shared" si="45"/>
        <v>1464.5501356467896</v>
      </c>
      <c r="T404">
        <f t="shared" si="46"/>
        <v>-5.1875</v>
      </c>
      <c r="U404">
        <f t="shared" si="47"/>
        <v>4.8521738427474747E-3</v>
      </c>
      <c r="V404">
        <f t="shared" si="48"/>
        <v>-2.5170651809252525E-2</v>
      </c>
      <c r="W404">
        <f>F404-V404</f>
        <v>-3.3698005381583975</v>
      </c>
      <c r="Y404">
        <f>(1-H404)*U404</f>
        <v>-2.3710956178226009E-2</v>
      </c>
      <c r="Z404">
        <f>C404-Y404</f>
        <v>-3.3986510533055343</v>
      </c>
    </row>
    <row r="405" spans="1:26" x14ac:dyDescent="0.75">
      <c r="A405" s="1">
        <v>45767</v>
      </c>
      <c r="B405">
        <v>4.86304649057894E-2</v>
      </c>
      <c r="C405">
        <v>-5.6694637391535103</v>
      </c>
      <c r="D405">
        <v>50.321296903701302</v>
      </c>
      <c r="E405" t="s">
        <v>19</v>
      </c>
      <c r="F405">
        <v>-5.6208332742477198</v>
      </c>
      <c r="G405">
        <v>5.8754166666666698</v>
      </c>
      <c r="H405">
        <v>5.8706666666666703</v>
      </c>
      <c r="I405">
        <v>3.3008955260334899E-2</v>
      </c>
      <c r="J405">
        <v>20.231997861352902</v>
      </c>
      <c r="K405">
        <v>12.799334181711799</v>
      </c>
      <c r="L405">
        <v>0.11173494966434</v>
      </c>
      <c r="M405">
        <v>1748.0446152208899</v>
      </c>
      <c r="N405">
        <f t="shared" si="42"/>
        <v>1105.8624732998996</v>
      </c>
      <c r="O405">
        <v>9653.8996509989702</v>
      </c>
      <c r="P405">
        <f t="shared" si="43"/>
        <v>134.29164531731743</v>
      </c>
      <c r="Q405">
        <f t="shared" si="44"/>
        <v>5.4855219057638402</v>
      </c>
      <c r="R405">
        <f t="shared" si="45"/>
        <v>736.65976214921284</v>
      </c>
      <c r="T405">
        <f t="shared" si="46"/>
        <v>-5.2054166666666699</v>
      </c>
      <c r="U405">
        <f t="shared" si="47"/>
        <v>4.0319316641063063E-3</v>
      </c>
      <c r="V405">
        <f t="shared" si="48"/>
        <v>-2.0987884283200049E-2</v>
      </c>
      <c r="W405">
        <f>F405-V405</f>
        <v>-5.5998453899645195</v>
      </c>
      <c r="Y405">
        <f>(1-H405)*U405</f>
        <v>-1.9638195158640463E-2</v>
      </c>
      <c r="Z405">
        <f>C405-Y405</f>
        <v>-5.6498255439948695</v>
      </c>
    </row>
    <row r="406" spans="1:26" x14ac:dyDescent="0.75">
      <c r="A406" s="1">
        <v>45768</v>
      </c>
      <c r="B406">
        <v>3.5671693876639501E-2</v>
      </c>
      <c r="C406">
        <v>-1.6596290790059101</v>
      </c>
      <c r="D406">
        <v>15.201254592533701</v>
      </c>
      <c r="E406" t="s">
        <v>19</v>
      </c>
      <c r="F406">
        <v>-1.6239573851292699</v>
      </c>
      <c r="G406">
        <v>5.7487500000000002</v>
      </c>
      <c r="H406">
        <v>5.7273333333333296</v>
      </c>
      <c r="I406">
        <v>3.0833666818848599E-2</v>
      </c>
      <c r="J406">
        <v>18.883701260926401</v>
      </c>
      <c r="K406">
        <v>11.409028383227</v>
      </c>
      <c r="L406">
        <v>0.10798920978403501</v>
      </c>
      <c r="M406">
        <v>1631.55178894404</v>
      </c>
      <c r="N406">
        <f t="shared" si="42"/>
        <v>985.74005231081287</v>
      </c>
      <c r="O406">
        <v>9330.2677253405891</v>
      </c>
      <c r="P406">
        <f t="shared" si="43"/>
        <v>429.6479193859625</v>
      </c>
      <c r="Q406">
        <f t="shared" si="44"/>
        <v>5.6712864412353383</v>
      </c>
      <c r="R406">
        <f t="shared" si="45"/>
        <v>2436.6564197185826</v>
      </c>
      <c r="T406">
        <f t="shared" si="46"/>
        <v>-5.0787500000000003</v>
      </c>
      <c r="U406">
        <f t="shared" si="47"/>
        <v>3.4762485108972767E-3</v>
      </c>
      <c r="V406">
        <f t="shared" si="48"/>
        <v>-1.7654997124719546E-2</v>
      </c>
      <c r="W406">
        <f>F406-V406</f>
        <v>-1.6063023880045504</v>
      </c>
      <c r="Y406">
        <f>(1-H406)*U406</f>
        <v>-1.6433385460515048E-2</v>
      </c>
      <c r="Z406">
        <f>C406-Y406</f>
        <v>-1.6431956935453951</v>
      </c>
    </row>
    <row r="407" spans="1:26" x14ac:dyDescent="0.75">
      <c r="A407" s="1">
        <v>45769</v>
      </c>
      <c r="B407">
        <v>4.5394580621619697E-2</v>
      </c>
      <c r="C407">
        <v>-1.8247539126637</v>
      </c>
      <c r="D407">
        <v>19.145495443969999</v>
      </c>
      <c r="E407" t="s">
        <v>19</v>
      </c>
      <c r="F407">
        <v>-1.77935933204208</v>
      </c>
      <c r="G407">
        <v>5.9349999999999996</v>
      </c>
      <c r="H407">
        <v>5.92</v>
      </c>
      <c r="I407">
        <v>2.8370688408043701E-2</v>
      </c>
      <c r="J407">
        <v>17.359534611097502</v>
      </c>
      <c r="K407">
        <v>10.053370590317099</v>
      </c>
      <c r="L407">
        <v>0.103437928501558</v>
      </c>
      <c r="M407">
        <v>1499.8637903988199</v>
      </c>
      <c r="N407">
        <f t="shared" si="42"/>
        <v>868.61121900339742</v>
      </c>
      <c r="O407">
        <v>8937.0370225345905</v>
      </c>
      <c r="P407">
        <f t="shared" si="43"/>
        <v>326.75706586347746</v>
      </c>
      <c r="Q407">
        <f t="shared" si="44"/>
        <v>5.9154581951449909</v>
      </c>
      <c r="R407">
        <f t="shared" si="45"/>
        <v>1932.9177630836393</v>
      </c>
      <c r="T407">
        <f t="shared" si="46"/>
        <v>-5.2649999999999997</v>
      </c>
      <c r="U407">
        <f t="shared" si="47"/>
        <v>2.9367504269281965E-3</v>
      </c>
      <c r="V407">
        <f t="shared" si="48"/>
        <v>-1.5461990997776953E-2</v>
      </c>
      <c r="W407">
        <f>F407-V407</f>
        <v>-1.7638973410443031</v>
      </c>
      <c r="Y407">
        <f>(1-H407)*U407</f>
        <v>-1.4448812100486727E-2</v>
      </c>
      <c r="Z407">
        <f>C407-Y407</f>
        <v>-1.8103051005632134</v>
      </c>
    </row>
    <row r="408" spans="1:26" x14ac:dyDescent="0.75">
      <c r="A408" s="1">
        <v>45770</v>
      </c>
      <c r="B408">
        <v>4.9435714461992401E-2</v>
      </c>
      <c r="C408">
        <v>-1.50061881190938</v>
      </c>
      <c r="D408">
        <v>16.204920696196101</v>
      </c>
      <c r="E408" t="s">
        <v>19</v>
      </c>
      <c r="F408">
        <v>-1.45118309744739</v>
      </c>
      <c r="G408">
        <v>5.8520833333333302</v>
      </c>
      <c r="H408">
        <v>5.8066666666666702</v>
      </c>
      <c r="I408">
        <v>2.6110267220534299E-2</v>
      </c>
      <c r="J408">
        <v>15.9618425293601</v>
      </c>
      <c r="K408">
        <v>8.7296565510890005</v>
      </c>
      <c r="L408">
        <v>9.9106482032283005E-2</v>
      </c>
      <c r="M408">
        <v>1379.1031945367099</v>
      </c>
      <c r="N408">
        <f t="shared" si="42"/>
        <v>754.24232601408971</v>
      </c>
      <c r="O408">
        <v>8562.8000475892495</v>
      </c>
      <c r="P408">
        <f t="shared" si="43"/>
        <v>369.88518152510801</v>
      </c>
      <c r="Q408">
        <f t="shared" si="44"/>
        <v>6.1683590466968035</v>
      </c>
      <c r="R408">
        <f t="shared" si="45"/>
        <v>2281.5846056994892</v>
      </c>
      <c r="T408">
        <f t="shared" si="46"/>
        <v>-5.1820833333333303</v>
      </c>
      <c r="U408">
        <f t="shared" si="47"/>
        <v>2.4455201790433761E-3</v>
      </c>
      <c r="V408">
        <f t="shared" si="48"/>
        <v>-1.2672889361151022E-2</v>
      </c>
      <c r="W408">
        <f>F408-V408</f>
        <v>-1.4385102080862391</v>
      </c>
      <c r="Y408">
        <f>(1-H408)*U408</f>
        <v>-1.1754800327268503E-2</v>
      </c>
      <c r="Z408">
        <f>C408-Y408</f>
        <v>-1.4888640115821115</v>
      </c>
    </row>
    <row r="409" spans="1:26" x14ac:dyDescent="0.75">
      <c r="A409" s="1">
        <v>45771</v>
      </c>
      <c r="B409">
        <v>0.100468459638742</v>
      </c>
      <c r="C409">
        <v>-1.4864935168959099</v>
      </c>
      <c r="D409">
        <v>17.215489059952901</v>
      </c>
      <c r="E409" t="s">
        <v>19</v>
      </c>
      <c r="F409">
        <v>-1.38602505725717</v>
      </c>
      <c r="G409">
        <v>6.0149999999999997</v>
      </c>
      <c r="H409">
        <v>5.8353333333333302</v>
      </c>
      <c r="I409">
        <v>2.5223712417121801E-2</v>
      </c>
      <c r="J409">
        <v>15.414847741472901</v>
      </c>
      <c r="K409">
        <v>7.4287848252422499</v>
      </c>
      <c r="L409">
        <v>9.7240019866578306E-2</v>
      </c>
      <c r="M409">
        <v>1331.8428448632601</v>
      </c>
      <c r="N409">
        <f t="shared" si="42"/>
        <v>641.8470089009304</v>
      </c>
      <c r="O409">
        <v>8401.5377164723595</v>
      </c>
      <c r="P409">
        <f t="shared" si="43"/>
        <v>341.61541278611463</v>
      </c>
      <c r="Q409">
        <f t="shared" si="44"/>
        <v>6.2847093013582924</v>
      </c>
      <c r="R409">
        <f t="shared" si="45"/>
        <v>2146.953562224247</v>
      </c>
      <c r="T409">
        <f t="shared" si="46"/>
        <v>-5.3449999999999998</v>
      </c>
      <c r="U409">
        <f t="shared" si="47"/>
        <v>2.042567056402148E-3</v>
      </c>
      <c r="V409">
        <f t="shared" si="48"/>
        <v>-1.091752091646948E-2</v>
      </c>
      <c r="W409">
        <f>F409-V409</f>
        <v>-1.3751075363407004</v>
      </c>
      <c r="Y409">
        <f>(1-H409)*U409</f>
        <v>-9.8764925733898466E-3</v>
      </c>
      <c r="Z409">
        <f>C409-Y409</f>
        <v>-1.4766170243225201</v>
      </c>
    </row>
    <row r="410" spans="1:26" x14ac:dyDescent="0.75">
      <c r="A410" s="1">
        <v>45772</v>
      </c>
      <c r="B410">
        <v>7.7893305565268994E-2</v>
      </c>
      <c r="C410">
        <v>-0.68474237938182503</v>
      </c>
      <c r="D410">
        <v>6.5952372932156997</v>
      </c>
      <c r="E410" t="s">
        <v>19</v>
      </c>
      <c r="F410">
        <v>-0.60684907381655595</v>
      </c>
      <c r="G410">
        <v>5.4295833333333299</v>
      </c>
      <c r="H410">
        <v>4.9126666666666701</v>
      </c>
      <c r="I410">
        <v>2.4601362687573701E-2</v>
      </c>
      <c r="J410">
        <v>15.031001545873099</v>
      </c>
      <c r="K410">
        <v>6.14395624216277</v>
      </c>
      <c r="L410">
        <v>9.5907856317804296E-2</v>
      </c>
      <c r="M410">
        <v>1298.6785335634299</v>
      </c>
      <c r="N410">
        <f t="shared" si="42"/>
        <v>530.83781932286331</v>
      </c>
      <c r="O410">
        <v>8286.4387858582904</v>
      </c>
      <c r="P410">
        <f t="shared" si="43"/>
        <v>879.49938602930808</v>
      </c>
      <c r="Q410">
        <f t="shared" si="44"/>
        <v>6.3705154282132499</v>
      </c>
      <c r="R410">
        <f t="shared" si="45"/>
        <v>5602.8644078037878</v>
      </c>
      <c r="T410">
        <f t="shared" si="46"/>
        <v>-4.7595833333333299</v>
      </c>
      <c r="U410">
        <f t="shared" si="47"/>
        <v>1.6665459029325306E-3</v>
      </c>
      <c r="V410">
        <f t="shared" si="48"/>
        <v>-7.9320641038326187E-3</v>
      </c>
      <c r="W410">
        <f>F410-V410</f>
        <v>-0.59891700971272332</v>
      </c>
      <c r="Y410">
        <f>(1-H410)*U410</f>
        <v>-6.5206386028740203E-3</v>
      </c>
      <c r="Z410">
        <f>C410-Y410</f>
        <v>-0.67822174077895103</v>
      </c>
    </row>
    <row r="411" spans="1:26" x14ac:dyDescent="0.75">
      <c r="A411" s="1">
        <v>45779</v>
      </c>
      <c r="B411">
        <v>2.2952657760632201E-2</v>
      </c>
      <c r="C411">
        <v>-0.68407510171410302</v>
      </c>
      <c r="D411">
        <v>10.7119033816994</v>
      </c>
      <c r="E411" t="s">
        <v>19</v>
      </c>
      <c r="F411">
        <v>-0.66112244395347097</v>
      </c>
      <c r="G411">
        <v>4.5114285714285698</v>
      </c>
      <c r="H411">
        <v>3.9125000000000001</v>
      </c>
      <c r="I411">
        <v>1.75969926182277E-2</v>
      </c>
      <c r="J411">
        <v>10.723208753306499</v>
      </c>
      <c r="K411">
        <v>1.1673892452297401</v>
      </c>
      <c r="L411">
        <v>7.8618676334955104E-2</v>
      </c>
      <c r="M411">
        <v>926.48523628568103</v>
      </c>
      <c r="N411">
        <f t="shared" si="42"/>
        <v>100.86243078784955</v>
      </c>
      <c r="O411">
        <v>6792.6536353401198</v>
      </c>
      <c r="P411">
        <f t="shared" si="43"/>
        <v>443.88540255707051</v>
      </c>
      <c r="Q411">
        <f t="shared" si="44"/>
        <v>7.7510507649255418</v>
      </c>
      <c r="R411">
        <f t="shared" si="45"/>
        <v>3440.5782890292635</v>
      </c>
      <c r="T411">
        <f t="shared" si="46"/>
        <v>-3.8414285714285699</v>
      </c>
      <c r="U411">
        <f t="shared" si="47"/>
        <v>2.6025485794587869E-4</v>
      </c>
      <c r="V411">
        <f t="shared" si="48"/>
        <v>-9.9975044716638225E-4</v>
      </c>
      <c r="W411">
        <f>F411-V411</f>
        <v>-0.66012269350630459</v>
      </c>
      <c r="Y411">
        <f>(1-H411)*U411</f>
        <v>-7.579922737673717E-4</v>
      </c>
      <c r="Z411">
        <f>C411-Y411</f>
        <v>-0.68331710944033563</v>
      </c>
    </row>
    <row r="412" spans="1:26" x14ac:dyDescent="0.75">
      <c r="A412" s="1">
        <v>45781</v>
      </c>
      <c r="B412">
        <v>8.9590936596135803E-2</v>
      </c>
      <c r="C412">
        <v>-1.94668073207689</v>
      </c>
      <c r="D412">
        <v>22.1787341308526</v>
      </c>
      <c r="E412" t="s">
        <v>19</v>
      </c>
      <c r="F412">
        <v>-1.8570897954807499</v>
      </c>
      <c r="G412">
        <v>5.7354545454545498</v>
      </c>
      <c r="H412">
        <v>5.0753846153846203</v>
      </c>
      <c r="I412">
        <v>2.8279684438156701E-2</v>
      </c>
      <c r="J412">
        <v>17.3125070450481</v>
      </c>
      <c r="K412">
        <v>0.91805501889495</v>
      </c>
      <c r="L412">
        <v>0.101856525041935</v>
      </c>
      <c r="M412">
        <v>1495.80060869215</v>
      </c>
      <c r="N412">
        <f t="shared" si="42"/>
        <v>79.319953632523692</v>
      </c>
      <c r="O412">
        <v>8800.4037636232097</v>
      </c>
      <c r="P412">
        <f t="shared" si="43"/>
        <v>277.75627762121655</v>
      </c>
      <c r="Q412">
        <f t="shared" si="44"/>
        <v>6.0103055140826704</v>
      </c>
      <c r="R412">
        <f t="shared" si="45"/>
        <v>1669.4000869578749</v>
      </c>
      <c r="T412">
        <f t="shared" si="46"/>
        <v>-5.0654545454545499</v>
      </c>
      <c r="U412">
        <f t="shared" si="47"/>
        <v>2.6394649472200748E-4</v>
      </c>
      <c r="V412">
        <f t="shared" si="48"/>
        <v>-1.3370089714463882E-3</v>
      </c>
      <c r="W412">
        <f>F412-V412</f>
        <v>-1.8557527865093035</v>
      </c>
      <c r="Y412">
        <f>(1-H412)*U412</f>
        <v>-1.0756834838747671E-3</v>
      </c>
      <c r="Z412">
        <f>C412-Y412</f>
        <v>-1.9456050485930152</v>
      </c>
    </row>
    <row r="413" spans="1:26" x14ac:dyDescent="0.75">
      <c r="A413" s="1">
        <v>45787</v>
      </c>
      <c r="B413">
        <v>7.0574738627629002E-2</v>
      </c>
      <c r="C413">
        <v>-0.68468529387820598</v>
      </c>
      <c r="D413">
        <v>9.4502555470720395</v>
      </c>
      <c r="E413" t="s">
        <v>19</v>
      </c>
      <c r="F413">
        <v>-0.61411055525057701</v>
      </c>
      <c r="G413">
        <v>4.6866666666666701</v>
      </c>
      <c r="H413">
        <v>3.9113333333333302</v>
      </c>
      <c r="I413">
        <v>2.0594252400625901E-2</v>
      </c>
      <c r="J413">
        <v>12.573722340842</v>
      </c>
      <c r="K413">
        <v>0.462242979215229</v>
      </c>
      <c r="L413">
        <v>8.4450905954508104E-2</v>
      </c>
      <c r="M413">
        <v>1086.36961024875</v>
      </c>
      <c r="N413">
        <f t="shared" si="42"/>
        <v>39.937793404195787</v>
      </c>
      <c r="O413">
        <v>7296.5582744695002</v>
      </c>
      <c r="P413">
        <f t="shared" si="43"/>
        <v>540.47118267729047</v>
      </c>
      <c r="Q413">
        <f t="shared" si="44"/>
        <v>7.2295875578730397</v>
      </c>
      <c r="R413">
        <f t="shared" si="45"/>
        <v>3907.383737672666</v>
      </c>
      <c r="T413">
        <f t="shared" si="46"/>
        <v>-4.0166666666666702</v>
      </c>
      <c r="U413">
        <f t="shared" si="47"/>
        <v>1.1048429273314058E-4</v>
      </c>
      <c r="V413">
        <f t="shared" si="48"/>
        <v>-4.4377857581144836E-4</v>
      </c>
      <c r="W413">
        <f>F413-V413</f>
        <v>-0.61366677667476555</v>
      </c>
      <c r="Y413">
        <f>(1-H413)*U413</f>
        <v>-3.2165660424374957E-4</v>
      </c>
      <c r="Z413">
        <f>C413-Y413</f>
        <v>-0.68436363727396221</v>
      </c>
    </row>
    <row r="414" spans="1:26" x14ac:dyDescent="0.75">
      <c r="A414" s="1">
        <v>45788</v>
      </c>
      <c r="B414">
        <v>0.11298765956231301</v>
      </c>
      <c r="C414">
        <v>-1.9352731609125799</v>
      </c>
      <c r="D414">
        <v>24.396691901810701</v>
      </c>
      <c r="E414" t="s">
        <v>19</v>
      </c>
      <c r="F414">
        <v>-1.8222855013502599</v>
      </c>
      <c r="G414">
        <v>6.8049999999999997</v>
      </c>
      <c r="H414">
        <v>6.9066666666666698</v>
      </c>
      <c r="I414">
        <v>3.1244652489305001E-2</v>
      </c>
      <c r="J414">
        <v>19.139397148637698</v>
      </c>
      <c r="L414">
        <v>0.10858665579122</v>
      </c>
      <c r="M414">
        <v>1653.64391364229</v>
      </c>
      <c r="O414">
        <v>9381.8870603613996</v>
      </c>
      <c r="P414">
        <f t="shared" si="43"/>
        <v>269.18899368342466</v>
      </c>
      <c r="Q414">
        <f t="shared" si="44"/>
        <v>5.64125975439861</v>
      </c>
      <c r="R414">
        <f t="shared" si="45"/>
        <v>1518.5650363933651</v>
      </c>
      <c r="T414">
        <f t="shared" si="46"/>
        <v>-6.1349999999999998</v>
      </c>
      <c r="U414">
        <f t="shared" si="47"/>
        <v>0</v>
      </c>
      <c r="V414">
        <f t="shared" si="48"/>
        <v>0</v>
      </c>
      <c r="W414">
        <f>F414-V414</f>
        <v>-1.8222855013502599</v>
      </c>
      <c r="Y414">
        <f>(1-H414)*U414</f>
        <v>0</v>
      </c>
      <c r="Z414">
        <f>C414-Y414</f>
        <v>-1.9352731609125799</v>
      </c>
    </row>
    <row r="415" spans="1:26" x14ac:dyDescent="0.75">
      <c r="A415" s="1">
        <v>45789</v>
      </c>
      <c r="B415">
        <v>4.18012849488116E-2</v>
      </c>
      <c r="C415">
        <v>-2.1563672634636601</v>
      </c>
      <c r="D415">
        <v>9.2352367301200005</v>
      </c>
      <c r="E415" t="s">
        <v>19</v>
      </c>
      <c r="F415">
        <v>-2.1145659785148401</v>
      </c>
      <c r="G415">
        <v>6.0075000000000003</v>
      </c>
      <c r="H415">
        <v>6.2453333333333303</v>
      </c>
      <c r="I415">
        <v>6.2614601592839395E-2</v>
      </c>
      <c r="J415">
        <v>38.651312603129497</v>
      </c>
      <c r="L415">
        <v>0.15515747784388101</v>
      </c>
      <c r="M415">
        <v>3339.4734089103899</v>
      </c>
      <c r="O415">
        <v>13405.606085711301</v>
      </c>
      <c r="P415">
        <f t="shared" si="43"/>
        <v>1016.1000236618706</v>
      </c>
      <c r="Q415">
        <f t="shared" si="44"/>
        <v>3.9784684125922687</v>
      </c>
      <c r="R415">
        <f t="shared" si="45"/>
        <v>4042.5218481730089</v>
      </c>
      <c r="T415">
        <f t="shared" si="46"/>
        <v>-5.3375000000000004</v>
      </c>
      <c r="U415">
        <f t="shared" si="47"/>
        <v>0</v>
      </c>
      <c r="V415">
        <f t="shared" si="48"/>
        <v>0</v>
      </c>
      <c r="W415">
        <f>F415-V415</f>
        <v>-2.1145659785148401</v>
      </c>
      <c r="Y415">
        <f>(1-H415)*U415</f>
        <v>0</v>
      </c>
      <c r="Z415">
        <f>C415-Y415</f>
        <v>-2.1563672634636601</v>
      </c>
    </row>
    <row r="416" spans="1:26" x14ac:dyDescent="0.75">
      <c r="A416" s="1">
        <v>45790</v>
      </c>
      <c r="B416">
        <v>3.1803906955516298E-2</v>
      </c>
      <c r="C416">
        <v>-1.69345774587936</v>
      </c>
      <c r="D416">
        <v>9.80954595779248</v>
      </c>
      <c r="E416" t="s">
        <v>19</v>
      </c>
      <c r="F416">
        <v>-1.66165383892384</v>
      </c>
      <c r="G416">
        <v>5.8916666666666702</v>
      </c>
      <c r="H416">
        <v>5.8846666666666696</v>
      </c>
      <c r="I416">
        <v>5.4841101197353803E-2</v>
      </c>
      <c r="J416">
        <v>33.803922242252803</v>
      </c>
      <c r="L416">
        <v>0.144887163071548</v>
      </c>
      <c r="M416">
        <v>2920.6588817306401</v>
      </c>
      <c r="O416">
        <v>12518.250889381699</v>
      </c>
      <c r="P416">
        <f t="shared" si="43"/>
        <v>893.29064365168097</v>
      </c>
      <c r="Q416">
        <f t="shared" si="44"/>
        <v>4.2543284733360682</v>
      </c>
      <c r="R416">
        <f t="shared" si="45"/>
        <v>3800.3518202520495</v>
      </c>
      <c r="T416">
        <f t="shared" si="46"/>
        <v>-5.2216666666666702</v>
      </c>
      <c r="U416">
        <f t="shared" si="47"/>
        <v>0</v>
      </c>
      <c r="V416">
        <f t="shared" si="48"/>
        <v>0</v>
      </c>
      <c r="W416">
        <f>F416-V416</f>
        <v>-1.66165383892384</v>
      </c>
      <c r="Y416">
        <f>(1-H416)*U416</f>
        <v>0</v>
      </c>
      <c r="Z416">
        <f>C416-Y416</f>
        <v>-1.69345774587936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7F158-26CA-4C5A-AFA4-04A663823955}">
  <dimension ref="A1:D6"/>
  <sheetViews>
    <sheetView workbookViewId="0">
      <selection activeCell="E21" sqref="E21:F21"/>
    </sheetView>
  </sheetViews>
  <sheetFormatPr defaultRowHeight="14.75" x14ac:dyDescent="0.75"/>
  <cols>
    <col min="2" max="2" width="12.58984375" bestFit="1" customWidth="1"/>
    <col min="3" max="3" width="13.6796875" bestFit="1" customWidth="1"/>
  </cols>
  <sheetData>
    <row r="1" spans="1:4" x14ac:dyDescent="0.75">
      <c r="A1" t="s">
        <v>29</v>
      </c>
      <c r="B1" t="s">
        <v>30</v>
      </c>
      <c r="C1" t="s">
        <v>31</v>
      </c>
      <c r="D1" t="s">
        <v>32</v>
      </c>
    </row>
    <row r="2" spans="1:4" x14ac:dyDescent="0.75">
      <c r="A2">
        <v>17795000</v>
      </c>
      <c r="B2">
        <v>0</v>
      </c>
    </row>
    <row r="3" spans="1:4" x14ac:dyDescent="0.75">
      <c r="A3">
        <v>14519100</v>
      </c>
      <c r="B3">
        <v>1267.3699999999999</v>
      </c>
      <c r="C3">
        <f>$A$2-A3</f>
        <v>3275900</v>
      </c>
      <c r="D3">
        <f>C3/$A$2</f>
        <v>0.18409103680809216</v>
      </c>
    </row>
    <row r="4" spans="1:4" x14ac:dyDescent="0.75">
      <c r="A4">
        <v>10249400</v>
      </c>
      <c r="B4">
        <v>2467.91</v>
      </c>
      <c r="C4">
        <f t="shared" ref="C4:C6" si="0">$A$2-A4</f>
        <v>7545600</v>
      </c>
      <c r="D4">
        <f t="shared" ref="D4:D6" si="1">C4/$A$2</f>
        <v>0.42402922169148638</v>
      </c>
    </row>
    <row r="5" spans="1:4" x14ac:dyDescent="0.75">
      <c r="A5">
        <v>1812340</v>
      </c>
      <c r="B5">
        <v>4497.8599999999997</v>
      </c>
      <c r="C5">
        <f t="shared" si="0"/>
        <v>15982660</v>
      </c>
      <c r="D5">
        <f t="shared" si="1"/>
        <v>0.89815453779151444</v>
      </c>
    </row>
    <row r="6" spans="1:4" x14ac:dyDescent="0.75">
      <c r="A6">
        <v>138375</v>
      </c>
      <c r="B6">
        <v>6130.37</v>
      </c>
      <c r="C6">
        <f t="shared" si="0"/>
        <v>17656625</v>
      </c>
      <c r="D6">
        <f t="shared" si="1"/>
        <v>0.9922239393087946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482"/>
  <sheetViews>
    <sheetView workbookViewId="0"/>
  </sheetViews>
  <sheetFormatPr defaultColWidth="10.90625" defaultRowHeight="14.75" x14ac:dyDescent="0.75"/>
  <sheetData>
    <row r="1" spans="1:19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75">
      <c r="A2" s="1">
        <v>45205</v>
      </c>
      <c r="B2">
        <v>0.117606733209294</v>
      </c>
      <c r="C2">
        <v>-9.8792526568749803</v>
      </c>
      <c r="D2">
        <v>4.5598367759731397</v>
      </c>
      <c r="E2" t="s">
        <v>20</v>
      </c>
      <c r="F2">
        <v>-9.7616459236656805</v>
      </c>
      <c r="G2">
        <v>1.9793333333333301</v>
      </c>
      <c r="H2">
        <v>23.667000000000002</v>
      </c>
      <c r="I2">
        <v>2.0066470588235301</v>
      </c>
      <c r="J2">
        <v>0.28565164478813898</v>
      </c>
      <c r="K2">
        <v>50.675433890456802</v>
      </c>
      <c r="L2">
        <v>32.151321471998003</v>
      </c>
      <c r="M2">
        <v>0.49097511369737801</v>
      </c>
      <c r="N2">
        <v>4378.3574881354698</v>
      </c>
      <c r="O2">
        <v>2777.8741751806301</v>
      </c>
      <c r="P2">
        <v>42420.249823453501</v>
      </c>
      <c r="Q2">
        <v>6512.1135547840304</v>
      </c>
      <c r="R2">
        <v>0.36132770899595201</v>
      </c>
      <c r="S2">
        <v>2353.0070714715998</v>
      </c>
    </row>
    <row r="3" spans="1:19" x14ac:dyDescent="0.75">
      <c r="A3" s="1">
        <v>45206</v>
      </c>
      <c r="B3">
        <v>0.101510198635685</v>
      </c>
      <c r="C3">
        <v>-10.8309085110902</v>
      </c>
      <c r="D3">
        <v>5.0731270859902997</v>
      </c>
      <c r="E3" t="s">
        <v>20</v>
      </c>
      <c r="F3">
        <v>-10.729398312454499</v>
      </c>
      <c r="G3">
        <v>1.92295833333333</v>
      </c>
      <c r="H3">
        <v>23.481999999999999</v>
      </c>
      <c r="I3">
        <v>1.9482941176470601</v>
      </c>
      <c r="J3">
        <v>0.27908468089663502</v>
      </c>
      <c r="K3">
        <v>47.383592993101203</v>
      </c>
      <c r="L3">
        <v>31.683026549778301</v>
      </c>
      <c r="M3">
        <v>0.48537994909555199</v>
      </c>
      <c r="N3">
        <v>4093.94243460394</v>
      </c>
      <c r="O3">
        <v>2737.41349390085</v>
      </c>
      <c r="P3">
        <v>41936.827601855701</v>
      </c>
      <c r="Q3">
        <v>5786.5255144832599</v>
      </c>
      <c r="R3">
        <v>0.34979223061189402</v>
      </c>
      <c r="S3">
        <v>2024.0816672037299</v>
      </c>
    </row>
    <row r="4" spans="1:19" x14ac:dyDescent="0.75">
      <c r="A4" s="1">
        <v>45207</v>
      </c>
      <c r="B4">
        <v>0.10095853496196799</v>
      </c>
      <c r="C4">
        <v>-7.5619621370494396</v>
      </c>
      <c r="D4">
        <v>3.7732607157858302</v>
      </c>
      <c r="E4" t="s">
        <v>20</v>
      </c>
      <c r="F4">
        <v>-7.4610036020874704</v>
      </c>
      <c r="G4">
        <v>2.0932499999999998</v>
      </c>
      <c r="H4">
        <v>23.196999999999999</v>
      </c>
      <c r="I4">
        <v>2.1153529411764702</v>
      </c>
      <c r="J4">
        <v>0.27391800389661403</v>
      </c>
      <c r="K4">
        <v>44.8676860830167</v>
      </c>
      <c r="L4">
        <v>31.194078548080501</v>
      </c>
      <c r="M4">
        <v>0.48094378464649801</v>
      </c>
      <c r="N4">
        <v>3876.56807757264</v>
      </c>
      <c r="O4">
        <v>2695.1683865541499</v>
      </c>
      <c r="P4">
        <v>41553.542993457399</v>
      </c>
      <c r="Q4">
        <v>7708.8444945586998</v>
      </c>
      <c r="R4">
        <v>0.34057971509785601</v>
      </c>
      <c r="S4">
        <v>2625.47606169048</v>
      </c>
    </row>
    <row r="5" spans="1:19" x14ac:dyDescent="0.75">
      <c r="A5" s="1">
        <v>45208</v>
      </c>
      <c r="B5">
        <v>0.10869349208868299</v>
      </c>
      <c r="C5">
        <v>-9.0539666128687006</v>
      </c>
      <c r="D5">
        <v>4.7967697757519803</v>
      </c>
      <c r="E5" t="s">
        <v>20</v>
      </c>
      <c r="F5">
        <v>-8.9452731207800102</v>
      </c>
      <c r="G5">
        <v>2.3418749999999999</v>
      </c>
      <c r="H5">
        <v>21.231000000000002</v>
      </c>
      <c r="I5">
        <v>2.3648235294117601</v>
      </c>
      <c r="J5">
        <v>0.26509061881760199</v>
      </c>
      <c r="K5">
        <v>40.803106076602397</v>
      </c>
      <c r="L5">
        <v>30.676283501767099</v>
      </c>
      <c r="M5">
        <v>0.47325033974248498</v>
      </c>
      <c r="N5">
        <v>3525.3883650184498</v>
      </c>
      <c r="O5">
        <v>2650.43089455268</v>
      </c>
      <c r="P5">
        <v>40888.829353750698</v>
      </c>
      <c r="Q5">
        <v>5966.9698329723196</v>
      </c>
      <c r="R5">
        <v>0.32524297958605097</v>
      </c>
      <c r="S5">
        <v>1940.715047576</v>
      </c>
    </row>
    <row r="6" spans="1:19" x14ac:dyDescent="0.75">
      <c r="A6" s="1">
        <v>45209</v>
      </c>
      <c r="B6">
        <v>0.112991689459608</v>
      </c>
      <c r="C6">
        <v>-8.3731471204590608</v>
      </c>
      <c r="D6">
        <v>4.6806755531563802</v>
      </c>
      <c r="E6" t="s">
        <v>20</v>
      </c>
      <c r="F6">
        <v>-8.2601554309994594</v>
      </c>
      <c r="G6">
        <v>2.46491666666667</v>
      </c>
      <c r="H6">
        <v>20.361000000000001</v>
      </c>
      <c r="I6">
        <v>2.4827058823529402</v>
      </c>
      <c r="J6">
        <v>0.25482478389199198</v>
      </c>
      <c r="K6">
        <v>36.376219433739998</v>
      </c>
      <c r="L6">
        <v>30.127060414980601</v>
      </c>
      <c r="M6">
        <v>0.46414498214126299</v>
      </c>
      <c r="N6">
        <v>3142.90535907513</v>
      </c>
      <c r="O6">
        <v>2602.9780198543199</v>
      </c>
      <c r="P6">
        <v>40102.126457005099</v>
      </c>
      <c r="Q6">
        <v>5997.3156013716398</v>
      </c>
      <c r="R6">
        <v>0.30755460690894898</v>
      </c>
      <c r="S6">
        <v>1844.5020422887601</v>
      </c>
    </row>
    <row r="7" spans="1:19" x14ac:dyDescent="0.75">
      <c r="A7" s="1">
        <v>45211</v>
      </c>
      <c r="B7">
        <v>0.13281734199942799</v>
      </c>
      <c r="C7">
        <v>-7.6014392294275499</v>
      </c>
      <c r="D7">
        <v>2.05499699707552</v>
      </c>
      <c r="E7" t="s">
        <v>20</v>
      </c>
      <c r="F7">
        <v>-7.4686218874281201</v>
      </c>
      <c r="G7">
        <v>2.80925</v>
      </c>
      <c r="H7">
        <v>20.972000000000001</v>
      </c>
      <c r="I7">
        <v>2.8177058823529402</v>
      </c>
      <c r="J7">
        <v>0.46302131770930199</v>
      </c>
      <c r="K7">
        <v>214.32169503919999</v>
      </c>
      <c r="L7">
        <v>28.936812727464002</v>
      </c>
      <c r="M7">
        <v>0.62131811866178899</v>
      </c>
      <c r="N7">
        <v>18517.394451386801</v>
      </c>
      <c r="O7">
        <v>2500.1406196528901</v>
      </c>
      <c r="P7">
        <v>53681.885452378599</v>
      </c>
      <c r="Q7">
        <v>18285.827118064699</v>
      </c>
      <c r="R7">
        <v>0.74499117848264595</v>
      </c>
      <c r="S7">
        <v>13622.779894216899</v>
      </c>
    </row>
    <row r="8" spans="1:19" x14ac:dyDescent="0.75">
      <c r="A8" s="1">
        <v>45212</v>
      </c>
      <c r="B8">
        <v>0.36466899426423999</v>
      </c>
      <c r="C8">
        <v>-11.3694458913796</v>
      </c>
      <c r="D8">
        <v>2.9107568634561201</v>
      </c>
      <c r="E8" t="s">
        <v>20</v>
      </c>
      <c r="F8">
        <v>-11.0047768971154</v>
      </c>
      <c r="G8">
        <v>1.72745833333333</v>
      </c>
      <c r="H8">
        <v>21.556999999999999</v>
      </c>
      <c r="I8">
        <v>1.74894117647059</v>
      </c>
      <c r="J8">
        <v>0.48331520299404201</v>
      </c>
      <c r="K8">
        <v>234.059855633832</v>
      </c>
      <c r="L8">
        <v>28.296252979089299</v>
      </c>
      <c r="M8">
        <v>0.63589685203295299</v>
      </c>
      <c r="N8">
        <v>20222.771526763099</v>
      </c>
      <c r="O8">
        <v>2444.79625739331</v>
      </c>
      <c r="P8">
        <v>54941.488015647097</v>
      </c>
      <c r="Q8">
        <v>13212.7289962955</v>
      </c>
      <c r="R8">
        <v>0.76156995364265601</v>
      </c>
      <c r="S8">
        <v>10062.4174092018</v>
      </c>
    </row>
    <row r="9" spans="1:19" x14ac:dyDescent="0.75">
      <c r="A9" s="1">
        <v>45213</v>
      </c>
      <c r="B9">
        <v>0.36878982885663403</v>
      </c>
      <c r="C9">
        <v>-11.0591331606993</v>
      </c>
      <c r="D9">
        <v>2.9514831106065902</v>
      </c>
      <c r="E9" t="s">
        <v>20</v>
      </c>
      <c r="F9">
        <v>-10.690343331842699</v>
      </c>
      <c r="G9">
        <v>1.74783333333333</v>
      </c>
      <c r="H9">
        <v>22.57</v>
      </c>
      <c r="I9">
        <v>1.7600588235294099</v>
      </c>
      <c r="J9">
        <v>0.469068678288872</v>
      </c>
      <c r="K9">
        <v>214.60538650583601</v>
      </c>
      <c r="L9">
        <v>27.630658977885801</v>
      </c>
      <c r="M9">
        <v>0.62660032859093595</v>
      </c>
      <c r="N9">
        <v>18541.9053941042</v>
      </c>
      <c r="O9">
        <v>2387.2889356893302</v>
      </c>
      <c r="P9">
        <v>54138.268390256802</v>
      </c>
      <c r="Q9">
        <v>12839.9135122922</v>
      </c>
      <c r="R9">
        <v>0.73015248203407901</v>
      </c>
      <c r="S9">
        <v>9375.0947201030594</v>
      </c>
    </row>
    <row r="10" spans="1:19" x14ac:dyDescent="0.75">
      <c r="A10" s="1">
        <v>45214</v>
      </c>
      <c r="B10">
        <v>0.331708783331021</v>
      </c>
      <c r="C10">
        <v>-10.7997267522536</v>
      </c>
      <c r="D10">
        <v>3.0039738967557499</v>
      </c>
      <c r="E10" t="s">
        <v>20</v>
      </c>
      <c r="F10">
        <v>-10.468017968922601</v>
      </c>
      <c r="G10">
        <v>1.7802083333333301</v>
      </c>
      <c r="H10">
        <v>22.234999999999999</v>
      </c>
      <c r="I10">
        <v>1.80494117647059</v>
      </c>
      <c r="J10">
        <v>0.45420567507801701</v>
      </c>
      <c r="K10">
        <v>195.41622804124299</v>
      </c>
      <c r="L10">
        <v>26.94490442247</v>
      </c>
      <c r="M10">
        <v>0.61675521155457902</v>
      </c>
      <c r="N10">
        <v>16883.962102763398</v>
      </c>
      <c r="O10">
        <v>2328.03974210141</v>
      </c>
      <c r="P10">
        <v>53287.650278315603</v>
      </c>
      <c r="Q10">
        <v>12417.3366603171</v>
      </c>
      <c r="R10">
        <v>0.697581961854156</v>
      </c>
      <c r="S10">
        <v>8662.1100685075507</v>
      </c>
    </row>
    <row r="11" spans="1:19" x14ac:dyDescent="0.75">
      <c r="A11" s="1">
        <v>45215</v>
      </c>
      <c r="B11">
        <v>0.35353034213441498</v>
      </c>
      <c r="C11">
        <v>-10.1632049083554</v>
      </c>
      <c r="D11">
        <v>2.9933468189007102</v>
      </c>
      <c r="E11" t="s">
        <v>20</v>
      </c>
      <c r="F11">
        <v>-9.8096745662210001</v>
      </c>
      <c r="G11">
        <v>1.9136249999999999</v>
      </c>
      <c r="H11">
        <v>20.937999999999999</v>
      </c>
      <c r="I11">
        <v>1.9400588235294101</v>
      </c>
      <c r="J11">
        <v>0.43880251927170599</v>
      </c>
      <c r="K11">
        <v>176.722531960201</v>
      </c>
      <c r="L11">
        <v>26.2451703638718</v>
      </c>
      <c r="M11">
        <v>0.60638304731387305</v>
      </c>
      <c r="N11">
        <v>15268.826761361401</v>
      </c>
      <c r="O11">
        <v>2267.5827194385301</v>
      </c>
      <c r="P11">
        <v>52391.495287918697</v>
      </c>
      <c r="Q11">
        <v>12251.853500561399</v>
      </c>
      <c r="R11">
        <v>0.66416465768590305</v>
      </c>
      <c r="S11">
        <v>8137.2480862182201</v>
      </c>
    </row>
    <row r="12" spans="1:19" x14ac:dyDescent="0.75">
      <c r="A12" s="1">
        <v>45216</v>
      </c>
      <c r="B12">
        <v>0.35764049477389898</v>
      </c>
      <c r="C12">
        <v>-9.7335959692874496</v>
      </c>
      <c r="D12">
        <v>3.0674878292712702</v>
      </c>
      <c r="E12" t="s">
        <v>20</v>
      </c>
      <c r="F12">
        <v>-9.3759554745135496</v>
      </c>
      <c r="G12">
        <v>2.1623333333333301</v>
      </c>
      <c r="H12">
        <v>19.170000000000002</v>
      </c>
      <c r="I12">
        <v>2.15876470588235</v>
      </c>
      <c r="J12">
        <v>0.42391015994153203</v>
      </c>
      <c r="K12">
        <v>159.85882997498399</v>
      </c>
      <c r="L12">
        <v>25.536137150863802</v>
      </c>
      <c r="M12">
        <v>0.59616821823798705</v>
      </c>
      <c r="N12">
        <v>13811.8029098386</v>
      </c>
      <c r="O12">
        <v>2206.3222498346399</v>
      </c>
      <c r="P12">
        <v>51508.934055762002</v>
      </c>
      <c r="Q12">
        <v>11754.3266170347</v>
      </c>
      <c r="R12">
        <v>0.632548724626388</v>
      </c>
      <c r="S12">
        <v>7435.1843104473301</v>
      </c>
    </row>
    <row r="13" spans="1:19" x14ac:dyDescent="0.75">
      <c r="A13" s="1">
        <v>45217</v>
      </c>
      <c r="B13">
        <v>0.353962661252887</v>
      </c>
      <c r="C13">
        <v>-9.4775251659636801</v>
      </c>
      <c r="D13">
        <v>3.1628736229564098</v>
      </c>
      <c r="E13" t="s">
        <v>20</v>
      </c>
      <c r="F13">
        <v>-9.1235625047108009</v>
      </c>
      <c r="G13">
        <v>2.3353333333333302</v>
      </c>
      <c r="H13">
        <v>18.344999999999999</v>
      </c>
      <c r="I13">
        <v>2.3337058823529402</v>
      </c>
      <c r="J13">
        <v>0.40766448351078599</v>
      </c>
      <c r="K13">
        <v>142.690771081268</v>
      </c>
      <c r="L13">
        <v>24.8206351168003</v>
      </c>
      <c r="M13">
        <v>0.58481785371542105</v>
      </c>
      <c r="N13">
        <v>12328.482621421599</v>
      </c>
      <c r="O13">
        <v>2144.50287409154</v>
      </c>
      <c r="P13">
        <v>50528.262561012401</v>
      </c>
      <c r="Q13">
        <v>11182.800202952099</v>
      </c>
      <c r="R13">
        <v>0.59851134314858401</v>
      </c>
      <c r="S13">
        <v>6693.0327696310997</v>
      </c>
    </row>
    <row r="14" spans="1:19" x14ac:dyDescent="0.75">
      <c r="A14" s="1">
        <v>45218</v>
      </c>
      <c r="B14">
        <v>0.35798872308369101</v>
      </c>
      <c r="C14">
        <v>-9.0131808692172903</v>
      </c>
      <c r="D14">
        <v>3.1715732442303102</v>
      </c>
      <c r="E14" t="s">
        <v>20</v>
      </c>
      <c r="F14">
        <v>-8.6551921461336008</v>
      </c>
      <c r="G14">
        <v>2.4300000000000002</v>
      </c>
      <c r="H14">
        <v>18.27</v>
      </c>
      <c r="I14">
        <v>2.4320588235294101</v>
      </c>
      <c r="J14">
        <v>0.39067903287321698</v>
      </c>
      <c r="K14">
        <v>126.076338466132</v>
      </c>
      <c r="L14">
        <v>24.098120829128899</v>
      </c>
      <c r="M14">
        <v>0.57270355488013802</v>
      </c>
      <c r="N14">
        <v>10892.9956434738</v>
      </c>
      <c r="O14">
        <v>2082.0776396367301</v>
      </c>
      <c r="P14">
        <v>49481.587141643897</v>
      </c>
      <c r="Q14">
        <v>10921.113381872001</v>
      </c>
      <c r="R14">
        <v>0.56348661541601297</v>
      </c>
      <c r="S14">
        <v>6153.9012161255696</v>
      </c>
    </row>
    <row r="15" spans="1:19" x14ac:dyDescent="0.75">
      <c r="A15" s="1">
        <v>45219</v>
      </c>
      <c r="B15">
        <v>1.25498134159474</v>
      </c>
      <c r="C15">
        <v>-7.9345485449937296</v>
      </c>
      <c r="D15">
        <v>2.6855368237993602</v>
      </c>
      <c r="E15" t="s">
        <v>20</v>
      </c>
      <c r="F15">
        <v>-6.6795672033989897</v>
      </c>
      <c r="G15">
        <v>2.83195833333333</v>
      </c>
      <c r="H15">
        <v>18.564</v>
      </c>
      <c r="I15">
        <v>2.7708823529411801</v>
      </c>
      <c r="J15">
        <v>0.37729851368793699</v>
      </c>
      <c r="K15">
        <v>113.884756148427</v>
      </c>
      <c r="L15">
        <v>23.367999781705301</v>
      </c>
      <c r="M15">
        <v>0.56297892031304497</v>
      </c>
      <c r="N15">
        <v>9839.6429312240707</v>
      </c>
      <c r="O15">
        <v>2018.99518113934</v>
      </c>
      <c r="P15">
        <v>48641.378715047103</v>
      </c>
      <c r="Q15">
        <v>12678.643911634101</v>
      </c>
      <c r="R15">
        <v>0.53615254031292303</v>
      </c>
      <c r="S15">
        <v>6797.6871409455998</v>
      </c>
    </row>
    <row r="16" spans="1:19" x14ac:dyDescent="0.75">
      <c r="A16" s="1">
        <v>45220</v>
      </c>
      <c r="B16">
        <v>0.36193263231870099</v>
      </c>
      <c r="C16">
        <v>-8.4069186122425101</v>
      </c>
      <c r="D16">
        <v>3.2109644223281899</v>
      </c>
      <c r="E16" t="s">
        <v>20</v>
      </c>
      <c r="F16">
        <v>-8.0449859799238101</v>
      </c>
      <c r="G16">
        <v>2.5704583333333302</v>
      </c>
      <c r="H16">
        <v>19.052</v>
      </c>
      <c r="I16">
        <v>2.5902352941176501</v>
      </c>
      <c r="J16">
        <v>0.36386221787595102</v>
      </c>
      <c r="K16">
        <v>102.524665129992</v>
      </c>
      <c r="L16">
        <v>22.6292320872641</v>
      </c>
      <c r="M16">
        <v>0.55301738539524004</v>
      </c>
      <c r="N16">
        <v>8858.1310672313393</v>
      </c>
      <c r="O16">
        <v>1955.16565233962</v>
      </c>
      <c r="P16">
        <v>47780.702098148802</v>
      </c>
      <c r="Q16">
        <v>10416.3382303853</v>
      </c>
      <c r="R16">
        <v>0.50950988303563405</v>
      </c>
      <c r="S16">
        <v>5307.2272734232201</v>
      </c>
    </row>
    <row r="17" spans="1:19" x14ac:dyDescent="0.75">
      <c r="A17" s="1">
        <v>45221</v>
      </c>
      <c r="B17">
        <v>0.36820728037162898</v>
      </c>
      <c r="C17">
        <v>-8.1154119368217206</v>
      </c>
      <c r="D17">
        <v>3.2620620804379299</v>
      </c>
      <c r="E17" t="s">
        <v>20</v>
      </c>
      <c r="F17">
        <v>-7.7472046564500898</v>
      </c>
      <c r="G17">
        <v>2.62916666666667</v>
      </c>
      <c r="H17">
        <v>19.128</v>
      </c>
      <c r="I17">
        <v>2.64641176470588</v>
      </c>
      <c r="J17">
        <v>0.34810678863782002</v>
      </c>
      <c r="K17">
        <v>90.141192320395902</v>
      </c>
      <c r="L17">
        <v>21.8827774567978</v>
      </c>
      <c r="M17">
        <v>0.54110623816621695</v>
      </c>
      <c r="N17">
        <v>7788.19901648221</v>
      </c>
      <c r="O17">
        <v>1890.6719722673299</v>
      </c>
      <c r="P17">
        <v>46751.578977561097</v>
      </c>
      <c r="Q17">
        <v>10032.3367481404</v>
      </c>
      <c r="R17">
        <v>0.47855104039996699</v>
      </c>
      <c r="S17">
        <v>4800.9851884654099</v>
      </c>
    </row>
    <row r="18" spans="1:19" x14ac:dyDescent="0.75">
      <c r="A18" s="1">
        <v>45222</v>
      </c>
      <c r="B18">
        <v>0.37404731871804597</v>
      </c>
      <c r="C18">
        <v>-7.86360783090569</v>
      </c>
      <c r="D18">
        <v>3.3324401108575898</v>
      </c>
      <c r="E18" t="s">
        <v>20</v>
      </c>
      <c r="F18">
        <v>-7.4895605121876399</v>
      </c>
      <c r="G18">
        <v>2.6994583333333302</v>
      </c>
      <c r="H18">
        <v>19.195</v>
      </c>
      <c r="I18">
        <v>2.70929411764706</v>
      </c>
      <c r="J18">
        <v>0.33526348643606402</v>
      </c>
      <c r="K18">
        <v>80.787854577197095</v>
      </c>
      <c r="L18">
        <v>21.1260305651446</v>
      </c>
      <c r="M18">
        <v>0.53119806262499902</v>
      </c>
      <c r="N18">
        <v>6980.0706354698304</v>
      </c>
      <c r="O18">
        <v>1825.28904082849</v>
      </c>
      <c r="P18">
        <v>45895.512610799902</v>
      </c>
      <c r="Q18">
        <v>9640.6410194397104</v>
      </c>
      <c r="R18">
        <v>0.453631637345491</v>
      </c>
      <c r="S18">
        <v>4373.2997707085397</v>
      </c>
    </row>
    <row r="19" spans="1:19" x14ac:dyDescent="0.75">
      <c r="A19" s="1">
        <v>45223</v>
      </c>
      <c r="B19">
        <v>0.35816706258389402</v>
      </c>
      <c r="C19">
        <v>-7.6542984947689803</v>
      </c>
      <c r="D19">
        <v>3.3665401932925398</v>
      </c>
      <c r="E19" t="s">
        <v>20</v>
      </c>
      <c r="F19">
        <v>-7.2961314321850903</v>
      </c>
      <c r="G19">
        <v>2.7317916666666702</v>
      </c>
      <c r="H19">
        <v>19.321000000000002</v>
      </c>
      <c r="I19">
        <v>2.7471176470588201</v>
      </c>
      <c r="J19">
        <v>0.322772457666128</v>
      </c>
      <c r="K19">
        <v>72.327392568807895</v>
      </c>
      <c r="L19">
        <v>20.358526676976702</v>
      </c>
      <c r="M19">
        <v>0.521374171788204</v>
      </c>
      <c r="N19">
        <v>6249.0867179449997</v>
      </c>
      <c r="O19">
        <v>1758.97670489079</v>
      </c>
      <c r="P19">
        <v>45046.728442500797</v>
      </c>
      <c r="Q19">
        <v>9366.5033236721792</v>
      </c>
      <c r="R19">
        <v>0.42979051498968801</v>
      </c>
      <c r="S19">
        <v>4025.6342871336901</v>
      </c>
    </row>
    <row r="20" spans="1:19" x14ac:dyDescent="0.75">
      <c r="A20" s="1">
        <v>45224</v>
      </c>
      <c r="B20">
        <v>0.48055036200158502</v>
      </c>
      <c r="C20">
        <v>-7.3769387908021304</v>
      </c>
      <c r="D20">
        <v>3.20716191007054</v>
      </c>
      <c r="E20" t="s">
        <v>20</v>
      </c>
      <c r="F20">
        <v>-6.8963884288005497</v>
      </c>
      <c r="G20">
        <v>2.6394166666666701</v>
      </c>
      <c r="H20">
        <v>19.648</v>
      </c>
      <c r="I20">
        <v>2.5809411764705898</v>
      </c>
      <c r="J20">
        <v>0.31372196608029601</v>
      </c>
      <c r="K20">
        <v>66.555908504177694</v>
      </c>
      <c r="L20">
        <v>19.582061391295198</v>
      </c>
      <c r="M20">
        <v>0.51414157482952905</v>
      </c>
      <c r="N20">
        <v>5750.4304947609598</v>
      </c>
      <c r="O20">
        <v>1691.8901042079001</v>
      </c>
      <c r="P20">
        <v>44421.832065271301</v>
      </c>
      <c r="Q20">
        <v>9695.5761254367098</v>
      </c>
      <c r="R20">
        <v>0.41262825618841997</v>
      </c>
      <c r="S20">
        <v>4000.6686693810302</v>
      </c>
    </row>
    <row r="21" spans="1:19" x14ac:dyDescent="0.75">
      <c r="A21" s="1">
        <v>45227</v>
      </c>
      <c r="B21">
        <v>0.132225699042229</v>
      </c>
      <c r="C21">
        <v>-9.0705279418964793</v>
      </c>
      <c r="D21">
        <v>4.7177629289236496</v>
      </c>
      <c r="E21" t="s">
        <v>20</v>
      </c>
      <c r="F21">
        <v>-8.9383022428542507</v>
      </c>
      <c r="G21">
        <v>2.7439583333333299</v>
      </c>
      <c r="H21">
        <v>20.294</v>
      </c>
      <c r="I21">
        <v>2.75247058823529</v>
      </c>
      <c r="J21">
        <v>0.28478857488018</v>
      </c>
      <c r="K21">
        <v>50.247058958098499</v>
      </c>
      <c r="L21">
        <v>17.2751816901132</v>
      </c>
      <c r="M21">
        <v>0.49023799930839901</v>
      </c>
      <c r="N21">
        <v>4341.3458939797101</v>
      </c>
      <c r="O21">
        <v>1492.57569802578</v>
      </c>
      <c r="P21">
        <v>42356.5631402457</v>
      </c>
      <c r="Q21">
        <v>6284.6723425622704</v>
      </c>
      <c r="R21">
        <v>0.35989939227636297</v>
      </c>
      <c r="S21">
        <v>2261.84975674423</v>
      </c>
    </row>
    <row r="22" spans="1:19" x14ac:dyDescent="0.75">
      <c r="A22" s="1">
        <v>45228</v>
      </c>
      <c r="B22">
        <v>0.119295799587139</v>
      </c>
      <c r="C22">
        <v>-9.9679294028604897</v>
      </c>
      <c r="D22">
        <v>5.30382050700495</v>
      </c>
      <c r="E22" t="s">
        <v>20</v>
      </c>
      <c r="F22">
        <v>-9.8486336032733508</v>
      </c>
      <c r="G22">
        <v>2.7615833333333302</v>
      </c>
      <c r="H22">
        <v>20.411000000000001</v>
      </c>
      <c r="I22">
        <v>2.7850000000000001</v>
      </c>
      <c r="J22">
        <v>0.27671857767958002</v>
      </c>
      <c r="K22">
        <v>46.197573857370102</v>
      </c>
      <c r="L22">
        <v>16.5370846992422</v>
      </c>
      <c r="M22">
        <v>0.48336426796853998</v>
      </c>
      <c r="N22">
        <v>3991.4703812767798</v>
      </c>
      <c r="O22">
        <v>1428.8041180145201</v>
      </c>
      <c r="P22">
        <v>41762.672752481798</v>
      </c>
      <c r="Q22">
        <v>5511.8514829314099</v>
      </c>
      <c r="R22">
        <v>0.34538725600075398</v>
      </c>
      <c r="S22">
        <v>1903.72325917337</v>
      </c>
    </row>
    <row r="23" spans="1:19" x14ac:dyDescent="0.75">
      <c r="A23" s="1">
        <v>45229</v>
      </c>
      <c r="B23">
        <v>0.14523525344777699</v>
      </c>
      <c r="C23">
        <v>-8.2769079688976106</v>
      </c>
      <c r="D23">
        <v>4.54726653271904</v>
      </c>
      <c r="E23" t="s">
        <v>20</v>
      </c>
      <c r="F23">
        <v>-8.1316727154498292</v>
      </c>
      <c r="G23">
        <v>2.7863333333333302</v>
      </c>
      <c r="H23">
        <v>20.637</v>
      </c>
      <c r="I23">
        <v>2.7936666666666699</v>
      </c>
      <c r="J23">
        <v>0.26905369492557102</v>
      </c>
      <c r="K23">
        <v>42.593166881510903</v>
      </c>
      <c r="L23">
        <v>15.8245604295787</v>
      </c>
      <c r="M23">
        <v>0.47672193138879998</v>
      </c>
      <c r="N23">
        <v>3680.0496185625402</v>
      </c>
      <c r="O23">
        <v>1367.2420211156</v>
      </c>
      <c r="P23">
        <v>41188.774871992297</v>
      </c>
      <c r="Q23">
        <v>6340.5437536898598</v>
      </c>
      <c r="R23">
        <v>0.33207473852415098</v>
      </c>
      <c r="S23">
        <v>2105.5344091074999</v>
      </c>
    </row>
    <row r="24" spans="1:19" x14ac:dyDescent="0.75">
      <c r="A24" s="1">
        <v>45230</v>
      </c>
      <c r="B24">
        <v>0.14194729720424301</v>
      </c>
      <c r="C24">
        <v>-8.8317794469089801</v>
      </c>
      <c r="D24">
        <v>5.0532325928491897</v>
      </c>
      <c r="E24" t="s">
        <v>20</v>
      </c>
      <c r="F24">
        <v>-8.6898321497047402</v>
      </c>
      <c r="G24">
        <v>2.8135416666666702</v>
      </c>
      <c r="H24">
        <v>20.736999999999998</v>
      </c>
      <c r="I24">
        <v>2.82605555555556</v>
      </c>
      <c r="J24">
        <v>0.26077820488974401</v>
      </c>
      <c r="K24">
        <v>38.891441789142497</v>
      </c>
      <c r="L24">
        <v>15.142685172076201</v>
      </c>
      <c r="M24">
        <v>0.46945374708091198</v>
      </c>
      <c r="N24">
        <v>3360.2205705819101</v>
      </c>
      <c r="O24">
        <v>1308.3279988673801</v>
      </c>
      <c r="P24">
        <v>40560.8037477908</v>
      </c>
      <c r="Q24">
        <v>5618.6930052718699</v>
      </c>
      <c r="R24">
        <v>0.31768004995912702</v>
      </c>
      <c r="S24">
        <v>1784.94667461977</v>
      </c>
    </row>
    <row r="25" spans="1:19" x14ac:dyDescent="0.75">
      <c r="A25" s="1">
        <v>45232</v>
      </c>
      <c r="B25">
        <v>9.0673686787964503E-2</v>
      </c>
      <c r="C25">
        <v>-8.0380469252184206</v>
      </c>
      <c r="D25">
        <v>5.3948058210907899</v>
      </c>
      <c r="E25" t="s">
        <v>20</v>
      </c>
      <c r="F25">
        <v>-7.9473732384304503</v>
      </c>
      <c r="G25">
        <v>3.2560833333333301</v>
      </c>
      <c r="H25">
        <v>18.43</v>
      </c>
      <c r="I25">
        <v>3.2416666666666698</v>
      </c>
      <c r="J25">
        <v>0.23963886336863599</v>
      </c>
      <c r="K25">
        <v>30.390091174989799</v>
      </c>
      <c r="L25">
        <v>13.884655845340699</v>
      </c>
      <c r="M25">
        <v>0.45034961757250402</v>
      </c>
      <c r="N25">
        <v>2625.7038775191199</v>
      </c>
      <c r="O25">
        <v>1199.6342650374399</v>
      </c>
      <c r="P25">
        <v>38910.206958264302</v>
      </c>
      <c r="Q25">
        <v>5048.7720548351199</v>
      </c>
      <c r="R25">
        <v>0.28159500941411802</v>
      </c>
      <c r="S25">
        <v>1421.7090143110299</v>
      </c>
    </row>
    <row r="26" spans="1:19" x14ac:dyDescent="0.75">
      <c r="A26" s="1">
        <v>45233</v>
      </c>
      <c r="B26">
        <v>0.119091183469361</v>
      </c>
      <c r="C26">
        <v>-8.4275076386039505</v>
      </c>
      <c r="D26">
        <v>5.7620534343871199</v>
      </c>
      <c r="E26" t="s">
        <v>20</v>
      </c>
      <c r="F26">
        <v>-8.3084164551345907</v>
      </c>
      <c r="G26">
        <v>3.3421666666666701</v>
      </c>
      <c r="H26">
        <v>18.177</v>
      </c>
      <c r="I26">
        <v>3.3559999999999999</v>
      </c>
      <c r="J26">
        <v>0.23486555836747999</v>
      </c>
      <c r="K26">
        <v>28.658538039344201</v>
      </c>
      <c r="L26">
        <v>13.314035350360401</v>
      </c>
      <c r="M26">
        <v>0.44591779054209901</v>
      </c>
      <c r="N26">
        <v>2476.0976865993398</v>
      </c>
      <c r="O26">
        <v>1150.33265427114</v>
      </c>
      <c r="P26">
        <v>38527.297102837401</v>
      </c>
      <c r="Q26">
        <v>4680.4682183331297</v>
      </c>
      <c r="R26">
        <v>0.273640199047199</v>
      </c>
      <c r="S26">
        <v>1280.7642548987701</v>
      </c>
    </row>
    <row r="27" spans="1:19" x14ac:dyDescent="0.75">
      <c r="A27" s="1">
        <v>45234</v>
      </c>
      <c r="B27">
        <v>8.5229569486169193E-2</v>
      </c>
      <c r="C27">
        <v>-6.4956571697901797</v>
      </c>
      <c r="D27">
        <v>4.6528980117613497</v>
      </c>
      <c r="E27" t="s">
        <v>20</v>
      </c>
      <c r="F27">
        <v>-6.4104276003040104</v>
      </c>
      <c r="G27">
        <v>3.3450833333333301</v>
      </c>
      <c r="H27">
        <v>18.556000000000001</v>
      </c>
      <c r="I27">
        <v>3.3627222222222199</v>
      </c>
      <c r="J27">
        <v>0.22780247605949799</v>
      </c>
      <c r="K27">
        <v>26.2504179119667</v>
      </c>
      <c r="L27">
        <v>12.785281184440001</v>
      </c>
      <c r="M27">
        <v>0.43925018773754998</v>
      </c>
      <c r="N27">
        <v>2268.03610759393</v>
      </c>
      <c r="O27">
        <v>1104.64829433562</v>
      </c>
      <c r="P27">
        <v>37951.2162205243</v>
      </c>
      <c r="Q27">
        <v>5709.5279731503397</v>
      </c>
      <c r="R27">
        <v>0.26234079228726997</v>
      </c>
      <c r="S27">
        <v>1497.8420920625899</v>
      </c>
    </row>
    <row r="28" spans="1:19" x14ac:dyDescent="0.75">
      <c r="A28" s="1">
        <v>45235</v>
      </c>
      <c r="B28">
        <v>0.166957726639378</v>
      </c>
      <c r="C28">
        <v>-8.3760758065475809</v>
      </c>
      <c r="D28">
        <v>6.23224902520837</v>
      </c>
      <c r="E28" t="s">
        <v>20</v>
      </c>
      <c r="F28">
        <v>-8.2091180799081993</v>
      </c>
      <c r="G28">
        <v>3.467625</v>
      </c>
      <c r="H28">
        <v>18.379000000000001</v>
      </c>
      <c r="I28">
        <v>3.4462777777777802</v>
      </c>
      <c r="J28">
        <v>0.220483995513446</v>
      </c>
      <c r="K28">
        <v>23.861472126454601</v>
      </c>
      <c r="L28">
        <v>12.300005220575899</v>
      </c>
      <c r="M28">
        <v>0.43226033048047402</v>
      </c>
      <c r="N28">
        <v>2061.6311917256799</v>
      </c>
      <c r="O28">
        <v>1062.7204510577601</v>
      </c>
      <c r="P28">
        <v>37347.292553512998</v>
      </c>
      <c r="Q28">
        <v>4194.8106825825998</v>
      </c>
      <c r="R28">
        <v>0.25036567223065298</v>
      </c>
      <c r="S28">
        <v>1050.2365964251201</v>
      </c>
    </row>
    <row r="29" spans="1:19" x14ac:dyDescent="0.75">
      <c r="A29" s="1">
        <v>45236</v>
      </c>
      <c r="B29">
        <v>0.12403712817403</v>
      </c>
      <c r="C29">
        <v>-9.1291136581633605</v>
      </c>
      <c r="D29">
        <v>7.05890603586694</v>
      </c>
      <c r="E29" t="s">
        <v>20</v>
      </c>
      <c r="F29">
        <v>-9.0050765299893296</v>
      </c>
      <c r="G29">
        <v>3.4272499999999999</v>
      </c>
      <c r="H29">
        <v>18.093</v>
      </c>
      <c r="I29">
        <v>3.4034444444444398</v>
      </c>
      <c r="J29">
        <v>0.21127204527136301</v>
      </c>
      <c r="K29">
        <v>21.0712898105661</v>
      </c>
      <c r="L29">
        <v>11.859334682401499</v>
      </c>
      <c r="M29">
        <v>0.423285086290768</v>
      </c>
      <c r="N29">
        <v>1820.55943963291</v>
      </c>
      <c r="O29">
        <v>1024.64651655949</v>
      </c>
      <c r="P29">
        <v>36571.831455522297</v>
      </c>
      <c r="Q29">
        <v>3626.6642293845998</v>
      </c>
      <c r="R29">
        <v>0.235622151122304</v>
      </c>
      <c r="S29">
        <v>854.52242712591101</v>
      </c>
    </row>
    <row r="30" spans="1:19" x14ac:dyDescent="0.75">
      <c r="A30" s="1">
        <v>45237</v>
      </c>
      <c r="B30">
        <v>0.12934622611872501</v>
      </c>
      <c r="C30">
        <v>-8.12347383428183</v>
      </c>
      <c r="D30">
        <v>6.4474863791621502</v>
      </c>
      <c r="E30" t="s">
        <v>20</v>
      </c>
      <c r="F30">
        <v>-7.9941276081631001</v>
      </c>
      <c r="G30">
        <v>3.45</v>
      </c>
      <c r="H30">
        <v>17.966000000000001</v>
      </c>
      <c r="I30">
        <v>3.4513333333333298</v>
      </c>
      <c r="J30">
        <v>0.204957544005998</v>
      </c>
      <c r="K30">
        <v>19.296915576617799</v>
      </c>
      <c r="L30">
        <v>11.463425536045101</v>
      </c>
      <c r="M30">
        <v>0.41700899438774502</v>
      </c>
      <c r="N30">
        <v>1667.25350581978</v>
      </c>
      <c r="O30">
        <v>990.43996631430002</v>
      </c>
      <c r="P30">
        <v>36029.577115101201</v>
      </c>
      <c r="Q30">
        <v>3911.71109133049</v>
      </c>
      <c r="R30">
        <v>0.225776411586328</v>
      </c>
      <c r="S30">
        <v>883.17209336303699</v>
      </c>
    </row>
    <row r="31" spans="1:19" x14ac:dyDescent="0.75">
      <c r="A31" s="1">
        <v>45238</v>
      </c>
      <c r="B31">
        <v>0.12909655367074299</v>
      </c>
      <c r="C31">
        <v>-8.5020080690067701</v>
      </c>
      <c r="D31">
        <v>7.0830467158359696</v>
      </c>
      <c r="E31" t="s">
        <v>20</v>
      </c>
      <c r="F31">
        <v>-8.3729115153360301</v>
      </c>
      <c r="G31">
        <v>3.5050833333333302</v>
      </c>
      <c r="H31">
        <v>18.236000000000001</v>
      </c>
      <c r="I31">
        <v>3.4971111111111099</v>
      </c>
      <c r="J31">
        <v>0.19914209676904199</v>
      </c>
      <c r="K31">
        <v>17.7397021809909</v>
      </c>
      <c r="L31">
        <v>11.108070638195001</v>
      </c>
      <c r="M31">
        <v>0.41115461035116102</v>
      </c>
      <c r="N31">
        <v>1532.71026843762</v>
      </c>
      <c r="O31">
        <v>959.73730314004501</v>
      </c>
      <c r="P31">
        <v>35523.758334340397</v>
      </c>
      <c r="Q31">
        <v>3510.7252333155602</v>
      </c>
      <c r="R31">
        <v>0.21665967360361901</v>
      </c>
      <c r="S31">
        <v>760.63258316213705</v>
      </c>
    </row>
    <row r="32" spans="1:19" x14ac:dyDescent="0.75">
      <c r="A32" s="1">
        <v>45239</v>
      </c>
      <c r="B32">
        <v>0.13763366679779801</v>
      </c>
      <c r="C32">
        <v>-8.0592705943045004</v>
      </c>
      <c r="D32">
        <v>6.8085481112003796</v>
      </c>
      <c r="E32" t="s">
        <v>20</v>
      </c>
      <c r="F32">
        <v>-7.9216369275067002</v>
      </c>
      <c r="G32">
        <v>3.4893749999999999</v>
      </c>
      <c r="H32">
        <v>18.489000000000001</v>
      </c>
      <c r="I32">
        <v>3.4862222222222199</v>
      </c>
      <c r="J32">
        <v>0.194521443588342</v>
      </c>
      <c r="K32">
        <v>16.572496629453301</v>
      </c>
      <c r="L32">
        <v>10.7893043112096</v>
      </c>
      <c r="M32">
        <v>0.40643003602119299</v>
      </c>
      <c r="N32">
        <v>1431.8637087847701</v>
      </c>
      <c r="O32">
        <v>932.19589248851003</v>
      </c>
      <c r="P32">
        <v>35115.555112230999</v>
      </c>
      <c r="Q32">
        <v>3610.2981394998201</v>
      </c>
      <c r="R32">
        <v>0.20962093786609501</v>
      </c>
      <c r="S32">
        <v>756.79408197817099</v>
      </c>
    </row>
    <row r="33" spans="1:19" x14ac:dyDescent="0.75">
      <c r="A33" s="1">
        <v>45240</v>
      </c>
      <c r="B33">
        <v>0.135598860833268</v>
      </c>
      <c r="C33">
        <v>-8.4391649266048105</v>
      </c>
      <c r="D33">
        <v>7.2591892596259902</v>
      </c>
      <c r="E33" t="s">
        <v>20</v>
      </c>
      <c r="F33">
        <v>-8.3035660657715393</v>
      </c>
      <c r="G33">
        <v>3.40241666666667</v>
      </c>
      <c r="H33">
        <v>18.901</v>
      </c>
      <c r="I33">
        <v>3.4016666666666699</v>
      </c>
      <c r="J33">
        <v>0.18757285014569999</v>
      </c>
      <c r="K33">
        <v>14.908527373383899</v>
      </c>
      <c r="L33">
        <v>10.501725485524</v>
      </c>
      <c r="M33">
        <v>0.39922349541091201</v>
      </c>
      <c r="N33">
        <v>1288.09676506037</v>
      </c>
      <c r="O33">
        <v>907.34908194927596</v>
      </c>
      <c r="P33">
        <v>34492.910003502802</v>
      </c>
      <c r="Q33">
        <v>3326.1341093200799</v>
      </c>
      <c r="R33">
        <v>0.199089647083663</v>
      </c>
      <c r="S33">
        <v>662.19886597746699</v>
      </c>
    </row>
    <row r="34" spans="1:19" x14ac:dyDescent="0.75">
      <c r="A34" s="1">
        <v>45241</v>
      </c>
      <c r="B34">
        <v>0.13515231006525799</v>
      </c>
      <c r="C34">
        <v>-8.7016447815421802</v>
      </c>
      <c r="D34">
        <v>7.3950678517296202</v>
      </c>
      <c r="E34" t="s">
        <v>20</v>
      </c>
      <c r="F34">
        <v>-8.5664924714769199</v>
      </c>
      <c r="G34">
        <v>3.196625</v>
      </c>
      <c r="H34">
        <v>19.648</v>
      </c>
      <c r="I34">
        <v>3.2104444444444402</v>
      </c>
      <c r="J34">
        <v>0.183800588813299</v>
      </c>
      <c r="K34">
        <v>14.048805495157101</v>
      </c>
      <c r="L34">
        <v>10.2412609353288</v>
      </c>
      <c r="M34">
        <v>0.39525922946389502</v>
      </c>
      <c r="N34">
        <v>1213.81679478157</v>
      </c>
      <c r="O34">
        <v>884.84494481240995</v>
      </c>
      <c r="P34">
        <v>34150.397425680501</v>
      </c>
      <c r="Q34">
        <v>3232.5975470779699</v>
      </c>
      <c r="R34">
        <v>0.193379521713062</v>
      </c>
      <c r="S34">
        <v>625.11816754475603</v>
      </c>
    </row>
    <row r="35" spans="1:19" x14ac:dyDescent="0.75">
      <c r="A35" s="1">
        <v>45242</v>
      </c>
      <c r="B35">
        <v>0.10577772408283299</v>
      </c>
      <c r="C35">
        <v>-7.7708196297559402</v>
      </c>
      <c r="D35">
        <v>6.5399552096417297</v>
      </c>
      <c r="E35" t="s">
        <v>20</v>
      </c>
      <c r="F35">
        <v>-7.6650419056731103</v>
      </c>
      <c r="G35">
        <v>3.1308750000000001</v>
      </c>
      <c r="H35">
        <v>19.959</v>
      </c>
      <c r="I35">
        <v>3.1520555555555601</v>
      </c>
      <c r="J35">
        <v>0.18470475728830299</v>
      </c>
      <c r="K35">
        <v>14.237093615044101</v>
      </c>
      <c r="L35">
        <v>10.004704572606</v>
      </c>
      <c r="M35">
        <v>0.39623173522298999</v>
      </c>
      <c r="N35">
        <v>1230.08488833981</v>
      </c>
      <c r="O35">
        <v>864.40647507315998</v>
      </c>
      <c r="P35">
        <v>34234.421923266404</v>
      </c>
      <c r="Q35">
        <v>3664.2598577673202</v>
      </c>
      <c r="R35">
        <v>0.19453332191448</v>
      </c>
      <c r="S35">
        <v>712.82064248935706</v>
      </c>
    </row>
    <row r="36" spans="1:19" x14ac:dyDescent="0.75">
      <c r="A36" s="1">
        <v>45243</v>
      </c>
      <c r="B36">
        <v>8.8678115749804595E-2</v>
      </c>
      <c r="C36">
        <v>-8.2410728559549398</v>
      </c>
      <c r="D36">
        <v>7.00371943626625</v>
      </c>
      <c r="E36" t="s">
        <v>20</v>
      </c>
      <c r="F36">
        <v>-8.1523947402051409</v>
      </c>
      <c r="G36">
        <v>3.121375</v>
      </c>
      <c r="H36">
        <v>18.413</v>
      </c>
      <c r="I36">
        <v>3.1265000000000001</v>
      </c>
      <c r="J36">
        <v>0.18372719851500299</v>
      </c>
      <c r="K36">
        <v>14.020353299644899</v>
      </c>
      <c r="L36">
        <v>9.7882119826064695</v>
      </c>
      <c r="M36">
        <v>0.39519721291786503</v>
      </c>
      <c r="N36">
        <v>1211.35852508932</v>
      </c>
      <c r="O36">
        <v>845.70151529719897</v>
      </c>
      <c r="P36">
        <v>34145.0391961036</v>
      </c>
      <c r="Q36">
        <v>3412.6905931592601</v>
      </c>
      <c r="R36">
        <v>0.19309526820304901</v>
      </c>
      <c r="S36">
        <v>658.97440538011097</v>
      </c>
    </row>
    <row r="37" spans="1:19" x14ac:dyDescent="0.75">
      <c r="A37" s="1">
        <v>45244</v>
      </c>
      <c r="B37">
        <v>0.21331925702885901</v>
      </c>
      <c r="C37">
        <v>-7.1102717907521997</v>
      </c>
      <c r="D37">
        <v>5.7290723502566898</v>
      </c>
      <c r="E37" t="s">
        <v>20</v>
      </c>
      <c r="F37">
        <v>-6.8969525337233399</v>
      </c>
      <c r="G37">
        <v>3.2121249999999999</v>
      </c>
      <c r="H37">
        <v>18.329000000000001</v>
      </c>
      <c r="I37">
        <v>3.2438888888888902</v>
      </c>
      <c r="J37">
        <v>0.18914340252923001</v>
      </c>
      <c r="K37">
        <v>15.394001253987399</v>
      </c>
      <c r="L37">
        <v>9.5889765098870399</v>
      </c>
      <c r="M37">
        <v>0.40072848045139903</v>
      </c>
      <c r="N37">
        <v>1330.04170834451</v>
      </c>
      <c r="O37">
        <v>828.48757045424099</v>
      </c>
      <c r="P37">
        <v>34622.940711000803</v>
      </c>
      <c r="Q37">
        <v>4230.3634892330701</v>
      </c>
      <c r="R37">
        <v>0.203100087574487</v>
      </c>
      <c r="S37">
        <v>859.18719513514895</v>
      </c>
    </row>
    <row r="38" spans="1:19" x14ac:dyDescent="0.75">
      <c r="A38" s="1">
        <v>45245</v>
      </c>
      <c r="B38">
        <v>9.99250134959387E-2</v>
      </c>
      <c r="C38">
        <v>-7.8510367481249004</v>
      </c>
      <c r="D38">
        <v>5.7529486202548998</v>
      </c>
      <c r="E38" t="s">
        <v>20</v>
      </c>
      <c r="F38">
        <v>-7.7511117346289602</v>
      </c>
      <c r="G38">
        <v>3.1191249999999999</v>
      </c>
      <c r="H38">
        <v>18.606999999999999</v>
      </c>
      <c r="I38">
        <v>3.13961111111111</v>
      </c>
      <c r="J38">
        <v>0.21079060491454299</v>
      </c>
      <c r="K38">
        <v>20.9735554205932</v>
      </c>
      <c r="L38">
        <v>9.4031417417872092</v>
      </c>
      <c r="M38">
        <v>0.42277580917718799</v>
      </c>
      <c r="N38">
        <v>1812.1151883392499</v>
      </c>
      <c r="O38">
        <v>812.43144649041506</v>
      </c>
      <c r="P38">
        <v>36527.829912909001</v>
      </c>
      <c r="Q38">
        <v>4444.5870503712904</v>
      </c>
      <c r="R38">
        <v>0.23534809015553601</v>
      </c>
      <c r="S38">
        <v>1046.02507383491</v>
      </c>
    </row>
    <row r="39" spans="1:19" x14ac:dyDescent="0.75">
      <c r="A39" s="1">
        <v>45246</v>
      </c>
      <c r="B39">
        <v>0.117160933909791</v>
      </c>
      <c r="C39">
        <v>-7.7522296446300896</v>
      </c>
      <c r="D39">
        <v>5.5184707579241499</v>
      </c>
      <c r="E39" t="s">
        <v>20</v>
      </c>
      <c r="F39">
        <v>-7.6350687107202901</v>
      </c>
      <c r="G39">
        <v>3.2151666666666698</v>
      </c>
      <c r="H39">
        <v>19.010000000000002</v>
      </c>
      <c r="I39">
        <v>3.2434444444444401</v>
      </c>
      <c r="J39">
        <v>0.21911012912934899</v>
      </c>
      <c r="K39">
        <v>23.441126373429501</v>
      </c>
      <c r="L39">
        <v>9.2256175526709292</v>
      </c>
      <c r="M39">
        <v>0.430926937025845</v>
      </c>
      <c r="N39">
        <v>2025.3133186643099</v>
      </c>
      <c r="O39">
        <v>797.09335655076802</v>
      </c>
      <c r="P39">
        <v>37232.087359033001</v>
      </c>
      <c r="Q39">
        <v>4722.7687333305503</v>
      </c>
      <c r="R39">
        <v>0.24826321714212601</v>
      </c>
      <c r="S39">
        <v>1172.48975955488</v>
      </c>
    </row>
    <row r="40" spans="1:19" x14ac:dyDescent="0.75">
      <c r="A40" s="1">
        <v>45247</v>
      </c>
      <c r="B40">
        <v>8.07980549718465E-2</v>
      </c>
      <c r="C40">
        <v>-9.3861642806788499</v>
      </c>
      <c r="D40">
        <v>5.8570054729558798</v>
      </c>
      <c r="E40" t="s">
        <v>20</v>
      </c>
      <c r="F40">
        <v>-9.3053662257069991</v>
      </c>
      <c r="G40">
        <v>3.2352083333333299</v>
      </c>
      <c r="H40">
        <v>18.977</v>
      </c>
      <c r="I40">
        <v>3.2742777777777801</v>
      </c>
      <c r="J40">
        <v>0.24953481119083501</v>
      </c>
      <c r="K40">
        <v>34.178212758246801</v>
      </c>
      <c r="L40">
        <v>9.0536904119951505</v>
      </c>
      <c r="M40">
        <v>0.45940742367944798</v>
      </c>
      <c r="N40">
        <v>2952.9975823125201</v>
      </c>
      <c r="O40">
        <v>782.23885159638098</v>
      </c>
      <c r="P40">
        <v>39692.801405904298</v>
      </c>
      <c r="Q40">
        <v>4743.8850983539696</v>
      </c>
      <c r="R40">
        <v>0.29813996763018402</v>
      </c>
      <c r="S40">
        <v>1414.34174966456</v>
      </c>
    </row>
    <row r="41" spans="1:19" x14ac:dyDescent="0.75">
      <c r="A41" s="1">
        <v>45248</v>
      </c>
      <c r="B41">
        <v>9.6340022373246001E-2</v>
      </c>
      <c r="C41">
        <v>-7.5849907304437902</v>
      </c>
      <c r="D41">
        <v>4.9751263000938204</v>
      </c>
      <c r="E41" t="s">
        <v>20</v>
      </c>
      <c r="F41">
        <v>-7.4886507080705398</v>
      </c>
      <c r="G41">
        <v>3.0821666666666698</v>
      </c>
      <c r="H41">
        <v>19.329000000000001</v>
      </c>
      <c r="I41">
        <v>3.1047777777777799</v>
      </c>
      <c r="J41">
        <v>0.23803895486578899</v>
      </c>
      <c r="K41">
        <v>29.831048207112801</v>
      </c>
      <c r="L41">
        <v>8.8834421935301204</v>
      </c>
      <c r="M41">
        <v>0.44884982404019402</v>
      </c>
      <c r="N41">
        <v>2577.40256509455</v>
      </c>
      <c r="O41">
        <v>767.52940552100301</v>
      </c>
      <c r="P41">
        <v>38780.624797072698</v>
      </c>
      <c r="Q41">
        <v>5456.4318010256302</v>
      </c>
      <c r="R41">
        <v>0.27920257534758902</v>
      </c>
      <c r="S41">
        <v>1523.44981105484</v>
      </c>
    </row>
    <row r="42" spans="1:19" x14ac:dyDescent="0.75">
      <c r="A42" s="1">
        <v>45249</v>
      </c>
      <c r="B42">
        <v>0.102213401086615</v>
      </c>
      <c r="C42">
        <v>-7.0023472737187697</v>
      </c>
      <c r="D42">
        <v>5.0081378230964404</v>
      </c>
      <c r="E42" t="s">
        <v>20</v>
      </c>
      <c r="F42">
        <v>-6.9001338726321499</v>
      </c>
      <c r="G42">
        <v>3.21054166666667</v>
      </c>
      <c r="H42">
        <v>19.454999999999998</v>
      </c>
      <c r="I42">
        <v>3.2094999999999998</v>
      </c>
      <c r="J42">
        <v>0.22373371792198099</v>
      </c>
      <c r="K42">
        <v>24.937673997485302</v>
      </c>
      <c r="L42">
        <v>8.7118034613527993</v>
      </c>
      <c r="M42">
        <v>0.435352097740341</v>
      </c>
      <c r="N42">
        <v>2154.61503338273</v>
      </c>
      <c r="O42">
        <v>752.69981906088196</v>
      </c>
      <c r="P42">
        <v>37614.421244765501</v>
      </c>
      <c r="Q42">
        <v>5257.4621149416398</v>
      </c>
      <c r="R42">
        <v>0.25602587682318301</v>
      </c>
      <c r="S42">
        <v>1346.0463478426</v>
      </c>
    </row>
    <row r="43" spans="1:19" x14ac:dyDescent="0.75">
      <c r="A43" s="1">
        <v>45250</v>
      </c>
      <c r="B43">
        <v>0.102297435913938</v>
      </c>
      <c r="C43">
        <v>-8.0019979592827308</v>
      </c>
      <c r="D43">
        <v>6.0338415161269703</v>
      </c>
      <c r="E43" t="s">
        <v>20</v>
      </c>
      <c r="F43">
        <v>-7.8997005233687903</v>
      </c>
      <c r="G43">
        <v>3.2445416666666702</v>
      </c>
      <c r="H43">
        <v>19.152999999999999</v>
      </c>
      <c r="I43">
        <v>3.2716666666666701</v>
      </c>
      <c r="J43">
        <v>0.210315035781587</v>
      </c>
      <c r="K43">
        <v>20.790158277577099</v>
      </c>
      <c r="L43">
        <v>8.5353610185594704</v>
      </c>
      <c r="M43">
        <v>0.422345283170529</v>
      </c>
      <c r="N43">
        <v>1796.26967518266</v>
      </c>
      <c r="O43">
        <v>737.45519200353795</v>
      </c>
      <c r="P43">
        <v>36490.632465933697</v>
      </c>
      <c r="Q43">
        <v>4233.3632161007699</v>
      </c>
      <c r="R43">
        <v>0.23405602503734799</v>
      </c>
      <c r="S43">
        <v>990.84416689986801</v>
      </c>
    </row>
    <row r="44" spans="1:19" x14ac:dyDescent="0.75">
      <c r="A44" s="1">
        <v>45251</v>
      </c>
      <c r="B44">
        <v>0.121124980139863</v>
      </c>
      <c r="C44">
        <v>-8.54411975733567</v>
      </c>
      <c r="D44">
        <v>6.4484182958329699</v>
      </c>
      <c r="E44" t="s">
        <v>20</v>
      </c>
      <c r="F44">
        <v>-8.4229947771958091</v>
      </c>
      <c r="G44">
        <v>3.1429999999999998</v>
      </c>
      <c r="H44">
        <v>19.530999999999999</v>
      </c>
      <c r="I44">
        <v>3.16255555555556</v>
      </c>
      <c r="J44">
        <v>0.20582061391395501</v>
      </c>
      <c r="K44">
        <v>19.519005210178399</v>
      </c>
      <c r="L44">
        <v>8.3513946860320303</v>
      </c>
      <c r="M44">
        <v>0.417886532059694</v>
      </c>
      <c r="N44">
        <v>1686.44205015941</v>
      </c>
      <c r="O44">
        <v>721.56050087316805</v>
      </c>
      <c r="P44">
        <v>36105.396369957598</v>
      </c>
      <c r="Q44">
        <v>3919.3762407290601</v>
      </c>
      <c r="R44">
        <v>0.226939678936429</v>
      </c>
      <c r="S44">
        <v>889.46198570211902</v>
      </c>
    </row>
    <row r="45" spans="1:19" x14ac:dyDescent="0.75">
      <c r="A45" s="1">
        <v>45252</v>
      </c>
      <c r="B45">
        <v>0.101667730450264</v>
      </c>
      <c r="C45">
        <v>-8.9799495588306595</v>
      </c>
      <c r="D45">
        <v>6.6903566031062596</v>
      </c>
      <c r="E45" t="s">
        <v>20</v>
      </c>
      <c r="F45">
        <v>-8.8782818283804001</v>
      </c>
      <c r="G45">
        <v>3.0295416666666699</v>
      </c>
      <c r="H45">
        <v>19.815999999999999</v>
      </c>
      <c r="I45">
        <v>3.0640000000000001</v>
      </c>
      <c r="J45">
        <v>0.20529513937815799</v>
      </c>
      <c r="K45">
        <v>19.369389428870001</v>
      </c>
      <c r="L45">
        <v>8.1583892254468697</v>
      </c>
      <c r="M45">
        <v>0.41736625012864498</v>
      </c>
      <c r="N45">
        <v>1673.51524665437</v>
      </c>
      <c r="O45">
        <v>704.88482907860998</v>
      </c>
      <c r="P45">
        <v>36060.444011115003</v>
      </c>
      <c r="Q45">
        <v>3772.93951656639</v>
      </c>
      <c r="R45">
        <v>0.22605802890268301</v>
      </c>
      <c r="S45">
        <v>852.90327028403999</v>
      </c>
    </row>
    <row r="46" spans="1:19" x14ac:dyDescent="0.75">
      <c r="A46" s="1">
        <v>45253</v>
      </c>
      <c r="B46">
        <v>0.10129233585254099</v>
      </c>
      <c r="C46">
        <v>-7.1123038311206503</v>
      </c>
      <c r="D46">
        <v>5.6527801972536702</v>
      </c>
      <c r="E46" t="s">
        <v>20</v>
      </c>
      <c r="F46">
        <v>-7.01101149526811</v>
      </c>
      <c r="G46">
        <v>3.2768333333333302</v>
      </c>
      <c r="H46">
        <v>19.010000000000002</v>
      </c>
      <c r="I46">
        <v>3.2727222222222201</v>
      </c>
      <c r="J46">
        <v>0.203545514666787</v>
      </c>
      <c r="K46">
        <v>18.903469379488499</v>
      </c>
      <c r="L46">
        <v>7.9542611384420496</v>
      </c>
      <c r="M46">
        <v>0.415602775691436</v>
      </c>
      <c r="N46">
        <v>1633.2597543878001</v>
      </c>
      <c r="O46">
        <v>687.24816236139304</v>
      </c>
      <c r="P46">
        <v>35908.079819740102</v>
      </c>
      <c r="Q46">
        <v>4446.6006100909199</v>
      </c>
      <c r="R46">
        <v>0.223460899201777</v>
      </c>
      <c r="S46">
        <v>993.641370722087</v>
      </c>
    </row>
    <row r="47" spans="1:19" x14ac:dyDescent="0.75">
      <c r="A47" s="1">
        <v>45254</v>
      </c>
      <c r="B47">
        <v>0.121963950922738</v>
      </c>
      <c r="C47">
        <v>-8.0682470632172407</v>
      </c>
      <c r="D47">
        <v>6.5306901147730603</v>
      </c>
      <c r="E47" t="s">
        <v>20</v>
      </c>
      <c r="F47">
        <v>-7.9462831122945001</v>
      </c>
      <c r="G47">
        <v>3.39879166666667</v>
      </c>
      <c r="H47">
        <v>17.390999999999998</v>
      </c>
      <c r="I47">
        <v>3.3976666666666699</v>
      </c>
      <c r="J47">
        <v>0.19942978673836201</v>
      </c>
      <c r="K47">
        <v>17.7988977825974</v>
      </c>
      <c r="L47">
        <v>7.70034283134913</v>
      </c>
      <c r="M47">
        <v>0.411462602734466</v>
      </c>
      <c r="N47">
        <v>1537.8247684164101</v>
      </c>
      <c r="O47">
        <v>665.30962062856497</v>
      </c>
      <c r="P47">
        <v>35550.368876257802</v>
      </c>
      <c r="Q47">
        <v>3810.5097280741602</v>
      </c>
      <c r="R47">
        <v>0.21690657419633</v>
      </c>
      <c r="S47">
        <v>826.524611058353</v>
      </c>
    </row>
    <row r="48" spans="1:19" x14ac:dyDescent="0.75">
      <c r="A48" s="1">
        <v>45255</v>
      </c>
      <c r="B48">
        <v>0.124766571043576</v>
      </c>
      <c r="C48">
        <v>-8.3283128668319293</v>
      </c>
      <c r="D48">
        <v>6.8966634068935102</v>
      </c>
      <c r="E48" t="s">
        <v>20</v>
      </c>
      <c r="F48">
        <v>-8.2035462957883496</v>
      </c>
      <c r="G48">
        <v>3.4381249999999999</v>
      </c>
      <c r="H48">
        <v>17.433</v>
      </c>
      <c r="I48">
        <v>3.4300526315789499</v>
      </c>
      <c r="J48">
        <v>0.19752457459460401</v>
      </c>
      <c r="K48">
        <v>17.314178709733302</v>
      </c>
      <c r="L48">
        <v>7.3768891037262403</v>
      </c>
      <c r="M48">
        <v>0.40951878446335099</v>
      </c>
      <c r="N48">
        <v>1495.94504052096</v>
      </c>
      <c r="O48">
        <v>637.36321856194695</v>
      </c>
      <c r="P48">
        <v>35382.4229776336</v>
      </c>
      <c r="Q48">
        <v>3591.2577754029799</v>
      </c>
      <c r="R48">
        <v>0.214045909742445</v>
      </c>
      <c r="S48">
        <v>768.69403765575998</v>
      </c>
    </row>
    <row r="49" spans="1:19" x14ac:dyDescent="0.75">
      <c r="A49" s="1">
        <v>45258</v>
      </c>
      <c r="B49">
        <v>9.8097379874873505E-2</v>
      </c>
      <c r="C49">
        <v>-6.9512387600133598</v>
      </c>
      <c r="D49">
        <v>4.1285022465035803</v>
      </c>
      <c r="E49" t="s">
        <v>20</v>
      </c>
      <c r="F49">
        <v>-6.8531413801384904</v>
      </c>
      <c r="G49">
        <v>3.3381249999999998</v>
      </c>
      <c r="H49">
        <v>16.789000000000001</v>
      </c>
      <c r="I49">
        <v>3.3484210526315801</v>
      </c>
      <c r="J49">
        <v>0.276486664336965</v>
      </c>
      <c r="K49">
        <v>46.105815649379998</v>
      </c>
      <c r="L49">
        <v>6.4429021727847902</v>
      </c>
      <c r="M49">
        <v>0.48315531681239798</v>
      </c>
      <c r="N49">
        <v>3983.5424721064301</v>
      </c>
      <c r="O49">
        <v>556.66674772860597</v>
      </c>
      <c r="P49">
        <v>41744.619372591202</v>
      </c>
      <c r="Q49">
        <v>7077.9260409901099</v>
      </c>
      <c r="R49">
        <v>0.34513957295584702</v>
      </c>
      <c r="S49">
        <v>2442.8723712003998</v>
      </c>
    </row>
    <row r="50" spans="1:19" x14ac:dyDescent="0.75">
      <c r="A50" s="1">
        <v>45259</v>
      </c>
      <c r="B50">
        <v>9.6486956151441997E-2</v>
      </c>
      <c r="C50">
        <v>-7.6611001172861704</v>
      </c>
      <c r="D50">
        <v>4.9446019735526798</v>
      </c>
      <c r="E50" t="s">
        <v>20</v>
      </c>
      <c r="F50">
        <v>-7.56461316113473</v>
      </c>
      <c r="G50">
        <v>3.619875</v>
      </c>
      <c r="H50">
        <v>15.276999999999999</v>
      </c>
      <c r="I50">
        <v>3.61542105263158</v>
      </c>
      <c r="J50">
        <v>0.26265112530225099</v>
      </c>
      <c r="K50">
        <v>39.6982949498463</v>
      </c>
      <c r="L50">
        <v>6.1464369218135202</v>
      </c>
      <c r="M50">
        <v>0.47111495781738399</v>
      </c>
      <c r="N50">
        <v>3429.9326836667201</v>
      </c>
      <c r="O50">
        <v>531.05215004468801</v>
      </c>
      <c r="P50">
        <v>40704.332355421997</v>
      </c>
      <c r="Q50">
        <v>5762.4522259216801</v>
      </c>
      <c r="R50">
        <v>0.32082314736765599</v>
      </c>
      <c r="S50">
        <v>1848.7280596759499</v>
      </c>
    </row>
    <row r="51" spans="1:19" x14ac:dyDescent="0.75">
      <c r="A51" s="1">
        <v>45260</v>
      </c>
      <c r="B51">
        <v>0.13497692165526001</v>
      </c>
      <c r="C51">
        <v>-8.3272365986537995</v>
      </c>
      <c r="D51">
        <v>5.6636199337878601</v>
      </c>
      <c r="E51" t="s">
        <v>20</v>
      </c>
      <c r="F51">
        <v>-8.1922596769985407</v>
      </c>
      <c r="G51">
        <v>3.80108333333333</v>
      </c>
      <c r="H51">
        <v>14.44</v>
      </c>
      <c r="I51">
        <v>3.7933684210526302</v>
      </c>
      <c r="J51">
        <v>0.25079418870959003</v>
      </c>
      <c r="K51">
        <v>34.7022438664413</v>
      </c>
      <c r="L51">
        <v>5.8596854172397999</v>
      </c>
      <c r="M51">
        <v>0.46053449562300902</v>
      </c>
      <c r="N51">
        <v>2998.27387006052</v>
      </c>
      <c r="O51">
        <v>506.27682004951799</v>
      </c>
      <c r="P51">
        <v>39790.180421828001</v>
      </c>
      <c r="Q51">
        <v>4917.9017343861997</v>
      </c>
      <c r="R51">
        <v>0.30045395315414902</v>
      </c>
      <c r="S51">
        <v>1477.6030173199799</v>
      </c>
    </row>
    <row r="52" spans="1:19" x14ac:dyDescent="0.75">
      <c r="A52" s="1">
        <v>45261</v>
      </c>
      <c r="B52">
        <v>0.12251108472946</v>
      </c>
      <c r="C52">
        <v>-9.2549485463182108</v>
      </c>
      <c r="D52">
        <v>6.4651241161419302</v>
      </c>
      <c r="E52" t="s">
        <v>20</v>
      </c>
      <c r="F52">
        <v>-9.1324374615887507</v>
      </c>
      <c r="G52">
        <v>3.683125</v>
      </c>
      <c r="H52">
        <v>15.156000000000001</v>
      </c>
      <c r="I52">
        <v>3.6901052631578901</v>
      </c>
      <c r="J52">
        <v>0.24048725521693501</v>
      </c>
      <c r="K52">
        <v>30.7080662095774</v>
      </c>
      <c r="L52">
        <v>5.5842997892595196</v>
      </c>
      <c r="M52">
        <v>0.45113049258392002</v>
      </c>
      <c r="N52">
        <v>2653.1769205074802</v>
      </c>
      <c r="O52">
        <v>482.48350179202299</v>
      </c>
      <c r="P52">
        <v>38977.674559250598</v>
      </c>
      <c r="Q52">
        <v>4220.2395037324404</v>
      </c>
      <c r="R52">
        <v>0.283046780911475</v>
      </c>
      <c r="S52">
        <v>1194.5252062069101</v>
      </c>
    </row>
    <row r="53" spans="1:19" x14ac:dyDescent="0.75">
      <c r="A53" s="1">
        <v>45262</v>
      </c>
      <c r="B53">
        <v>0.107870971300854</v>
      </c>
      <c r="C53">
        <v>-9.1511162105901107</v>
      </c>
      <c r="D53">
        <v>6.3584435798119401</v>
      </c>
      <c r="E53" t="s">
        <v>20</v>
      </c>
      <c r="F53">
        <v>-9.0432452392892593</v>
      </c>
      <c r="G53">
        <v>3.5587499999999999</v>
      </c>
      <c r="H53">
        <v>16.405999999999999</v>
      </c>
      <c r="I53">
        <v>3.57805263157895</v>
      </c>
      <c r="J53">
        <v>0.23658582695953301</v>
      </c>
      <c r="K53">
        <v>29.271438466314201</v>
      </c>
      <c r="L53">
        <v>5.3216881429919001</v>
      </c>
      <c r="M53">
        <v>0.44752258858610899</v>
      </c>
      <c r="N53">
        <v>2529.0522834895501</v>
      </c>
      <c r="O53">
        <v>459.7938555545</v>
      </c>
      <c r="P53">
        <v>38665.951653839802</v>
      </c>
      <c r="Q53">
        <v>4256.7282099699596</v>
      </c>
      <c r="R53">
        <v>0.27646514127455102</v>
      </c>
      <c r="S53">
        <v>1176.8369659367099</v>
      </c>
    </row>
    <row r="54" spans="1:19" x14ac:dyDescent="0.75">
      <c r="A54" s="1">
        <v>45263</v>
      </c>
      <c r="B54">
        <v>0.14517852100208101</v>
      </c>
      <c r="C54">
        <v>-8.4613353412020391</v>
      </c>
      <c r="D54">
        <v>5.6668721995153897</v>
      </c>
      <c r="E54" t="s">
        <v>20</v>
      </c>
      <c r="F54">
        <v>-8.3161568201999501</v>
      </c>
      <c r="G54">
        <v>3.4648750000000001</v>
      </c>
      <c r="H54">
        <v>17.213000000000001</v>
      </c>
      <c r="I54">
        <v>3.4844210526315802</v>
      </c>
      <c r="J54">
        <v>0.23879340713226899</v>
      </c>
      <c r="K54">
        <v>30.094744364163901</v>
      </c>
      <c r="L54">
        <v>5.0729837982437802</v>
      </c>
      <c r="M54">
        <v>0.44955697678835599</v>
      </c>
      <c r="N54">
        <v>2600.1859130637599</v>
      </c>
      <c r="O54">
        <v>438.30580016826298</v>
      </c>
      <c r="P54">
        <v>38841.722794513902</v>
      </c>
      <c r="Q54">
        <v>4797.9211457221299</v>
      </c>
      <c r="R54">
        <v>0.280339041737735</v>
      </c>
      <c r="S54">
        <v>1345.0446163249601</v>
      </c>
    </row>
    <row r="55" spans="1:19" x14ac:dyDescent="0.75">
      <c r="A55" s="1">
        <v>45264</v>
      </c>
      <c r="B55">
        <v>9.0377682256514102E-2</v>
      </c>
      <c r="C55">
        <v>-8.2280184073512501</v>
      </c>
      <c r="D55">
        <v>5.4890789839490104</v>
      </c>
      <c r="E55" t="s">
        <v>20</v>
      </c>
      <c r="F55">
        <v>-8.1376407250947391</v>
      </c>
      <c r="G55">
        <v>3.4102083333333302</v>
      </c>
      <c r="H55">
        <v>17.542999999999999</v>
      </c>
      <c r="I55">
        <v>3.43947368421053</v>
      </c>
      <c r="J55">
        <v>0.242903263836831</v>
      </c>
      <c r="K55">
        <v>31.598438203639098</v>
      </c>
      <c r="L55">
        <v>4.8391422834770799</v>
      </c>
      <c r="M55">
        <v>0.45336403241219397</v>
      </c>
      <c r="N55">
        <v>2730.1050607944198</v>
      </c>
      <c r="O55">
        <v>418.10189329242002</v>
      </c>
      <c r="P55">
        <v>39170.652400413499</v>
      </c>
      <c r="Q55">
        <v>4995.2745734700802</v>
      </c>
      <c r="R55">
        <v>0.28693610898505501</v>
      </c>
      <c r="S55">
        <v>1433.32464942348</v>
      </c>
    </row>
    <row r="56" spans="1:19" x14ac:dyDescent="0.75">
      <c r="A56" s="1">
        <v>45265</v>
      </c>
      <c r="B56">
        <v>0.124943583743906</v>
      </c>
      <c r="C56">
        <v>-7.1237945776561604</v>
      </c>
      <c r="D56">
        <v>4.8511992165342299</v>
      </c>
      <c r="E56" t="s">
        <v>20</v>
      </c>
      <c r="F56">
        <v>-6.9988509939122503</v>
      </c>
      <c r="G56">
        <v>3.4425833333333302</v>
      </c>
      <c r="H56">
        <v>17.247</v>
      </c>
      <c r="I56">
        <v>3.4592631578947399</v>
      </c>
      <c r="J56">
        <v>0.239456855428863</v>
      </c>
      <c r="K56">
        <v>30.3126795804388</v>
      </c>
      <c r="L56">
        <v>4.6235419309069101</v>
      </c>
      <c r="M56">
        <v>0.45018820743471999</v>
      </c>
      <c r="N56">
        <v>2619.0155157499198</v>
      </c>
      <c r="O56">
        <v>399.474022830357</v>
      </c>
      <c r="P56">
        <v>38896.261122359901</v>
      </c>
      <c r="Q56">
        <v>5612.5056033265901</v>
      </c>
      <c r="R56">
        <v>0.28119198610102802</v>
      </c>
      <c r="S56">
        <v>1578.19159760255</v>
      </c>
    </row>
    <row r="57" spans="1:19" x14ac:dyDescent="0.75">
      <c r="A57" s="1">
        <v>45267</v>
      </c>
      <c r="B57">
        <v>0.13515964956247201</v>
      </c>
      <c r="C57">
        <v>-8.7817692627970505</v>
      </c>
      <c r="D57">
        <v>6.5728116882844096</v>
      </c>
      <c r="E57" t="s">
        <v>20</v>
      </c>
      <c r="F57">
        <v>-8.6466096132345793</v>
      </c>
      <c r="G57">
        <v>3.73270833333333</v>
      </c>
      <c r="H57">
        <v>15.250999999999999</v>
      </c>
      <c r="I57">
        <v>3.7142105263157901</v>
      </c>
      <c r="J57">
        <v>0.226886565136767</v>
      </c>
      <c r="K57">
        <v>25.911383076727098</v>
      </c>
      <c r="L57">
        <v>4.3696775473633496</v>
      </c>
      <c r="M57">
        <v>0.43840590015981301</v>
      </c>
      <c r="N57">
        <v>2238.7434978292199</v>
      </c>
      <c r="O57">
        <v>377.54014009219298</v>
      </c>
      <c r="P57">
        <v>37878.2697738079</v>
      </c>
      <c r="Q57">
        <v>4034.0101160856798</v>
      </c>
      <c r="R57">
        <v>0.26049861843922401</v>
      </c>
      <c r="S57">
        <v>1050.8540620101701</v>
      </c>
    </row>
    <row r="58" spans="1:19" x14ac:dyDescent="0.75">
      <c r="A58" s="1">
        <v>45268</v>
      </c>
      <c r="B58">
        <v>0.146076410164241</v>
      </c>
      <c r="C58">
        <v>-7.9349812288371204</v>
      </c>
      <c r="D58">
        <v>5.8549880572464001</v>
      </c>
      <c r="E58" t="s">
        <v>20</v>
      </c>
      <c r="F58">
        <v>-7.7889048186728802</v>
      </c>
      <c r="G58">
        <v>3.7139166666666701</v>
      </c>
      <c r="H58">
        <v>15.13</v>
      </c>
      <c r="I58">
        <v>3.7322105263157899</v>
      </c>
      <c r="J58">
        <v>0.223630971504368</v>
      </c>
      <c r="K58">
        <v>24.8422459189268</v>
      </c>
      <c r="L58">
        <v>4.4228255912769798</v>
      </c>
      <c r="M58">
        <v>0.435302300974305</v>
      </c>
      <c r="N58">
        <v>2146.3700473952799</v>
      </c>
      <c r="O58">
        <v>382.13213108633101</v>
      </c>
      <c r="P58">
        <v>37610.118804179903</v>
      </c>
      <c r="Q58">
        <v>4496.5220945826404</v>
      </c>
      <c r="R58">
        <v>0.255192521655914</v>
      </c>
      <c r="S58">
        <v>1147.4788119980699</v>
      </c>
    </row>
    <row r="59" spans="1:19" x14ac:dyDescent="0.75">
      <c r="A59" s="1">
        <v>45269</v>
      </c>
      <c r="B59">
        <v>0.20502417375881599</v>
      </c>
      <c r="C59">
        <v>-8.4932952208051908</v>
      </c>
      <c r="D59">
        <v>6.0193306871288801</v>
      </c>
      <c r="E59" t="s">
        <v>20</v>
      </c>
      <c r="F59">
        <v>-8.2882710470463703</v>
      </c>
      <c r="G59">
        <v>3.43808333333333</v>
      </c>
      <c r="H59">
        <v>16.030999999999999</v>
      </c>
      <c r="I59">
        <v>3.4293157894736801</v>
      </c>
      <c r="J59">
        <v>0.22223655583674901</v>
      </c>
      <c r="K59">
        <v>24.4048018116425</v>
      </c>
      <c r="L59">
        <v>4.6110596701768101</v>
      </c>
      <c r="M59">
        <v>0.43395680169782702</v>
      </c>
      <c r="N59">
        <v>2108.57487652591</v>
      </c>
      <c r="O59">
        <v>398.395555503276</v>
      </c>
      <c r="P59">
        <v>37493.867666692197</v>
      </c>
      <c r="Q59">
        <v>4360.2368321125296</v>
      </c>
      <c r="R59">
        <v>0.25305404719302099</v>
      </c>
      <c r="S59">
        <v>1103.3755770861501</v>
      </c>
    </row>
    <row r="60" spans="1:19" x14ac:dyDescent="0.75">
      <c r="A60" s="1">
        <v>45270</v>
      </c>
      <c r="B60">
        <v>0.27180135623139501</v>
      </c>
      <c r="C60">
        <v>-4.0477894432534596</v>
      </c>
      <c r="D60">
        <v>2.4112860919390502</v>
      </c>
      <c r="E60" t="s">
        <v>20</v>
      </c>
      <c r="F60">
        <v>-3.7759880870220699</v>
      </c>
      <c r="G60">
        <v>3.3142916666666702</v>
      </c>
      <c r="H60">
        <v>16.771999999999998</v>
      </c>
      <c r="I60">
        <v>3.3439999999999999</v>
      </c>
      <c r="J60">
        <v>0.23748705982260501</v>
      </c>
      <c r="K60">
        <v>30.7378273825211</v>
      </c>
      <c r="L60">
        <v>4.9293214267912404</v>
      </c>
      <c r="M60">
        <v>0.44764033437044898</v>
      </c>
      <c r="N60">
        <v>2655.7482858498302</v>
      </c>
      <c r="O60">
        <v>425.89337127476398</v>
      </c>
      <c r="P60">
        <v>38676.124889606799</v>
      </c>
      <c r="Q60">
        <v>11227.7375601473</v>
      </c>
      <c r="R60">
        <v>0.28913722269063002</v>
      </c>
      <c r="S60">
        <v>3246.3568552402398</v>
      </c>
    </row>
    <row r="61" spans="1:19" x14ac:dyDescent="0.75">
      <c r="A61" s="1">
        <v>45271</v>
      </c>
      <c r="B61">
        <v>9.9011278377834605E-2</v>
      </c>
      <c r="C61">
        <v>-7.4930141467752804</v>
      </c>
      <c r="D61">
        <v>4.1560372439267903</v>
      </c>
      <c r="E61" t="s">
        <v>20</v>
      </c>
      <c r="F61">
        <v>-7.3940028683974397</v>
      </c>
      <c r="G61">
        <v>3.2270416666666701</v>
      </c>
      <c r="H61">
        <v>17.035</v>
      </c>
      <c r="I61">
        <v>3.2444736842105302</v>
      </c>
      <c r="J61">
        <v>0.285026359446658</v>
      </c>
      <c r="K61">
        <v>50.3667848564357</v>
      </c>
      <c r="L61">
        <v>5.3722153584249899</v>
      </c>
      <c r="M61">
        <v>0.49044034793871599</v>
      </c>
      <c r="N61">
        <v>4351.6902115960502</v>
      </c>
      <c r="O61">
        <v>464.15940696791898</v>
      </c>
      <c r="P61">
        <v>42374.046061905101</v>
      </c>
      <c r="Q61">
        <v>7137.0467833699804</v>
      </c>
      <c r="R61">
        <v>0.36030725843224398</v>
      </c>
      <c r="S61">
        <v>2571.5297598186999</v>
      </c>
    </row>
    <row r="62" spans="1:19" x14ac:dyDescent="0.75">
      <c r="A62" s="1">
        <v>45272</v>
      </c>
      <c r="B62">
        <v>0.10145831426638099</v>
      </c>
      <c r="C62">
        <v>-7.6838459762511002</v>
      </c>
      <c r="D62">
        <v>4.6541828103457297</v>
      </c>
      <c r="E62" t="s">
        <v>20</v>
      </c>
      <c r="F62">
        <v>-7.5823876619847201</v>
      </c>
      <c r="G62">
        <v>3.4749166666666702</v>
      </c>
      <c r="H62">
        <v>14.829000000000001</v>
      </c>
      <c r="I62">
        <v>3.4982105263157899</v>
      </c>
      <c r="J62">
        <v>0.26983750331137002</v>
      </c>
      <c r="K62">
        <v>42.924085906077998</v>
      </c>
      <c r="L62">
        <v>5.9334330074392501</v>
      </c>
      <c r="M62">
        <v>0.47741999671505297</v>
      </c>
      <c r="N62">
        <v>3708.64102228514</v>
      </c>
      <c r="O62">
        <v>512.64861184275105</v>
      </c>
      <c r="P62">
        <v>41249.087716180598</v>
      </c>
      <c r="Q62">
        <v>6203.9594442104799</v>
      </c>
      <c r="R62">
        <v>0.33319474251796799</v>
      </c>
      <c r="S62">
        <v>2067.12666960563</v>
      </c>
    </row>
    <row r="63" spans="1:19" x14ac:dyDescent="0.75">
      <c r="A63" s="1">
        <v>45273</v>
      </c>
      <c r="B63">
        <v>0.114394870433228</v>
      </c>
      <c r="C63">
        <v>-7.5484437147434198</v>
      </c>
      <c r="D63">
        <v>4.7095959121171003</v>
      </c>
      <c r="E63" t="s">
        <v>20</v>
      </c>
      <c r="F63">
        <v>-7.4340488443102002</v>
      </c>
      <c r="G63">
        <v>3.53108333333333</v>
      </c>
      <c r="H63">
        <v>14.846</v>
      </c>
      <c r="I63">
        <v>3.56378947368421</v>
      </c>
      <c r="J63">
        <v>0.26163833918577001</v>
      </c>
      <c r="K63">
        <v>39.240848264871801</v>
      </c>
      <c r="L63">
        <v>6.6059801490797296</v>
      </c>
      <c r="M63">
        <v>0.47022811039101398</v>
      </c>
      <c r="N63">
        <v>3390.40929008492</v>
      </c>
      <c r="O63">
        <v>570.75668488048905</v>
      </c>
      <c r="P63">
        <v>40627.7087377836</v>
      </c>
      <c r="Q63">
        <v>6038.6064212596602</v>
      </c>
      <c r="R63">
        <v>0.31895426614568301</v>
      </c>
      <c r="S63">
        <v>1926.0392796354799</v>
      </c>
    </row>
    <row r="64" spans="1:19" x14ac:dyDescent="0.75">
      <c r="A64" s="1">
        <v>45274</v>
      </c>
      <c r="B64">
        <v>0.11075536689476299</v>
      </c>
      <c r="C64">
        <v>-7.7487391441221298</v>
      </c>
      <c r="D64">
        <v>4.9922708153517901</v>
      </c>
      <c r="E64" t="s">
        <v>20</v>
      </c>
      <c r="F64">
        <v>-7.6379837772273698</v>
      </c>
      <c r="G64">
        <v>3.5581666666666698</v>
      </c>
      <c r="H64">
        <v>14.984</v>
      </c>
      <c r="I64">
        <v>3.59178947368421</v>
      </c>
      <c r="J64">
        <v>0.25434040792323998</v>
      </c>
      <c r="K64">
        <v>36.133138894387002</v>
      </c>
      <c r="L64">
        <v>7.3823671474600596</v>
      </c>
      <c r="M64">
        <v>0.46373511366685599</v>
      </c>
      <c r="N64">
        <v>3121.9032004750302</v>
      </c>
      <c r="O64">
        <v>637.83652154055005</v>
      </c>
      <c r="P64">
        <v>40066.713820816403</v>
      </c>
      <c r="Q64">
        <v>5618.0244846342703</v>
      </c>
      <c r="R64">
        <v>0.30635173579191899</v>
      </c>
      <c r="S64">
        <v>1721.0915525892101</v>
      </c>
    </row>
    <row r="65" spans="1:19" x14ac:dyDescent="0.75">
      <c r="A65" s="1">
        <v>45275</v>
      </c>
      <c r="B65">
        <v>0.10703370757467</v>
      </c>
      <c r="C65">
        <v>-7.1571199472002398</v>
      </c>
      <c r="D65">
        <v>4.54642795505747</v>
      </c>
      <c r="E65" t="s">
        <v>20</v>
      </c>
      <c r="F65">
        <v>-7.0500862396255704</v>
      </c>
      <c r="G65">
        <v>3.5285833333333301</v>
      </c>
      <c r="H65">
        <v>15.259</v>
      </c>
      <c r="I65">
        <v>3.5659473684210501</v>
      </c>
      <c r="J65">
        <v>0.25430811619199001</v>
      </c>
      <c r="K65">
        <v>36.125798024067002</v>
      </c>
      <c r="L65">
        <v>8.2547306806594403</v>
      </c>
      <c r="M65">
        <v>0.463702671436515</v>
      </c>
      <c r="N65">
        <v>3121.2689492793902</v>
      </c>
      <c r="O65">
        <v>713.20873080897604</v>
      </c>
      <c r="P65">
        <v>40063.910812114897</v>
      </c>
      <c r="Q65">
        <v>6168.5212755396897</v>
      </c>
      <c r="R65">
        <v>0.30634982089747298</v>
      </c>
      <c r="S65">
        <v>1889.7253879638399</v>
      </c>
    </row>
    <row r="66" spans="1:19" x14ac:dyDescent="0.75">
      <c r="A66" s="1">
        <v>45277</v>
      </c>
      <c r="B66">
        <v>8.8208950331484903E-2</v>
      </c>
      <c r="C66">
        <v>-6.8274197238910803</v>
      </c>
      <c r="D66">
        <v>0.97687028424839795</v>
      </c>
      <c r="E66" t="s">
        <v>20</v>
      </c>
      <c r="F66">
        <v>-6.7392107735595896</v>
      </c>
      <c r="G66">
        <v>4.3289166666666699</v>
      </c>
      <c r="H66">
        <v>15.996</v>
      </c>
      <c r="I66">
        <v>4.0494736842105299</v>
      </c>
      <c r="J66">
        <v>0.72048622657851302</v>
      </c>
      <c r="K66">
        <v>816.35890169891104</v>
      </c>
      <c r="L66">
        <v>10.2549276841454</v>
      </c>
      <c r="M66">
        <v>0.76985278872808205</v>
      </c>
      <c r="N66">
        <v>70533.409106785897</v>
      </c>
      <c r="O66">
        <v>886.02575191015899</v>
      </c>
      <c r="P66">
        <v>66515.280946106301</v>
      </c>
      <c r="Q66">
        <v>47663.1313420472</v>
      </c>
      <c r="R66">
        <v>1.4717964888372299</v>
      </c>
      <c r="S66">
        <v>70150.429356213004</v>
      </c>
    </row>
    <row r="67" spans="1:19" x14ac:dyDescent="0.75">
      <c r="A67" s="1">
        <v>45278</v>
      </c>
      <c r="B67">
        <v>0.41872252830135998</v>
      </c>
      <c r="C67">
        <v>-16.9786158131561</v>
      </c>
      <c r="D67">
        <v>2.1449855530787398</v>
      </c>
      <c r="E67" t="s">
        <v>20</v>
      </c>
      <c r="F67">
        <v>-16.559893284854699</v>
      </c>
      <c r="G67">
        <v>1.9575833333333299</v>
      </c>
      <c r="H67">
        <v>16.440000000000001</v>
      </c>
      <c r="I67">
        <v>1.98236842105263</v>
      </c>
      <c r="J67">
        <v>0.96522232211130998</v>
      </c>
      <c r="K67">
        <v>1763.15888977379</v>
      </c>
      <c r="L67">
        <v>11.366403041567899</v>
      </c>
      <c r="M67">
        <v>0.89328696369001004</v>
      </c>
      <c r="N67">
        <v>152336.92807645499</v>
      </c>
      <c r="O67">
        <v>982.05722279147096</v>
      </c>
      <c r="P67">
        <v>77179.993662816894</v>
      </c>
      <c r="Q67">
        <v>25187.113958146401</v>
      </c>
      <c r="R67">
        <v>2.0449048174834301</v>
      </c>
      <c r="S67">
        <v>51505.250671517497</v>
      </c>
    </row>
    <row r="68" spans="1:19" x14ac:dyDescent="0.75">
      <c r="A68" s="1">
        <v>45279</v>
      </c>
      <c r="B68">
        <v>0.28475761108969599</v>
      </c>
      <c r="C68">
        <v>-16.439999262041201</v>
      </c>
      <c r="D68">
        <v>2.0853442423685902</v>
      </c>
      <c r="E68" t="s">
        <v>20</v>
      </c>
      <c r="F68">
        <v>-16.155241650951499</v>
      </c>
      <c r="G68">
        <v>1.8397083333333299</v>
      </c>
      <c r="H68">
        <v>15.345000000000001</v>
      </c>
      <c r="I68">
        <v>1.86184210526316</v>
      </c>
      <c r="J68">
        <v>1.03006998968543</v>
      </c>
      <c r="K68">
        <v>2117.1638327036999</v>
      </c>
      <c r="L68">
        <v>12.5778810521544</v>
      </c>
      <c r="M68">
        <v>0.92257990554745395</v>
      </c>
      <c r="N68">
        <v>182922.955145599</v>
      </c>
      <c r="O68">
        <v>1086.72892290614</v>
      </c>
      <c r="P68">
        <v>79710.903839299994</v>
      </c>
      <c r="Q68">
        <v>26757.036825792198</v>
      </c>
      <c r="R68">
        <v>2.2278386840212301</v>
      </c>
      <c r="S68">
        <v>59610.361710280398</v>
      </c>
    </row>
    <row r="69" spans="1:19" x14ac:dyDescent="0.75">
      <c r="A69" s="1">
        <v>45280</v>
      </c>
      <c r="B69">
        <v>0.31352887883708103</v>
      </c>
      <c r="C69">
        <v>-15.5923797020988</v>
      </c>
      <c r="D69">
        <v>2.1206434341395002</v>
      </c>
      <c r="E69" t="s">
        <v>20</v>
      </c>
      <c r="F69">
        <v>-15.278850823261701</v>
      </c>
      <c r="G69">
        <v>2.0905833333333299</v>
      </c>
      <c r="H69">
        <v>12.920999999999999</v>
      </c>
      <c r="I69">
        <v>2.1048421052631601</v>
      </c>
      <c r="J69">
        <v>0.99105864272334498</v>
      </c>
      <c r="K69">
        <v>1893.40530662741</v>
      </c>
      <c r="L69">
        <v>13.8999296638627</v>
      </c>
      <c r="M69">
        <v>0.90520138232320801</v>
      </c>
      <c r="N69">
        <v>163590.21849260799</v>
      </c>
      <c r="O69">
        <v>1200.9539229577299</v>
      </c>
      <c r="P69">
        <v>78209.3994327252</v>
      </c>
      <c r="Q69">
        <v>25816.022968105601</v>
      </c>
      <c r="R69">
        <v>2.1105664404302198</v>
      </c>
      <c r="S69">
        <v>54486.431701859503</v>
      </c>
    </row>
    <row r="70" spans="1:19" x14ac:dyDescent="0.75">
      <c r="A70" s="1">
        <v>45281</v>
      </c>
      <c r="B70">
        <v>0.30635807944274601</v>
      </c>
      <c r="C70">
        <v>-14.932883333739801</v>
      </c>
      <c r="D70">
        <v>2.1861848885689898</v>
      </c>
      <c r="E70" t="s">
        <v>20</v>
      </c>
      <c r="F70">
        <v>-14.6265252542971</v>
      </c>
      <c r="G70">
        <v>2.2106249999999998</v>
      </c>
      <c r="H70">
        <v>12.284000000000001</v>
      </c>
      <c r="I70">
        <v>2.2327368421052598</v>
      </c>
      <c r="J70">
        <v>0.92889999567877801</v>
      </c>
      <c r="K70">
        <v>1568.9322282836699</v>
      </c>
      <c r="L70">
        <v>15.2503050081397</v>
      </c>
      <c r="M70">
        <v>0.87680086977515803</v>
      </c>
      <c r="N70">
        <v>135555.744523709</v>
      </c>
      <c r="O70">
        <v>1317.62635270327</v>
      </c>
      <c r="P70">
        <v>75755.595148573702</v>
      </c>
      <c r="Q70">
        <v>24256.3732286671</v>
      </c>
      <c r="R70">
        <v>1.9263458044198001</v>
      </c>
      <c r="S70">
        <v>46726.162799483704</v>
      </c>
    </row>
    <row r="71" spans="1:19" x14ac:dyDescent="0.75">
      <c r="A71" s="1">
        <v>45282</v>
      </c>
      <c r="B71">
        <v>0.305321539401883</v>
      </c>
      <c r="C71">
        <v>-14.4891928074242</v>
      </c>
      <c r="D71">
        <v>2.29093286287707</v>
      </c>
      <c r="E71" t="s">
        <v>20</v>
      </c>
      <c r="F71">
        <v>-14.183871268022299</v>
      </c>
      <c r="G71">
        <v>2.28320833333333</v>
      </c>
      <c r="H71">
        <v>12.568</v>
      </c>
      <c r="I71">
        <v>2.3046315789473701</v>
      </c>
      <c r="J71">
        <v>0.86360905070294902</v>
      </c>
      <c r="K71">
        <v>1269.1070893244801</v>
      </c>
      <c r="L71">
        <v>16.6222476834958</v>
      </c>
      <c r="M71">
        <v>0.84593065677089396</v>
      </c>
      <c r="N71">
        <v>109650.85251763499</v>
      </c>
      <c r="O71">
        <v>1436.16219985404</v>
      </c>
      <c r="P71">
        <v>73088.408745005305</v>
      </c>
      <c r="Q71">
        <v>22332.337603840599</v>
      </c>
      <c r="R71">
        <v>1.7371860002478201</v>
      </c>
      <c r="S71">
        <v>38795.424238199703</v>
      </c>
    </row>
    <row r="72" spans="1:19" x14ac:dyDescent="0.75">
      <c r="A72" s="1">
        <v>45283</v>
      </c>
      <c r="B72">
        <v>0.33663084019247802</v>
      </c>
      <c r="C72">
        <v>-14.3303921839177</v>
      </c>
      <c r="D72">
        <v>2.4137916271012601</v>
      </c>
      <c r="E72" t="s">
        <v>20</v>
      </c>
      <c r="F72">
        <v>-13.9937613437253</v>
      </c>
      <c r="G72">
        <v>2.29704166666667</v>
      </c>
      <c r="H72">
        <v>13.342000000000001</v>
      </c>
      <c r="I72">
        <v>2.3158947368421101</v>
      </c>
      <c r="J72">
        <v>0.80526082794589704</v>
      </c>
      <c r="K72">
        <v>1035.2326579492301</v>
      </c>
      <c r="L72">
        <v>18.009754972469398</v>
      </c>
      <c r="M72">
        <v>0.81732739792729703</v>
      </c>
      <c r="N72">
        <v>89444.101646813695</v>
      </c>
      <c r="O72">
        <v>1556.0428296213599</v>
      </c>
      <c r="P72">
        <v>70617.087180918403</v>
      </c>
      <c r="Q72">
        <v>20478.967808006699</v>
      </c>
      <c r="R72">
        <v>1.57291528738782</v>
      </c>
      <c r="S72">
        <v>32211.6815351369</v>
      </c>
    </row>
    <row r="73" spans="1:19" x14ac:dyDescent="0.75">
      <c r="A73" s="1">
        <v>45284</v>
      </c>
      <c r="B73">
        <v>0.36838391048316999</v>
      </c>
      <c r="C73">
        <v>-13.391719596981501</v>
      </c>
      <c r="D73">
        <v>2.4533811694105698</v>
      </c>
      <c r="E73" t="s">
        <v>20</v>
      </c>
      <c r="F73">
        <v>-13.023335686498299</v>
      </c>
      <c r="G73">
        <v>2.3344999999999998</v>
      </c>
      <c r="H73">
        <v>13.997</v>
      </c>
      <c r="I73">
        <v>2.3540526315789498</v>
      </c>
      <c r="J73">
        <v>0.74988050885192603</v>
      </c>
      <c r="K73">
        <v>841.155621049974</v>
      </c>
      <c r="L73">
        <v>19.407013750410801</v>
      </c>
      <c r="M73">
        <v>0.78919227873390596</v>
      </c>
      <c r="N73">
        <v>72675.845658717706</v>
      </c>
      <c r="O73">
        <v>1676.7659880355</v>
      </c>
      <c r="P73">
        <v>68186.2128826095</v>
      </c>
      <c r="Q73">
        <v>19454.925966230501</v>
      </c>
      <c r="R73">
        <v>1.42135138972817</v>
      </c>
      <c r="S73">
        <v>27652.286059160298</v>
      </c>
    </row>
    <row r="74" spans="1:19" x14ac:dyDescent="0.75">
      <c r="A74" s="1">
        <v>45285</v>
      </c>
      <c r="B74">
        <v>0.39375686423799</v>
      </c>
      <c r="C74">
        <v>-13.086488097899</v>
      </c>
      <c r="D74">
        <v>2.5145363590109602</v>
      </c>
      <c r="E74" t="s">
        <v>20</v>
      </c>
      <c r="F74">
        <v>-12.692731233661</v>
      </c>
      <c r="G74">
        <v>2.4616250000000002</v>
      </c>
      <c r="H74">
        <v>14.430999999999999</v>
      </c>
      <c r="I74">
        <v>2.5024736842105302</v>
      </c>
      <c r="J74">
        <v>0.71347598528530298</v>
      </c>
      <c r="K74">
        <v>727.17438770401998</v>
      </c>
      <c r="L74">
        <v>20.808309522732799</v>
      </c>
      <c r="M74">
        <v>0.77013928137879695</v>
      </c>
      <c r="N74">
        <v>62827.867097627299</v>
      </c>
      <c r="O74">
        <v>1797.83794276411</v>
      </c>
      <c r="P74">
        <v>66540.033911128005</v>
      </c>
      <c r="Q74">
        <v>18523.5037747118</v>
      </c>
      <c r="R74">
        <v>1.3233963686963099</v>
      </c>
      <c r="S74">
        <v>24513.937630986002</v>
      </c>
    </row>
    <row r="75" spans="1:19" x14ac:dyDescent="0.75">
      <c r="A75" s="1">
        <v>45286</v>
      </c>
      <c r="B75">
        <v>0.33240489086381397</v>
      </c>
      <c r="C75">
        <v>-13.3863253985364</v>
      </c>
      <c r="D75">
        <v>2.6408760138042702</v>
      </c>
      <c r="E75" t="s">
        <v>20</v>
      </c>
      <c r="F75">
        <v>-13.053920507672601</v>
      </c>
      <c r="G75">
        <v>2.3305833333333301</v>
      </c>
      <c r="H75">
        <v>15.327999999999999</v>
      </c>
      <c r="I75">
        <v>2.3539473684210499</v>
      </c>
      <c r="J75">
        <v>0.687909740970996</v>
      </c>
      <c r="K75">
        <v>654.25234458856403</v>
      </c>
      <c r="L75">
        <v>22.208291252961999</v>
      </c>
      <c r="M75">
        <v>0.75642405064245199</v>
      </c>
      <c r="N75">
        <v>56527.402572452003</v>
      </c>
      <c r="O75">
        <v>1918.79636425592</v>
      </c>
      <c r="P75">
        <v>65355.037975507803</v>
      </c>
      <c r="Q75">
        <v>17323.239085712801</v>
      </c>
      <c r="R75">
        <v>1.2573277464583199</v>
      </c>
      <c r="S75">
        <v>21780.989160997899</v>
      </c>
    </row>
    <row r="76" spans="1:19" x14ac:dyDescent="0.75">
      <c r="A76" s="1">
        <v>45287</v>
      </c>
      <c r="B76">
        <v>0.32824937627253198</v>
      </c>
      <c r="C76">
        <v>-12.2800560862576</v>
      </c>
      <c r="D76">
        <v>2.5978697853977399</v>
      </c>
      <c r="E76" t="s">
        <v>20</v>
      </c>
      <c r="F76">
        <v>-11.9518067099851</v>
      </c>
      <c r="G76">
        <v>2.3509583333333302</v>
      </c>
      <c r="H76">
        <v>16.030999999999999</v>
      </c>
      <c r="I76">
        <v>2.3707368421052601</v>
      </c>
      <c r="J76">
        <v>0.65250919668505902</v>
      </c>
      <c r="K76">
        <v>561.04084668051098</v>
      </c>
      <c r="L76">
        <v>23.543499891008601</v>
      </c>
      <c r="M76">
        <v>0.73702179416994695</v>
      </c>
      <c r="N76">
        <v>48473.929153196099</v>
      </c>
      <c r="O76">
        <v>2034.1583905831501</v>
      </c>
      <c r="P76">
        <v>63678.683016283401</v>
      </c>
      <c r="Q76">
        <v>17158.318851063501</v>
      </c>
      <c r="R76">
        <v>1.16661488608319</v>
      </c>
      <c r="S76">
        <v>20017.150191812601</v>
      </c>
    </row>
    <row r="77" spans="1:19" x14ac:dyDescent="0.75">
      <c r="A77" s="1">
        <v>45288</v>
      </c>
      <c r="B77">
        <v>0.30776706225482903</v>
      </c>
      <c r="C77">
        <v>-11.8637757203827</v>
      </c>
      <c r="D77">
        <v>2.7033895869648101</v>
      </c>
      <c r="E77" t="s">
        <v>20</v>
      </c>
      <c r="F77">
        <v>-11.556008658127899</v>
      </c>
      <c r="G77">
        <v>2.4789166666666702</v>
      </c>
      <c r="H77">
        <v>15.516999999999999</v>
      </c>
      <c r="I77">
        <v>2.4950000000000001</v>
      </c>
      <c r="J77">
        <v>0.61789246078492199</v>
      </c>
      <c r="K77">
        <v>478.61627965923702</v>
      </c>
      <c r="L77">
        <v>24.710304949893001</v>
      </c>
      <c r="M77">
        <v>0.717534718550356</v>
      </c>
      <c r="N77">
        <v>41352.446562557998</v>
      </c>
      <c r="O77">
        <v>2134.97034767075</v>
      </c>
      <c r="P77">
        <v>61994.9996827508</v>
      </c>
      <c r="Q77">
        <v>16052.6251884577</v>
      </c>
      <c r="R77">
        <v>1.07952238123047</v>
      </c>
      <c r="S77">
        <v>17329.168168444099</v>
      </c>
    </row>
    <row r="78" spans="1:19" x14ac:dyDescent="0.75">
      <c r="A78" s="1">
        <v>45289</v>
      </c>
      <c r="B78">
        <v>0.336862522540679</v>
      </c>
      <c r="C78">
        <v>-11.134211672177599</v>
      </c>
      <c r="D78">
        <v>2.7719640045400702</v>
      </c>
      <c r="E78" t="s">
        <v>20</v>
      </c>
      <c r="F78">
        <v>-10.797349149636901</v>
      </c>
      <c r="G78">
        <v>2.7195</v>
      </c>
      <c r="H78">
        <v>14.803000000000001</v>
      </c>
      <c r="I78">
        <v>2.73605263157895</v>
      </c>
      <c r="J78">
        <v>0.58613207529445399</v>
      </c>
      <c r="K78">
        <v>410.570636834303</v>
      </c>
      <c r="L78">
        <v>25.700948996731402</v>
      </c>
      <c r="M78">
        <v>0.69914651887634904</v>
      </c>
      <c r="N78">
        <v>35473.303022483698</v>
      </c>
      <c r="O78">
        <v>2220.5619933175899</v>
      </c>
      <c r="P78">
        <v>60406.259230916599</v>
      </c>
      <c r="Q78">
        <v>15254.3039492526</v>
      </c>
      <c r="R78">
        <v>1.00189958908523</v>
      </c>
      <c r="S78">
        <v>15283.2808585374</v>
      </c>
    </row>
    <row r="79" spans="1:19" x14ac:dyDescent="0.75">
      <c r="A79" s="1">
        <v>45290</v>
      </c>
      <c r="B79">
        <v>0.34627646036745502</v>
      </c>
      <c r="C79">
        <v>-10.456077878783701</v>
      </c>
      <c r="D79">
        <v>2.8560348551988102</v>
      </c>
      <c r="E79" t="s">
        <v>20</v>
      </c>
      <c r="F79">
        <v>-10.1098014184162</v>
      </c>
      <c r="G79">
        <v>3.0256666666666701</v>
      </c>
      <c r="H79">
        <v>12.912000000000001</v>
      </c>
      <c r="I79">
        <v>3.0317368421052602</v>
      </c>
      <c r="J79">
        <v>0.552900948226139</v>
      </c>
      <c r="K79">
        <v>346.43776597227298</v>
      </c>
      <c r="L79">
        <v>26.502142049753999</v>
      </c>
      <c r="M79">
        <v>0.67936339650537603</v>
      </c>
      <c r="N79">
        <v>29932.222980004401</v>
      </c>
      <c r="O79">
        <v>2289.7850730987502</v>
      </c>
      <c r="P79">
        <v>58696.997458064499</v>
      </c>
      <c r="Q79">
        <v>14386.343410989301</v>
      </c>
      <c r="R79">
        <v>0.92230752251390702</v>
      </c>
      <c r="S79">
        <v>13268.632749423799</v>
      </c>
    </row>
    <row r="80" spans="1:19" x14ac:dyDescent="0.75">
      <c r="A80" s="1">
        <v>45291</v>
      </c>
      <c r="B80">
        <v>0.35367222683826599</v>
      </c>
      <c r="C80">
        <v>-10.1300426573324</v>
      </c>
      <c r="D80">
        <v>2.9530275271903799</v>
      </c>
      <c r="E80" t="s">
        <v>20</v>
      </c>
      <c r="F80">
        <v>-9.7763704304941204</v>
      </c>
      <c r="G80">
        <v>3.21475</v>
      </c>
      <c r="H80">
        <v>12.009</v>
      </c>
      <c r="I80">
        <v>3.2193157894736801</v>
      </c>
      <c r="J80">
        <v>0.52645695594421504</v>
      </c>
      <c r="K80">
        <v>300.27059849769603</v>
      </c>
      <c r="L80">
        <v>27.079115701735301</v>
      </c>
      <c r="M80">
        <v>0.66319672280687003</v>
      </c>
      <c r="N80">
        <v>25943.379710200999</v>
      </c>
      <c r="O80">
        <v>2339.6355966299302</v>
      </c>
      <c r="P80">
        <v>57300.196850513603</v>
      </c>
      <c r="Q80">
        <v>13582.7172032906</v>
      </c>
      <c r="R80">
        <v>0.86001805704933099</v>
      </c>
      <c r="S80">
        <v>11681.3820586245</v>
      </c>
    </row>
    <row r="81" spans="1:19" x14ac:dyDescent="0.75">
      <c r="A81" s="1">
        <v>45292</v>
      </c>
      <c r="B81">
        <v>0.36854667441240602</v>
      </c>
      <c r="C81">
        <v>-10.096316169326499</v>
      </c>
      <c r="D81">
        <v>3.0491553885269602</v>
      </c>
      <c r="E81" t="s">
        <v>20</v>
      </c>
      <c r="F81">
        <v>-9.7277694949140798</v>
      </c>
      <c r="G81">
        <v>3.31158333333333</v>
      </c>
      <c r="H81">
        <v>11.616</v>
      </c>
      <c r="I81">
        <v>3.3130526315789499</v>
      </c>
      <c r="J81">
        <v>0.504786268663447</v>
      </c>
      <c r="K81">
        <v>265.67244445765999</v>
      </c>
      <c r="L81">
        <v>27.3710924276151</v>
      </c>
      <c r="M81">
        <v>0.64963051214436796</v>
      </c>
      <c r="N81">
        <v>22954.0992011419</v>
      </c>
      <c r="O81">
        <v>2364.8623857459402</v>
      </c>
      <c r="P81">
        <v>56128.076249273399</v>
      </c>
      <c r="Q81">
        <v>12885.421819539401</v>
      </c>
      <c r="R81">
        <v>0.81016329684705302</v>
      </c>
      <c r="S81">
        <v>10439.295822583001</v>
      </c>
    </row>
    <row r="82" spans="1:19" x14ac:dyDescent="0.75">
      <c r="A82" s="1">
        <v>45293</v>
      </c>
      <c r="B82">
        <v>0.363714358252262</v>
      </c>
      <c r="C82">
        <v>-9.5442460965741596</v>
      </c>
      <c r="D82">
        <v>3.0366527559767</v>
      </c>
      <c r="E82" t="s">
        <v>20</v>
      </c>
      <c r="F82">
        <v>-9.1805317383218998</v>
      </c>
      <c r="G82">
        <v>3.301625</v>
      </c>
      <c r="H82">
        <v>12.186999999999999</v>
      </c>
      <c r="I82">
        <v>3.3158421052631599</v>
      </c>
      <c r="J82">
        <v>0.48556388173382398</v>
      </c>
      <c r="K82">
        <v>237.30135424069999</v>
      </c>
      <c r="L82">
        <v>27.325323714571201</v>
      </c>
      <c r="M82">
        <v>0.63734311922928999</v>
      </c>
      <c r="N82">
        <v>20502.837006396501</v>
      </c>
      <c r="O82">
        <v>2360.90796893895</v>
      </c>
      <c r="P82">
        <v>55066.445501410701</v>
      </c>
      <c r="Q82">
        <v>12693.750306195099</v>
      </c>
      <c r="R82">
        <v>0.76679723912894004</v>
      </c>
      <c r="S82">
        <v>9733.5326889825501</v>
      </c>
    </row>
    <row r="83" spans="1:19" x14ac:dyDescent="0.75">
      <c r="A83" s="1">
        <v>45294</v>
      </c>
      <c r="B83">
        <v>0.369870022749475</v>
      </c>
      <c r="C83">
        <v>-9.2290992481576009</v>
      </c>
      <c r="D83">
        <v>3.0857489681584398</v>
      </c>
      <c r="E83" t="s">
        <v>20</v>
      </c>
      <c r="F83">
        <v>-8.8592292254081304</v>
      </c>
      <c r="G83">
        <v>3.4708749999999999</v>
      </c>
      <c r="H83">
        <v>11.419</v>
      </c>
      <c r="I83">
        <v>3.4792631578947399</v>
      </c>
      <c r="J83">
        <v>0.46838174509682401</v>
      </c>
      <c r="K83">
        <v>213.61903969999599</v>
      </c>
      <c r="L83">
        <v>28.010839849836898</v>
      </c>
      <c r="M83">
        <v>0.62615848287562303</v>
      </c>
      <c r="N83">
        <v>18456.685030079701</v>
      </c>
      <c r="O83">
        <v>2420.1365630259102</v>
      </c>
      <c r="P83">
        <v>54100.092920453797</v>
      </c>
      <c r="Q83">
        <v>12272.5683246095</v>
      </c>
      <c r="R83">
        <v>0.72837617131856203</v>
      </c>
      <c r="S83">
        <v>8939.0463285245096</v>
      </c>
    </row>
    <row r="84" spans="1:19" x14ac:dyDescent="0.75">
      <c r="A84" s="1">
        <v>45295</v>
      </c>
      <c r="B84">
        <v>0.34330147000442401</v>
      </c>
      <c r="C84">
        <v>-9.2134399519510293</v>
      </c>
      <c r="D84">
        <v>3.1197132156428302</v>
      </c>
      <c r="E84" t="s">
        <v>20</v>
      </c>
      <c r="F84">
        <v>-8.8701384819466007</v>
      </c>
      <c r="G84">
        <v>3.5096250000000002</v>
      </c>
      <c r="H84">
        <v>11.58</v>
      </c>
      <c r="I84">
        <v>3.50484210526316</v>
      </c>
      <c r="J84">
        <v>0.46160635275815998</v>
      </c>
      <c r="K84">
        <v>204.77981690221199</v>
      </c>
      <c r="L84">
        <v>30.014068177138899</v>
      </c>
      <c r="M84">
        <v>0.62168344293090705</v>
      </c>
      <c r="N84">
        <v>17692.976180351099</v>
      </c>
      <c r="O84">
        <v>2593.2154905048001</v>
      </c>
      <c r="P84">
        <v>53713.449469230298</v>
      </c>
      <c r="Q84">
        <v>12052.202247286899</v>
      </c>
      <c r="R84">
        <v>0.71358559124715504</v>
      </c>
      <c r="S84">
        <v>8600.2778664605194</v>
      </c>
    </row>
    <row r="85" spans="1:19" x14ac:dyDescent="0.75">
      <c r="A85" s="1">
        <v>45297</v>
      </c>
      <c r="B85">
        <v>0.57792048166915999</v>
      </c>
      <c r="C85">
        <v>-9.7648527453377891</v>
      </c>
      <c r="D85">
        <v>3.1054510664328299</v>
      </c>
      <c r="E85" t="s">
        <v>20</v>
      </c>
      <c r="F85">
        <v>-9.1869322636686306</v>
      </c>
      <c r="G85">
        <v>3.511625</v>
      </c>
      <c r="H85">
        <v>11.84</v>
      </c>
      <c r="I85">
        <v>3.4204736842105299</v>
      </c>
      <c r="J85">
        <v>0.46691393913090901</v>
      </c>
      <c r="K85">
        <v>211.99822442925301</v>
      </c>
      <c r="L85">
        <v>33.361676674159199</v>
      </c>
      <c r="M85">
        <v>0.62514901038271997</v>
      </c>
      <c r="N85">
        <v>18316.646590687498</v>
      </c>
      <c r="O85">
        <v>2882.4488646473601</v>
      </c>
      <c r="P85">
        <v>54012.874497067001</v>
      </c>
      <c r="Q85">
        <v>12175.046825444701</v>
      </c>
      <c r="R85">
        <v>0.72629296258887299</v>
      </c>
      <c r="S85">
        <v>8842.6508285104901</v>
      </c>
    </row>
    <row r="86" spans="1:19" x14ac:dyDescent="0.75">
      <c r="A86" s="1">
        <v>45298</v>
      </c>
      <c r="B86">
        <v>0.34830219594501199</v>
      </c>
      <c r="C86">
        <v>-9.1127340131491508</v>
      </c>
      <c r="D86">
        <v>3.0108174603154301</v>
      </c>
      <c r="E86" t="s">
        <v>20</v>
      </c>
      <c r="F86">
        <v>-8.7644318172041409</v>
      </c>
      <c r="G86">
        <v>3.2553333333333301</v>
      </c>
      <c r="H86">
        <v>13.823</v>
      </c>
      <c r="I86">
        <v>3.2891052631578899</v>
      </c>
      <c r="J86">
        <v>0.46408107361669299</v>
      </c>
      <c r="K86">
        <v>207.98607548154601</v>
      </c>
      <c r="L86">
        <v>34.7113939572655</v>
      </c>
      <c r="M86">
        <v>0.623321003088949</v>
      </c>
      <c r="N86">
        <v>17969.996921605602</v>
      </c>
      <c r="O86">
        <v>2999.0644379077398</v>
      </c>
      <c r="P86">
        <v>53854.934666885201</v>
      </c>
      <c r="Q86">
        <v>12521.002938142299</v>
      </c>
      <c r="R86">
        <v>0.718999589072843</v>
      </c>
      <c r="S86">
        <v>9002.5959673041798</v>
      </c>
    </row>
    <row r="87" spans="1:19" x14ac:dyDescent="0.75">
      <c r="A87" s="1">
        <v>45299</v>
      </c>
      <c r="B87">
        <v>0.36337908770715899</v>
      </c>
      <c r="C87">
        <v>-9.1327562335114507</v>
      </c>
      <c r="D87">
        <v>3.1122728811834599</v>
      </c>
      <c r="E87" t="s">
        <v>20</v>
      </c>
      <c r="F87">
        <v>-8.76937714580429</v>
      </c>
      <c r="G87">
        <v>3.3725833333333299</v>
      </c>
      <c r="H87">
        <v>12.744</v>
      </c>
      <c r="I87">
        <v>3.3851578947368401</v>
      </c>
      <c r="J87">
        <v>0.44881295595924497</v>
      </c>
      <c r="K87">
        <v>188.67763094759701</v>
      </c>
      <c r="L87">
        <v>35.850301446950503</v>
      </c>
      <c r="M87">
        <v>0.61315227355268098</v>
      </c>
      <c r="N87">
        <v>16301.7473138724</v>
      </c>
      <c r="O87">
        <v>3097.4660450165202</v>
      </c>
      <c r="P87">
        <v>52976.356434951696</v>
      </c>
      <c r="Q87">
        <v>11915.2307397817</v>
      </c>
      <c r="R87">
        <v>0.685625065382511</v>
      </c>
      <c r="S87">
        <v>8169.3808550105396</v>
      </c>
    </row>
    <row r="88" spans="1:19" x14ac:dyDescent="0.75">
      <c r="A88" s="1">
        <v>45300</v>
      </c>
      <c r="B88">
        <v>0.37632839283959901</v>
      </c>
      <c r="C88">
        <v>-9.0118154419985803</v>
      </c>
      <c r="D88">
        <v>2.8363391388582402</v>
      </c>
      <c r="E88" t="s">
        <v>20</v>
      </c>
      <c r="F88">
        <v>-8.6354870491589804</v>
      </c>
      <c r="G88">
        <v>3.4621249999999999</v>
      </c>
      <c r="H88">
        <v>12.284000000000001</v>
      </c>
      <c r="I88">
        <v>3.5463157894736801</v>
      </c>
      <c r="J88">
        <v>0.48515583167530002</v>
      </c>
      <c r="K88">
        <v>244.11460926309201</v>
      </c>
      <c r="L88">
        <v>36.787880147675502</v>
      </c>
      <c r="M88">
        <v>0.63623416699893798</v>
      </c>
      <c r="N88">
        <v>21091.5022403312</v>
      </c>
      <c r="O88">
        <v>3178.4728447591601</v>
      </c>
      <c r="P88">
        <v>54970.632028708198</v>
      </c>
      <c r="Q88">
        <v>13566.5872578219</v>
      </c>
      <c r="R88">
        <v>0.79085256412018701</v>
      </c>
      <c r="S88">
        <v>10729.170319208701</v>
      </c>
    </row>
    <row r="89" spans="1:19" x14ac:dyDescent="0.75">
      <c r="A89" s="1">
        <v>45301</v>
      </c>
      <c r="B89">
        <v>0.37210349530433501</v>
      </c>
      <c r="C89">
        <v>-10.5670409454978</v>
      </c>
      <c r="D89">
        <v>2.8360753224794699</v>
      </c>
      <c r="E89" t="s">
        <v>20</v>
      </c>
      <c r="F89">
        <v>-10.1949374501935</v>
      </c>
      <c r="G89">
        <v>3.3457499999999998</v>
      </c>
      <c r="H89">
        <v>14.013999999999999</v>
      </c>
      <c r="I89">
        <v>3.4092631578947401</v>
      </c>
      <c r="J89">
        <v>0.56557985615971196</v>
      </c>
      <c r="K89">
        <v>369.79720172341598</v>
      </c>
      <c r="L89">
        <v>37.544349590802597</v>
      </c>
      <c r="M89">
        <v>0.68700318791085502</v>
      </c>
      <c r="N89">
        <v>31950.478228903099</v>
      </c>
      <c r="O89">
        <v>3243.8318046453501</v>
      </c>
      <c r="P89">
        <v>59357.0754354979</v>
      </c>
      <c r="Q89">
        <v>14650.5110338618</v>
      </c>
      <c r="R89">
        <v>0.951723811173387</v>
      </c>
      <c r="S89">
        <v>13943.2401967847</v>
      </c>
    </row>
    <row r="90" spans="1:19" x14ac:dyDescent="0.75">
      <c r="A90" s="1">
        <v>45302</v>
      </c>
      <c r="B90">
        <v>0.42090530331828002</v>
      </c>
      <c r="C90">
        <v>-10.518838433165801</v>
      </c>
      <c r="D90">
        <v>2.89513466562265</v>
      </c>
      <c r="E90" t="s">
        <v>20</v>
      </c>
      <c r="F90">
        <v>-10.097933129847499</v>
      </c>
      <c r="G90">
        <v>3.4847083333333302</v>
      </c>
      <c r="H90">
        <v>12.407999999999999</v>
      </c>
      <c r="I90">
        <v>3.5153684210526301</v>
      </c>
      <c r="J90">
        <v>0.56638127821710105</v>
      </c>
      <c r="K90">
        <v>371.35178585467202</v>
      </c>
      <c r="L90">
        <v>38.141449092734199</v>
      </c>
      <c r="M90">
        <v>0.687479446721181</v>
      </c>
      <c r="N90">
        <v>32084.794297843699</v>
      </c>
      <c r="O90">
        <v>3295.4212016122401</v>
      </c>
      <c r="P90">
        <v>59398.2241967101</v>
      </c>
      <c r="Q90">
        <v>14361.596865047601</v>
      </c>
      <c r="R90">
        <v>0.953711256890031</v>
      </c>
      <c r="S90">
        <v>13696.8165971125</v>
      </c>
    </row>
    <row r="91" spans="1:19" x14ac:dyDescent="0.75">
      <c r="A91" s="1">
        <v>45303</v>
      </c>
      <c r="B91">
        <v>0.37404953704976501</v>
      </c>
      <c r="C91">
        <v>-11.090388526035399</v>
      </c>
      <c r="D91">
        <v>2.8607103372178102</v>
      </c>
      <c r="E91" t="s">
        <v>20</v>
      </c>
      <c r="F91">
        <v>-10.7163389889856</v>
      </c>
      <c r="G91">
        <v>3.3429583333333301</v>
      </c>
      <c r="H91">
        <v>12.169</v>
      </c>
      <c r="I91">
        <v>3.36931578947368</v>
      </c>
      <c r="J91">
        <v>0.57422229768702004</v>
      </c>
      <c r="K91">
        <v>386.46759615440101</v>
      </c>
      <c r="L91">
        <v>38.598547176453202</v>
      </c>
      <c r="M91">
        <v>0.69214724158157603</v>
      </c>
      <c r="N91">
        <v>33390.800307740203</v>
      </c>
      <c r="O91">
        <v>3334.9144760455601</v>
      </c>
      <c r="P91">
        <v>59801.521672648101</v>
      </c>
      <c r="Q91">
        <v>14633.101655292299</v>
      </c>
      <c r="R91">
        <v>0.97237669327642595</v>
      </c>
      <c r="S91">
        <v>14228.886999950901</v>
      </c>
    </row>
    <row r="92" spans="1:19" x14ac:dyDescent="0.75">
      <c r="A92" s="1">
        <v>45304</v>
      </c>
      <c r="B92">
        <v>0.33028919862899297</v>
      </c>
      <c r="C92">
        <v>-10.183290163783701</v>
      </c>
      <c r="D92">
        <v>2.68112733624397</v>
      </c>
      <c r="E92" t="s">
        <v>20</v>
      </c>
      <c r="F92">
        <v>-9.8530009651547097</v>
      </c>
      <c r="G92">
        <v>3.113375</v>
      </c>
      <c r="H92">
        <v>13.202</v>
      </c>
      <c r="I92">
        <v>3.1773684210526301</v>
      </c>
      <c r="J92">
        <v>0.57451292326827097</v>
      </c>
      <c r="K92">
        <v>387.10927878971597</v>
      </c>
      <c r="L92">
        <v>38.931605704375002</v>
      </c>
      <c r="M92">
        <v>0.69231367698290902</v>
      </c>
      <c r="N92">
        <v>33446.241687431502</v>
      </c>
      <c r="O92">
        <v>3363.690732858</v>
      </c>
      <c r="P92">
        <v>59815.901691323401</v>
      </c>
      <c r="Q92">
        <v>15616.9871598058</v>
      </c>
      <c r="R92">
        <v>0.97326446608776696</v>
      </c>
      <c r="S92">
        <v>15199.4586699879</v>
      </c>
    </row>
    <row r="93" spans="1:19" x14ac:dyDescent="0.75">
      <c r="A93" s="1">
        <v>45305</v>
      </c>
      <c r="B93">
        <v>0.3714582249408</v>
      </c>
      <c r="C93">
        <v>-9.9675600131881499</v>
      </c>
      <c r="D93">
        <v>2.8066352791420299</v>
      </c>
      <c r="E93" t="s">
        <v>20</v>
      </c>
      <c r="F93">
        <v>-9.5961017882473492</v>
      </c>
      <c r="G93">
        <v>3.3580000000000001</v>
      </c>
      <c r="H93">
        <v>12.868</v>
      </c>
      <c r="I93">
        <v>3.3996842105263201</v>
      </c>
      <c r="J93">
        <v>0.55399299586478001</v>
      </c>
      <c r="K93">
        <v>348.22534495087098</v>
      </c>
      <c r="L93">
        <v>39.155127143140099</v>
      </c>
      <c r="M93">
        <v>0.68004106729522695</v>
      </c>
      <c r="N93">
        <v>30086.669803755201</v>
      </c>
      <c r="O93">
        <v>3383.0029851672998</v>
      </c>
      <c r="P93">
        <v>58755.548214307601</v>
      </c>
      <c r="Q93">
        <v>14654.160465975499</v>
      </c>
      <c r="R93">
        <v>0.92431704758872701</v>
      </c>
      <c r="S93">
        <v>13545.090336802001</v>
      </c>
    </row>
    <row r="94" spans="1:19" x14ac:dyDescent="0.75">
      <c r="A94" s="1">
        <v>45306</v>
      </c>
      <c r="B94">
        <v>0.33153417210630998</v>
      </c>
      <c r="C94">
        <v>-8.5043589113860296</v>
      </c>
      <c r="D94">
        <v>2.6159831397778102</v>
      </c>
      <c r="E94" t="s">
        <v>20</v>
      </c>
      <c r="F94">
        <v>-8.1728247392797204</v>
      </c>
      <c r="G94">
        <v>3.50195833333333</v>
      </c>
      <c r="H94">
        <v>11.679</v>
      </c>
      <c r="I94">
        <v>3.536</v>
      </c>
      <c r="J94">
        <v>0.51482199677686102</v>
      </c>
      <c r="K94">
        <v>284.30585850034697</v>
      </c>
      <c r="L94">
        <v>39.271523911371702</v>
      </c>
      <c r="M94">
        <v>0.65563169045620096</v>
      </c>
      <c r="N94">
        <v>24564.026174430001</v>
      </c>
      <c r="O94">
        <v>3393.05966594251</v>
      </c>
      <c r="P94">
        <v>56646.578055415703</v>
      </c>
      <c r="Q94">
        <v>15157.821178525999</v>
      </c>
      <c r="R94">
        <v>0.84230383285545796</v>
      </c>
      <c r="S94">
        <v>12767.4908764101</v>
      </c>
    </row>
    <row r="95" spans="1:19" x14ac:dyDescent="0.75">
      <c r="A95" s="1">
        <v>45307</v>
      </c>
      <c r="B95">
        <v>0.53301610666049803</v>
      </c>
      <c r="C95">
        <v>-9.7747186357669005</v>
      </c>
      <c r="D95">
        <v>2.9763846683350801</v>
      </c>
      <c r="E95" t="s">
        <v>20</v>
      </c>
      <c r="F95">
        <v>-9.2417025291063997</v>
      </c>
      <c r="G95">
        <v>3.4136250000000001</v>
      </c>
      <c r="H95">
        <v>12.266999999999999</v>
      </c>
      <c r="I95">
        <v>3.4685263157894699</v>
      </c>
      <c r="J95">
        <v>0.48754835539974101</v>
      </c>
      <c r="K95">
        <v>240.784780325165</v>
      </c>
      <c r="L95">
        <v>39.277810063983203</v>
      </c>
      <c r="M95">
        <v>0.63854476599836896</v>
      </c>
      <c r="N95">
        <v>20803.8050200943</v>
      </c>
      <c r="O95">
        <v>3393.60278952815</v>
      </c>
      <c r="P95">
        <v>55170.267782259099</v>
      </c>
      <c r="Q95">
        <v>12975.200369239899</v>
      </c>
      <c r="R95">
        <v>0.773428171844457</v>
      </c>
      <c r="S95">
        <v>10035.3855008968</v>
      </c>
    </row>
    <row r="96" spans="1:19" x14ac:dyDescent="0.75">
      <c r="A96" s="1">
        <v>45308</v>
      </c>
      <c r="B96">
        <v>0.38809062273219702</v>
      </c>
      <c r="C96">
        <v>-8.6331087206173898</v>
      </c>
      <c r="D96">
        <v>2.8493772592825901</v>
      </c>
      <c r="E96" t="s">
        <v>20</v>
      </c>
      <c r="F96">
        <v>-8.2450180978852003</v>
      </c>
      <c r="G96">
        <v>3.5113750000000001</v>
      </c>
      <c r="H96">
        <v>13.079000000000001</v>
      </c>
      <c r="I96">
        <v>3.5590526315789499</v>
      </c>
      <c r="J96">
        <v>0.48844958826281298</v>
      </c>
      <c r="K96">
        <v>241.45155001433201</v>
      </c>
      <c r="L96">
        <v>39.170557493550398</v>
      </c>
      <c r="M96">
        <v>0.639200372349368</v>
      </c>
      <c r="N96">
        <v>20861.413921238302</v>
      </c>
      <c r="O96">
        <v>3384.3361674427601</v>
      </c>
      <c r="P96">
        <v>55226.912170985401</v>
      </c>
      <c r="Q96">
        <v>13567.4693106181</v>
      </c>
      <c r="R96">
        <v>0.77334490848057402</v>
      </c>
      <c r="S96">
        <v>10492.333312332999</v>
      </c>
    </row>
    <row r="97" spans="1:19" x14ac:dyDescent="0.75">
      <c r="A97" s="1">
        <v>45309</v>
      </c>
      <c r="B97">
        <v>0.42172254295829797</v>
      </c>
      <c r="C97">
        <v>-9.1209360293907906</v>
      </c>
      <c r="D97">
        <v>3.0949197860746498</v>
      </c>
      <c r="E97" t="s">
        <v>20</v>
      </c>
      <c r="F97">
        <v>-8.6992134864324893</v>
      </c>
      <c r="G97">
        <v>3.8097500000000002</v>
      </c>
      <c r="H97">
        <v>10.48</v>
      </c>
      <c r="I97">
        <v>3.8380526315789498</v>
      </c>
      <c r="J97">
        <v>0.46698732942920501</v>
      </c>
      <c r="K97">
        <v>211.79001852231301</v>
      </c>
      <c r="L97">
        <v>38.947136560056798</v>
      </c>
      <c r="M97">
        <v>0.62523885002477697</v>
      </c>
      <c r="N97">
        <v>18298.657600327901</v>
      </c>
      <c r="O97">
        <v>3365.0325987889</v>
      </c>
      <c r="P97">
        <v>54020.6366421407</v>
      </c>
      <c r="Q97">
        <v>12218.2312509816</v>
      </c>
      <c r="R97">
        <v>0.72536139091753404</v>
      </c>
      <c r="S97">
        <v>8862.6332147640605</v>
      </c>
    </row>
    <row r="98" spans="1:19" x14ac:dyDescent="0.75">
      <c r="A98" s="1">
        <v>45310</v>
      </c>
      <c r="B98">
        <v>0.36171681518543503</v>
      </c>
      <c r="C98">
        <v>-8.4632054877335907</v>
      </c>
      <c r="D98">
        <v>2.9607799579588998</v>
      </c>
      <c r="E98" t="s">
        <v>20</v>
      </c>
      <c r="F98">
        <v>-8.1014886725481503</v>
      </c>
      <c r="G98">
        <v>3.7199583333333299</v>
      </c>
      <c r="H98">
        <v>10.352</v>
      </c>
      <c r="I98">
        <v>3.7791578947368398</v>
      </c>
      <c r="J98">
        <v>0.45257934606778299</v>
      </c>
      <c r="K98">
        <v>193.31344662509801</v>
      </c>
      <c r="L98">
        <v>38.605548549129203</v>
      </c>
      <c r="M98">
        <v>0.61567868065203601</v>
      </c>
      <c r="N98">
        <v>16702.2817884084</v>
      </c>
      <c r="O98">
        <v>3335.5193946447598</v>
      </c>
      <c r="P98">
        <v>53194.638008335904</v>
      </c>
      <c r="Q98">
        <v>12576.499143659799</v>
      </c>
      <c r="R98">
        <v>0.69376632890560697</v>
      </c>
      <c r="S98">
        <v>8725.1516413813497</v>
      </c>
    </row>
    <row r="99" spans="1:19" x14ac:dyDescent="0.75">
      <c r="A99" s="1">
        <v>45311</v>
      </c>
      <c r="B99">
        <v>0.34463139018086603</v>
      </c>
      <c r="C99">
        <v>-7.92993787486611</v>
      </c>
      <c r="D99">
        <v>2.95419760948693</v>
      </c>
      <c r="E99" t="s">
        <v>20</v>
      </c>
      <c r="F99">
        <v>-7.5853064846852503</v>
      </c>
      <c r="G99">
        <v>3.7439583333333299</v>
      </c>
      <c r="H99">
        <v>11.455</v>
      </c>
      <c r="I99">
        <v>3.7944210526315798</v>
      </c>
      <c r="J99">
        <v>0.43680630315806102</v>
      </c>
      <c r="K99">
        <v>174.41191325859199</v>
      </c>
      <c r="L99">
        <v>38.144458617778298</v>
      </c>
      <c r="M99">
        <v>0.60502189753690905</v>
      </c>
      <c r="N99">
        <v>15069.189305542301</v>
      </c>
      <c r="O99">
        <v>3295.6812245760502</v>
      </c>
      <c r="P99">
        <v>52273.891947188902</v>
      </c>
      <c r="Q99">
        <v>12386.3495947339</v>
      </c>
      <c r="R99">
        <v>0.65995778495796298</v>
      </c>
      <c r="S99">
        <v>8174.4678422555498</v>
      </c>
    </row>
    <row r="100" spans="1:19" x14ac:dyDescent="0.75">
      <c r="A100" s="1">
        <v>45312</v>
      </c>
      <c r="B100">
        <v>0.35293919999023798</v>
      </c>
      <c r="C100">
        <v>-7.5372530610269397</v>
      </c>
      <c r="D100">
        <v>3.0318914313582201</v>
      </c>
      <c r="E100" t="s">
        <v>20</v>
      </c>
      <c r="F100">
        <v>-7.1843138610367001</v>
      </c>
      <c r="G100">
        <v>4.0867083333333296</v>
      </c>
      <c r="H100">
        <v>9.9049999999999994</v>
      </c>
      <c r="I100">
        <v>4.1260526315789496</v>
      </c>
      <c r="J100">
        <v>0.41942454490969699</v>
      </c>
      <c r="K100">
        <v>154.93107688064299</v>
      </c>
      <c r="L100">
        <v>37.621549636852102</v>
      </c>
      <c r="M100">
        <v>0.59306682007044598</v>
      </c>
      <c r="N100">
        <v>13386.0450424875</v>
      </c>
      <c r="O100">
        <v>3250.50188862403</v>
      </c>
      <c r="P100">
        <v>51240.973254086603</v>
      </c>
      <c r="Q100">
        <v>11830.463619798</v>
      </c>
      <c r="R100">
        <v>0.62284655982220605</v>
      </c>
      <c r="S100">
        <v>7368.5635666929302</v>
      </c>
    </row>
    <row r="101" spans="1:19" x14ac:dyDescent="0.75">
      <c r="A101" s="1">
        <v>45313</v>
      </c>
      <c r="B101">
        <v>0.382166349977071</v>
      </c>
      <c r="C101">
        <v>-7.6740408478858697</v>
      </c>
      <c r="D101">
        <v>3.1370884877259702</v>
      </c>
      <c r="E101" t="s">
        <v>20</v>
      </c>
      <c r="F101">
        <v>-7.2918744979088004</v>
      </c>
      <c r="G101">
        <v>4.2307499999999996</v>
      </c>
      <c r="H101">
        <v>8.6920000000000002</v>
      </c>
      <c r="I101">
        <v>4.2765555555555599</v>
      </c>
      <c r="J101">
        <v>0.40546277456191299</v>
      </c>
      <c r="K101">
        <v>140.403421930295</v>
      </c>
      <c r="L101">
        <v>37.135418775690603</v>
      </c>
      <c r="M101">
        <v>0.58327283635518301</v>
      </c>
      <c r="N101">
        <v>12130.855654777501</v>
      </c>
      <c r="O101">
        <v>3208.50018221967</v>
      </c>
      <c r="P101">
        <v>50394.773061087799</v>
      </c>
      <c r="Q101">
        <v>11244.9302213763</v>
      </c>
      <c r="R101">
        <v>0.59368346504694902</v>
      </c>
      <c r="S101">
        <v>6675.9291380378299</v>
      </c>
    </row>
    <row r="102" spans="1:19" x14ac:dyDescent="0.75">
      <c r="A102" s="1">
        <v>45314</v>
      </c>
      <c r="B102">
        <v>0.37169324136722198</v>
      </c>
      <c r="C102">
        <v>-7.6566440284341502</v>
      </c>
      <c r="D102">
        <v>3.0606009568327699</v>
      </c>
      <c r="E102" t="s">
        <v>20</v>
      </c>
      <c r="F102">
        <v>-7.2849507870669301</v>
      </c>
      <c r="G102">
        <v>3.89975</v>
      </c>
      <c r="H102">
        <v>9.8680000000000003</v>
      </c>
      <c r="I102">
        <v>3.9672777777777801</v>
      </c>
      <c r="J102">
        <v>0.39221435791356402</v>
      </c>
      <c r="K102">
        <v>127.46705866107</v>
      </c>
      <c r="L102">
        <v>36.689963255042201</v>
      </c>
      <c r="M102">
        <v>0.57382068361623895</v>
      </c>
      <c r="N102">
        <v>11013.1538683164</v>
      </c>
      <c r="O102">
        <v>3170.0128252356499</v>
      </c>
      <c r="P102">
        <v>49578.107064443</v>
      </c>
      <c r="Q102">
        <v>11339.170128543599</v>
      </c>
      <c r="R102">
        <v>0.56636743972264203</v>
      </c>
      <c r="S102">
        <v>6422.1367542827002</v>
      </c>
    </row>
    <row r="103" spans="1:19" x14ac:dyDescent="0.75">
      <c r="A103" s="1">
        <v>45315</v>
      </c>
      <c r="B103">
        <v>0.39428417069640997</v>
      </c>
      <c r="C103">
        <v>-7.7015654385630299</v>
      </c>
      <c r="D103">
        <v>3.0752986395042998</v>
      </c>
      <c r="E103" t="s">
        <v>20</v>
      </c>
      <c r="F103">
        <v>-7.3072812678666201</v>
      </c>
      <c r="G103">
        <v>3.6267916666666702</v>
      </c>
      <c r="H103">
        <v>11.374000000000001</v>
      </c>
      <c r="I103">
        <v>3.6903333333333301</v>
      </c>
      <c r="J103">
        <v>0.38250041803113899</v>
      </c>
      <c r="K103">
        <v>118.47387358516001</v>
      </c>
      <c r="L103">
        <v>36.293331949578899</v>
      </c>
      <c r="M103">
        <v>0.56679159917008004</v>
      </c>
      <c r="N103">
        <v>10236.1426777578</v>
      </c>
      <c r="O103">
        <v>3135.7438804436201</v>
      </c>
      <c r="P103">
        <v>48970.794168294997</v>
      </c>
      <c r="Q103">
        <v>11146.7405075599</v>
      </c>
      <c r="R103">
        <v>0.54647118828589702</v>
      </c>
      <c r="S103">
        <v>6091.3725306808101</v>
      </c>
    </row>
    <row r="104" spans="1:19" x14ac:dyDescent="0.75">
      <c r="A104" s="1">
        <v>45316</v>
      </c>
      <c r="B104">
        <v>0.41834189843084701</v>
      </c>
      <c r="C104">
        <v>-7.4975234101485499</v>
      </c>
      <c r="D104">
        <v>2.9280051271540501</v>
      </c>
      <c r="E104" t="s">
        <v>20</v>
      </c>
      <c r="F104">
        <v>-7.0791815117177004</v>
      </c>
      <c r="G104">
        <v>3.39229166666667</v>
      </c>
      <c r="H104">
        <v>13.07</v>
      </c>
      <c r="I104">
        <v>3.4553888888888902</v>
      </c>
      <c r="J104">
        <v>0.37240191298564401</v>
      </c>
      <c r="K104">
        <v>109.613257940804</v>
      </c>
      <c r="L104">
        <v>35.953721369848601</v>
      </c>
      <c r="M104">
        <v>0.55937913923691296</v>
      </c>
      <c r="N104">
        <v>9470.5854860854997</v>
      </c>
      <c r="O104">
        <v>3106.40152635492</v>
      </c>
      <c r="P104">
        <v>48330.357630069302</v>
      </c>
      <c r="Q104">
        <v>11554.368545089101</v>
      </c>
      <c r="R104">
        <v>0.52619281853125499</v>
      </c>
      <c r="S104">
        <v>6079.82575108932</v>
      </c>
    </row>
    <row r="105" spans="1:19" x14ac:dyDescent="0.75">
      <c r="A105" s="1">
        <v>45317</v>
      </c>
      <c r="B105">
        <v>0.11717005516341</v>
      </c>
      <c r="C105">
        <v>-7.7692964748991198</v>
      </c>
      <c r="D105">
        <v>2.36962497871842</v>
      </c>
      <c r="E105" t="s">
        <v>20</v>
      </c>
      <c r="F105">
        <v>-7.6521264197357102</v>
      </c>
      <c r="G105">
        <v>3.74404166666667</v>
      </c>
      <c r="H105">
        <v>14.343999999999999</v>
      </c>
      <c r="I105">
        <v>3.6721111111111102</v>
      </c>
      <c r="J105">
        <v>0.50968286936573903</v>
      </c>
      <c r="K105">
        <v>279.47235962207799</v>
      </c>
      <c r="L105">
        <v>35.6896362092955</v>
      </c>
      <c r="M105">
        <v>0.65191393858623004</v>
      </c>
      <c r="N105">
        <v>24146.411871347598</v>
      </c>
      <c r="O105">
        <v>3083.5845684831402</v>
      </c>
      <c r="P105">
        <v>56325.364293850304</v>
      </c>
      <c r="Q105">
        <v>16638.816420233401</v>
      </c>
      <c r="R105">
        <v>0.84110179134224805</v>
      </c>
      <c r="S105">
        <v>13994.938296873101</v>
      </c>
    </row>
    <row r="106" spans="1:19" x14ac:dyDescent="0.75">
      <c r="A106" s="1">
        <v>45318</v>
      </c>
      <c r="B106">
        <v>0.41326105117994</v>
      </c>
      <c r="C106">
        <v>-10.7748357992543</v>
      </c>
      <c r="D106">
        <v>2.7767928757289799</v>
      </c>
      <c r="E106" t="s">
        <v>20</v>
      </c>
      <c r="F106">
        <v>-10.3615747480744</v>
      </c>
      <c r="G106">
        <v>2.9548333333333301</v>
      </c>
      <c r="H106">
        <v>16.125</v>
      </c>
      <c r="I106">
        <v>3.02</v>
      </c>
      <c r="J106">
        <v>0.54995652945851303</v>
      </c>
      <c r="K106">
        <v>340.829362827762</v>
      </c>
      <c r="L106">
        <v>35.522813820000202</v>
      </c>
      <c r="M106">
        <v>0.67760545348178503</v>
      </c>
      <c r="N106">
        <v>29447.656948318599</v>
      </c>
      <c r="O106">
        <v>3069.1711140480202</v>
      </c>
      <c r="P106">
        <v>58545.111180826199</v>
      </c>
      <c r="Q106">
        <v>14758.600897022099</v>
      </c>
      <c r="R106">
        <v>0.91460115900410899</v>
      </c>
      <c r="S106">
        <v>13498.2334856955</v>
      </c>
    </row>
    <row r="107" spans="1:19" x14ac:dyDescent="0.75">
      <c r="A107" s="1">
        <v>45319</v>
      </c>
      <c r="B107">
        <v>0.36270740522142503</v>
      </c>
      <c r="C107">
        <v>-10.412641911592001</v>
      </c>
      <c r="D107">
        <v>2.7450506746995198</v>
      </c>
      <c r="E107" t="s">
        <v>20</v>
      </c>
      <c r="F107">
        <v>-10.0499345063705</v>
      </c>
      <c r="G107">
        <v>2.7615416666666701</v>
      </c>
      <c r="H107">
        <v>16.797000000000001</v>
      </c>
      <c r="I107">
        <v>2.8390555555555599</v>
      </c>
      <c r="J107">
        <v>0.54269382553916601</v>
      </c>
      <c r="K107">
        <v>327.99708129694</v>
      </c>
      <c r="L107">
        <v>34.937448398193602</v>
      </c>
      <c r="M107">
        <v>0.673180396718283</v>
      </c>
      <c r="N107">
        <v>28338.947824055602</v>
      </c>
      <c r="O107">
        <v>3018.5955416039301</v>
      </c>
      <c r="P107">
        <v>58162.786276459599</v>
      </c>
      <c r="Q107">
        <v>14831.7664110075</v>
      </c>
      <c r="R107">
        <v>0.89780834547579802</v>
      </c>
      <c r="S107">
        <v>13316.083661950201</v>
      </c>
    </row>
    <row r="108" spans="1:19" x14ac:dyDescent="0.75">
      <c r="A108" s="1">
        <v>45320</v>
      </c>
      <c r="B108">
        <v>0.381259019293264</v>
      </c>
      <c r="C108">
        <v>-9.4309770233708203</v>
      </c>
      <c r="D108">
        <v>2.7338812260849199</v>
      </c>
      <c r="E108" t="s">
        <v>20</v>
      </c>
      <c r="F108">
        <v>-9.04971800407756</v>
      </c>
      <c r="G108">
        <v>2.95695833333333</v>
      </c>
      <c r="H108">
        <v>15.996</v>
      </c>
      <c r="I108">
        <v>3.0071666666666701</v>
      </c>
      <c r="J108">
        <v>0.515389698961217</v>
      </c>
      <c r="K108">
        <v>282.35572517685</v>
      </c>
      <c r="L108">
        <v>33.452041248918299</v>
      </c>
      <c r="M108">
        <v>0.65629395249617495</v>
      </c>
      <c r="N108">
        <v>24395.534655279898</v>
      </c>
      <c r="O108">
        <v>2890.2563639065402</v>
      </c>
      <c r="P108">
        <v>56703.797495669503</v>
      </c>
      <c r="Q108">
        <v>14518.793965241501</v>
      </c>
      <c r="R108">
        <v>0.83476159769028002</v>
      </c>
      <c r="S108">
        <v>12119.7316469609</v>
      </c>
    </row>
    <row r="109" spans="1:19" x14ac:dyDescent="0.75">
      <c r="A109" s="1">
        <v>45321</v>
      </c>
      <c r="B109">
        <v>0.37494721622044402</v>
      </c>
      <c r="C109">
        <v>-9.2508004080271604</v>
      </c>
      <c r="D109">
        <v>2.8815627644521999</v>
      </c>
      <c r="E109" t="s">
        <v>20</v>
      </c>
      <c r="F109">
        <v>-8.8758531918067192</v>
      </c>
      <c r="G109">
        <v>3.223125</v>
      </c>
      <c r="H109">
        <v>14.145</v>
      </c>
      <c r="I109">
        <v>3.2709999999999999</v>
      </c>
      <c r="J109">
        <v>0.48986748882588699</v>
      </c>
      <c r="K109">
        <v>243.490968725344</v>
      </c>
      <c r="L109">
        <v>32.092857382596698</v>
      </c>
      <c r="M109">
        <v>0.64011292158297095</v>
      </c>
      <c r="N109">
        <v>21037.619697869799</v>
      </c>
      <c r="O109">
        <v>2772.8228778563598</v>
      </c>
      <c r="P109">
        <v>55305.756424768697</v>
      </c>
      <c r="Q109">
        <v>13435.0811215794</v>
      </c>
      <c r="R109">
        <v>0.77651106012487903</v>
      </c>
      <c r="S109">
        <v>10432.489084581401</v>
      </c>
    </row>
    <row r="110" spans="1:19" x14ac:dyDescent="0.75">
      <c r="A110" s="1">
        <v>45322</v>
      </c>
      <c r="B110">
        <v>0.36402649737676801</v>
      </c>
      <c r="C110">
        <v>-8.9281252223827305</v>
      </c>
      <c r="D110">
        <v>2.93123010072684</v>
      </c>
      <c r="E110" t="s">
        <v>20</v>
      </c>
      <c r="F110">
        <v>-8.5640987250059606</v>
      </c>
      <c r="G110">
        <v>3.3359999999999999</v>
      </c>
      <c r="H110">
        <v>13.255000000000001</v>
      </c>
      <c r="I110">
        <v>3.3918333333333299</v>
      </c>
      <c r="J110">
        <v>0.46908335634853099</v>
      </c>
      <c r="K110">
        <v>214.61940740384901</v>
      </c>
      <c r="L110">
        <v>30.864623440413901</v>
      </c>
      <c r="M110">
        <v>0.62661069075122999</v>
      </c>
      <c r="N110">
        <v>18543.116799692601</v>
      </c>
      <c r="O110">
        <v>2666.70346525177</v>
      </c>
      <c r="P110">
        <v>54139.163680906197</v>
      </c>
      <c r="Q110">
        <v>12928.8432754689</v>
      </c>
      <c r="R110">
        <v>0.73016526189674902</v>
      </c>
      <c r="S110">
        <v>9440.1922362547994</v>
      </c>
    </row>
    <row r="111" spans="1:19" x14ac:dyDescent="0.75">
      <c r="A111" s="1">
        <v>45323</v>
      </c>
      <c r="B111">
        <v>0.38484495885044201</v>
      </c>
      <c r="C111">
        <v>-8.3121386732682598</v>
      </c>
      <c r="D111">
        <v>2.9161522356951002</v>
      </c>
      <c r="E111" t="s">
        <v>20</v>
      </c>
      <c r="F111">
        <v>-7.9272937144178197</v>
      </c>
      <c r="G111">
        <v>3.5065416666666702</v>
      </c>
      <c r="H111">
        <v>12.85</v>
      </c>
      <c r="I111">
        <v>3.5572222222222201</v>
      </c>
      <c r="J111">
        <v>0.447861817693333</v>
      </c>
      <c r="K111">
        <v>187.54928929889701</v>
      </c>
      <c r="L111">
        <v>29.771308755372601</v>
      </c>
      <c r="M111">
        <v>0.61250805798869001</v>
      </c>
      <c r="N111">
        <v>16204.258595424701</v>
      </c>
      <c r="O111">
        <v>2572.24107646419</v>
      </c>
      <c r="P111">
        <v>52920.696210222799</v>
      </c>
      <c r="Q111">
        <v>12703.207635635001</v>
      </c>
      <c r="R111">
        <v>0.68369055116013799</v>
      </c>
      <c r="S111">
        <v>8685.0630299089607</v>
      </c>
    </row>
    <row r="112" spans="1:19" x14ac:dyDescent="0.75">
      <c r="A112" s="1">
        <v>45324</v>
      </c>
      <c r="B112">
        <v>0.37836257544771801</v>
      </c>
      <c r="C112">
        <v>-8.2882331153651307</v>
      </c>
      <c r="D112">
        <v>3.0191853879078399</v>
      </c>
      <c r="E112" t="s">
        <v>20</v>
      </c>
      <c r="F112">
        <v>-7.9098705399174101</v>
      </c>
      <c r="G112">
        <v>3.5640416666666699</v>
      </c>
      <c r="H112">
        <v>12.382</v>
      </c>
      <c r="I112">
        <v>3.6290555555555599</v>
      </c>
      <c r="J112">
        <v>0.428184410914276</v>
      </c>
      <c r="K112">
        <v>164.58114052638501</v>
      </c>
      <c r="L112">
        <v>28.816376932568598</v>
      </c>
      <c r="M112">
        <v>0.59911914391284504</v>
      </c>
      <c r="N112">
        <v>14219.810541479699</v>
      </c>
      <c r="O112">
        <v>2489.7349669739301</v>
      </c>
      <c r="P112">
        <v>51763.894034069803</v>
      </c>
      <c r="Q112">
        <v>12001.4908554383</v>
      </c>
      <c r="R112">
        <v>0.64155813892026703</v>
      </c>
      <c r="S112">
        <v>7699.6541374835897</v>
      </c>
    </row>
    <row r="113" spans="1:19" x14ac:dyDescent="0.75">
      <c r="A113" s="1">
        <v>45325</v>
      </c>
      <c r="B113">
        <v>0.40285191061370901</v>
      </c>
      <c r="C113">
        <v>-8.0627521730345304</v>
      </c>
      <c r="D113">
        <v>3.0452566623756798</v>
      </c>
      <c r="E113" t="s">
        <v>20</v>
      </c>
      <c r="F113">
        <v>-7.6599002624208197</v>
      </c>
      <c r="G113">
        <v>3.5650416666666702</v>
      </c>
      <c r="H113">
        <v>12.621</v>
      </c>
      <c r="I113">
        <v>3.6166111111111099</v>
      </c>
      <c r="J113">
        <v>0.410362310876137</v>
      </c>
      <c r="K113">
        <v>145.41978209716501</v>
      </c>
      <c r="L113">
        <v>27.998245104442599</v>
      </c>
      <c r="M113">
        <v>0.586724496727416</v>
      </c>
      <c r="N113">
        <v>12564.269173195</v>
      </c>
      <c r="O113">
        <v>2419.0483770238402</v>
      </c>
      <c r="P113">
        <v>50692.996517248699</v>
      </c>
      <c r="Q113">
        <v>11652.580224351699</v>
      </c>
      <c r="R113">
        <v>0.60397894842817901</v>
      </c>
      <c r="S113">
        <v>7037.9131503789404</v>
      </c>
    </row>
    <row r="114" spans="1:19" x14ac:dyDescent="0.75">
      <c r="A114" s="1">
        <v>45326</v>
      </c>
      <c r="B114">
        <v>0.41748187168914802</v>
      </c>
      <c r="C114">
        <v>-8.1360820357151695</v>
      </c>
      <c r="D114">
        <v>3.0046464215398201</v>
      </c>
      <c r="E114" t="s">
        <v>20</v>
      </c>
      <c r="F114">
        <v>-7.7186001640260198</v>
      </c>
      <c r="G114">
        <v>3.4757500000000001</v>
      </c>
      <c r="H114">
        <v>12.691000000000001</v>
      </c>
      <c r="I114">
        <v>3.57988888888889</v>
      </c>
      <c r="J114">
        <v>0.407937495420445</v>
      </c>
      <c r="K114">
        <v>143.04460091539201</v>
      </c>
      <c r="L114">
        <v>27.304870110649301</v>
      </c>
      <c r="M114">
        <v>0.584996432674186</v>
      </c>
      <c r="N114">
        <v>12359.053519089901</v>
      </c>
      <c r="O114">
        <v>2359.1407775601001</v>
      </c>
      <c r="P114">
        <v>50543.691783049697</v>
      </c>
      <c r="Q114">
        <v>11775.290428350299</v>
      </c>
      <c r="R114">
        <v>0.59941088810166698</v>
      </c>
      <c r="S114">
        <v>7058.2372933124998</v>
      </c>
    </row>
    <row r="115" spans="1:19" x14ac:dyDescent="0.75">
      <c r="A115" s="1">
        <v>45327</v>
      </c>
      <c r="B115">
        <v>0.39365773041303598</v>
      </c>
      <c r="C115">
        <v>-8.1689608260689592</v>
      </c>
      <c r="D115">
        <v>3.0557166833649201</v>
      </c>
      <c r="E115" t="s">
        <v>20</v>
      </c>
      <c r="F115">
        <v>-7.7753030956559197</v>
      </c>
      <c r="G115">
        <v>3.3663333333333298</v>
      </c>
      <c r="H115">
        <v>13.666</v>
      </c>
      <c r="I115">
        <v>3.4291111111111099</v>
      </c>
      <c r="J115">
        <v>0.40642859088748501</v>
      </c>
      <c r="K115">
        <v>141.37310745395001</v>
      </c>
      <c r="L115">
        <v>26.7229566788757</v>
      </c>
      <c r="M115">
        <v>0.58395677971624604</v>
      </c>
      <c r="N115">
        <v>12214.636484021201</v>
      </c>
      <c r="O115">
        <v>2308.8634570548602</v>
      </c>
      <c r="P115">
        <v>50453.865767483701</v>
      </c>
      <c r="Q115">
        <v>11557.9124954566</v>
      </c>
      <c r="R115">
        <v>0.59566467772283505</v>
      </c>
      <c r="S115">
        <v>6884.6402217548703</v>
      </c>
    </row>
    <row r="116" spans="1:19" x14ac:dyDescent="0.75">
      <c r="A116" s="1">
        <v>45328</v>
      </c>
      <c r="B116">
        <v>0.37725522723765498</v>
      </c>
      <c r="C116">
        <v>-7.5546267473500901</v>
      </c>
      <c r="D116">
        <v>2.9771423832765098</v>
      </c>
      <c r="E116" t="s">
        <v>20</v>
      </c>
      <c r="F116">
        <v>-7.1773715201124304</v>
      </c>
      <c r="G116">
        <v>3.4428333333333301</v>
      </c>
      <c r="H116">
        <v>13.026</v>
      </c>
      <c r="I116">
        <v>3.5072222222222198</v>
      </c>
      <c r="J116">
        <v>0.39289541988174898</v>
      </c>
      <c r="K116">
        <v>128.116954112005</v>
      </c>
      <c r="L116">
        <v>26.242077435554901</v>
      </c>
      <c r="M116">
        <v>0.57430952131618795</v>
      </c>
      <c r="N116">
        <v>11069.3048352773</v>
      </c>
      <c r="O116">
        <v>2267.3154904319399</v>
      </c>
      <c r="P116">
        <v>49620.3426417187</v>
      </c>
      <c r="Q116">
        <v>11666.973015572101</v>
      </c>
      <c r="R116">
        <v>0.56778461774528999</v>
      </c>
      <c r="S116">
        <v>6624.3278138912301</v>
      </c>
    </row>
    <row r="117" spans="1:19" x14ac:dyDescent="0.75">
      <c r="A117" s="1">
        <v>45329</v>
      </c>
      <c r="B117">
        <v>0.39399978665123297</v>
      </c>
      <c r="C117">
        <v>-7.3400986575900804</v>
      </c>
      <c r="D117">
        <v>3.0938316277246498</v>
      </c>
      <c r="E117" t="s">
        <v>20</v>
      </c>
      <c r="F117">
        <v>-6.94609887093885</v>
      </c>
      <c r="G117">
        <v>3.6259999999999999</v>
      </c>
      <c r="H117">
        <v>12.797000000000001</v>
      </c>
      <c r="I117">
        <v>3.6792777777777799</v>
      </c>
      <c r="J117">
        <v>0.37817626165555401</v>
      </c>
      <c r="K117">
        <v>114.635626472213</v>
      </c>
      <c r="L117">
        <v>25.855747395874101</v>
      </c>
      <c r="M117">
        <v>0.56362748065143498</v>
      </c>
      <c r="N117">
        <v>9904.5181271991896</v>
      </c>
      <c r="O117">
        <v>2233.9365750035199</v>
      </c>
      <c r="P117">
        <v>48697.414328284001</v>
      </c>
      <c r="Q117">
        <v>11018.114148270201</v>
      </c>
      <c r="R117">
        <v>0.53781533893705402</v>
      </c>
      <c r="S117">
        <v>5925.7107950990903</v>
      </c>
    </row>
    <row r="118" spans="1:19" x14ac:dyDescent="0.75">
      <c r="A118" s="1">
        <v>45330</v>
      </c>
      <c r="B118">
        <v>0.40755827628500402</v>
      </c>
      <c r="C118">
        <v>-7.2810364684935402</v>
      </c>
      <c r="D118">
        <v>3.1643546033860201</v>
      </c>
      <c r="E118" t="s">
        <v>20</v>
      </c>
      <c r="F118">
        <v>-6.8734781922085304</v>
      </c>
      <c r="G118">
        <v>3.7753333333333301</v>
      </c>
      <c r="H118">
        <v>12.018000000000001</v>
      </c>
      <c r="I118">
        <v>3.82205555555556</v>
      </c>
      <c r="J118">
        <v>0.36505407632027398</v>
      </c>
      <c r="K118">
        <v>103.42680523646101</v>
      </c>
      <c r="L118">
        <v>25.557269129694301</v>
      </c>
      <c r="M118">
        <v>0.55392626355777297</v>
      </c>
      <c r="N118">
        <v>8936.0759724302297</v>
      </c>
      <c r="O118">
        <v>2208.1480528055899</v>
      </c>
      <c r="P118">
        <v>47859.229171391598</v>
      </c>
      <c r="Q118">
        <v>10587.1384907765</v>
      </c>
      <c r="R118">
        <v>0.51147445775255995</v>
      </c>
      <c r="S118">
        <v>5415.0509187211801</v>
      </c>
    </row>
    <row r="119" spans="1:19" x14ac:dyDescent="0.75">
      <c r="A119" s="1">
        <v>45332</v>
      </c>
      <c r="B119">
        <v>0.42567309611974102</v>
      </c>
      <c r="C119">
        <v>-6.7915499387631</v>
      </c>
      <c r="D119">
        <v>3.17147290910414</v>
      </c>
      <c r="E119" t="s">
        <v>20</v>
      </c>
      <c r="F119">
        <v>-6.3658768426433596</v>
      </c>
      <c r="G119">
        <v>3.651875</v>
      </c>
      <c r="H119">
        <v>13.281000000000001</v>
      </c>
      <c r="I119">
        <v>3.7096111111111099</v>
      </c>
      <c r="J119">
        <v>0.33043734042013501</v>
      </c>
      <c r="K119">
        <v>77.409595135761194</v>
      </c>
      <c r="L119">
        <v>25.2447135464854</v>
      </c>
      <c r="M119">
        <v>0.52743594107076996</v>
      </c>
      <c r="N119">
        <v>6688.1890197297698</v>
      </c>
      <c r="O119">
        <v>2181.1432504163399</v>
      </c>
      <c r="P119">
        <v>45570.465308514496</v>
      </c>
      <c r="Q119">
        <v>10058.2053292616</v>
      </c>
      <c r="R119">
        <v>0.44415643378813602</v>
      </c>
      <c r="S119">
        <v>4467.4166093536696</v>
      </c>
    </row>
    <row r="120" spans="1:19" x14ac:dyDescent="0.75">
      <c r="A120" s="1">
        <v>45333</v>
      </c>
      <c r="B120">
        <v>0.44263989855123798</v>
      </c>
      <c r="C120">
        <v>-6.6714924004531904</v>
      </c>
      <c r="D120">
        <v>3.1663958062450202</v>
      </c>
      <c r="E120" t="s">
        <v>20</v>
      </c>
      <c r="F120">
        <v>-6.2288525019019501</v>
      </c>
      <c r="G120">
        <v>3.5774166666666698</v>
      </c>
      <c r="H120">
        <v>13.884</v>
      </c>
      <c r="I120">
        <v>3.6351111111111098</v>
      </c>
      <c r="J120">
        <v>0.32047680913543602</v>
      </c>
      <c r="K120">
        <v>70.811315496983596</v>
      </c>
      <c r="L120">
        <v>25.247411586853001</v>
      </c>
      <c r="M120">
        <v>0.51955679184468795</v>
      </c>
      <c r="N120">
        <v>6118.0976589393904</v>
      </c>
      <c r="O120">
        <v>2181.3763611040999</v>
      </c>
      <c r="P120">
        <v>44889.706815381003</v>
      </c>
      <c r="Q120">
        <v>9923.8366564256303</v>
      </c>
      <c r="R120">
        <v>0.42527810906288099</v>
      </c>
      <c r="S120">
        <v>4220.3904878936</v>
      </c>
    </row>
    <row r="121" spans="1:19" x14ac:dyDescent="0.75">
      <c r="A121" s="1">
        <v>45334</v>
      </c>
      <c r="B121">
        <v>0.44104231305446101</v>
      </c>
      <c r="C121">
        <v>-6.8011590347937902</v>
      </c>
      <c r="D121">
        <v>3.2435692085494399</v>
      </c>
      <c r="E121" t="s">
        <v>20</v>
      </c>
      <c r="F121">
        <v>-6.3601167217393302</v>
      </c>
      <c r="G121">
        <v>3.39408333333333</v>
      </c>
      <c r="H121">
        <v>14.76</v>
      </c>
      <c r="I121">
        <v>3.44783333333333</v>
      </c>
      <c r="J121">
        <v>0.31292641524677001</v>
      </c>
      <c r="K121">
        <v>66.115399037074098</v>
      </c>
      <c r="L121">
        <v>25.365817410273099</v>
      </c>
      <c r="M121">
        <v>0.51348279271678898</v>
      </c>
      <c r="N121">
        <v>5712.3704768032003</v>
      </c>
      <c r="O121">
        <v>2191.6066242475999</v>
      </c>
      <c r="P121">
        <v>44364.913290730598</v>
      </c>
      <c r="Q121">
        <v>9574.4648277135802</v>
      </c>
      <c r="R121">
        <v>0.411466520277456</v>
      </c>
      <c r="S121">
        <v>3939.5717261782002</v>
      </c>
    </row>
    <row r="122" spans="1:19" x14ac:dyDescent="0.75">
      <c r="A122" s="1">
        <v>45335</v>
      </c>
      <c r="B122">
        <v>0.41339305934335302</v>
      </c>
      <c r="C122">
        <v>-6.3257068009526103</v>
      </c>
      <c r="D122">
        <v>3.12201983286778</v>
      </c>
      <c r="E122" t="s">
        <v>20</v>
      </c>
      <c r="F122">
        <v>-5.9123137416092604</v>
      </c>
      <c r="G122">
        <v>3.4954166666666699</v>
      </c>
      <c r="H122">
        <v>15.68</v>
      </c>
      <c r="I122">
        <v>3.57355555555556</v>
      </c>
      <c r="J122">
        <v>0.31237452020358603</v>
      </c>
      <c r="K122">
        <v>65.739744970042807</v>
      </c>
      <c r="L122">
        <v>25.6057559897395</v>
      </c>
      <c r="M122">
        <v>0.51305012828429397</v>
      </c>
      <c r="N122">
        <v>5679.9139654116998</v>
      </c>
      <c r="O122">
        <v>2212.3373175134998</v>
      </c>
      <c r="P122">
        <v>44327.531083763002</v>
      </c>
      <c r="Q122">
        <v>9938.8451770761603</v>
      </c>
      <c r="R122">
        <v>0.41019712518088902</v>
      </c>
      <c r="S122">
        <v>4076.8857192545802</v>
      </c>
    </row>
    <row r="123" spans="1:19" x14ac:dyDescent="0.75">
      <c r="A123" s="1">
        <v>45337</v>
      </c>
      <c r="B123">
        <v>0.18705095243421699</v>
      </c>
      <c r="C123">
        <v>-6.0692783625647397</v>
      </c>
      <c r="D123">
        <v>3.4275980369241199</v>
      </c>
      <c r="E123" t="s">
        <v>20</v>
      </c>
      <c r="F123">
        <v>-5.8822274101305201</v>
      </c>
      <c r="G123">
        <v>3.7352083333333299</v>
      </c>
      <c r="H123">
        <v>13.779</v>
      </c>
      <c r="I123">
        <v>3.80047058823529</v>
      </c>
      <c r="J123">
        <v>0.289033469733606</v>
      </c>
      <c r="K123">
        <v>52.418158386261702</v>
      </c>
      <c r="L123">
        <v>26.469356298815701</v>
      </c>
      <c r="M123">
        <v>0.49383489778540302</v>
      </c>
      <c r="N123">
        <v>4528.9288845730098</v>
      </c>
      <c r="O123">
        <v>2286.95238421768</v>
      </c>
      <c r="P123">
        <v>42667.335168658901</v>
      </c>
      <c r="Q123">
        <v>8713.7214738469102</v>
      </c>
      <c r="R123">
        <v>0.36724157844703897</v>
      </c>
      <c r="S123">
        <v>3200.0408282034</v>
      </c>
    </row>
    <row r="124" spans="1:19" x14ac:dyDescent="0.75">
      <c r="A124" s="1">
        <v>45338</v>
      </c>
      <c r="B124">
        <v>0.209254508318648</v>
      </c>
      <c r="C124">
        <v>-6.3597144823397098</v>
      </c>
      <c r="D124">
        <v>3.62748240751039</v>
      </c>
      <c r="E124" t="s">
        <v>20</v>
      </c>
      <c r="F124">
        <v>-6.1504599740210599</v>
      </c>
      <c r="G124">
        <v>3.69933333333333</v>
      </c>
      <c r="H124">
        <v>13.814</v>
      </c>
      <c r="I124">
        <v>3.75682352941176</v>
      </c>
      <c r="J124">
        <v>0.282548702976194</v>
      </c>
      <c r="K124">
        <v>49.073809549864002</v>
      </c>
      <c r="L124">
        <v>27.100840850071599</v>
      </c>
      <c r="M124">
        <v>0.48835221882510099</v>
      </c>
      <c r="N124">
        <v>4239.9771451082497</v>
      </c>
      <c r="O124">
        <v>2341.5126494461902</v>
      </c>
      <c r="P124">
        <v>42193.631706488697</v>
      </c>
      <c r="Q124">
        <v>8142.1600097608498</v>
      </c>
      <c r="R124">
        <v>0.355650390447453</v>
      </c>
      <c r="S124">
        <v>2895.7623865570899</v>
      </c>
    </row>
    <row r="125" spans="1:19" x14ac:dyDescent="0.75">
      <c r="A125" s="1">
        <v>45340</v>
      </c>
      <c r="B125">
        <v>0.46029522672415302</v>
      </c>
      <c r="C125">
        <v>-7.3962049483804302</v>
      </c>
      <c r="D125">
        <v>3.1121455903583799</v>
      </c>
      <c r="E125" t="s">
        <v>20</v>
      </c>
      <c r="F125">
        <v>-6.9359097216562802</v>
      </c>
      <c r="G125">
        <v>4.2873333333333301</v>
      </c>
      <c r="H125">
        <v>13.91</v>
      </c>
      <c r="I125">
        <v>4.3498823529411803</v>
      </c>
      <c r="J125">
        <v>0.37816451920782701</v>
      </c>
      <c r="K125">
        <v>115.450188714067</v>
      </c>
      <c r="L125">
        <v>28.775628139235799</v>
      </c>
      <c r="M125">
        <v>0.56343118861199704</v>
      </c>
      <c r="N125">
        <v>9974.8963048953992</v>
      </c>
      <c r="O125">
        <v>2486.2142712299701</v>
      </c>
      <c r="P125">
        <v>48680.454696076602</v>
      </c>
      <c r="Q125">
        <v>10949.461488184899</v>
      </c>
      <c r="R125">
        <v>0.54184239751843899</v>
      </c>
      <c r="S125">
        <v>5932.8824642939298</v>
      </c>
    </row>
    <row r="126" spans="1:19" x14ac:dyDescent="0.75">
      <c r="A126" s="1">
        <v>45341</v>
      </c>
      <c r="B126">
        <v>0.42217597210271401</v>
      </c>
      <c r="C126">
        <v>-7.4479432467096602</v>
      </c>
      <c r="D126">
        <v>3.0146225928353698</v>
      </c>
      <c r="E126" t="s">
        <v>20</v>
      </c>
      <c r="F126">
        <v>-7.0257672746069497</v>
      </c>
      <c r="G126">
        <v>3.9372083333333299</v>
      </c>
      <c r="H126">
        <v>12.859</v>
      </c>
      <c r="I126">
        <v>4.0233529411764701</v>
      </c>
      <c r="J126">
        <v>0.40366030883576898</v>
      </c>
      <c r="K126">
        <v>138.55889089132799</v>
      </c>
      <c r="L126">
        <v>29.822371909748401</v>
      </c>
      <c r="M126">
        <v>0.58200297856745997</v>
      </c>
      <c r="N126">
        <v>11971.488173010801</v>
      </c>
      <c r="O126">
        <v>2576.6529330022599</v>
      </c>
      <c r="P126">
        <v>50285.057348228598</v>
      </c>
      <c r="Q126">
        <v>11676.2676122099</v>
      </c>
      <c r="R126">
        <v>0.58978421228897304</v>
      </c>
      <c r="S126">
        <v>6886.4782961424798</v>
      </c>
    </row>
    <row r="127" spans="1:19" x14ac:dyDescent="0.75">
      <c r="A127" s="1">
        <v>45342</v>
      </c>
      <c r="B127">
        <v>0.44102599294001099</v>
      </c>
      <c r="C127">
        <v>-7.3852935224107101</v>
      </c>
      <c r="D127">
        <v>3.0580976384445</v>
      </c>
      <c r="E127" t="s">
        <v>20</v>
      </c>
      <c r="F127">
        <v>-6.9442675294707001</v>
      </c>
      <c r="G127">
        <v>4.0458749999999997</v>
      </c>
      <c r="H127">
        <v>13.07</v>
      </c>
      <c r="I127">
        <v>4.1187647058823504</v>
      </c>
      <c r="J127">
        <v>0.40028435511416499</v>
      </c>
      <c r="K127">
        <v>135.227048126569</v>
      </c>
      <c r="L127">
        <v>31.001772849218899</v>
      </c>
      <c r="M127">
        <v>0.57960146773855103</v>
      </c>
      <c r="N127">
        <v>11683.616958135501</v>
      </c>
      <c r="O127">
        <v>2678.5531741725199</v>
      </c>
      <c r="P127">
        <v>50077.566812610799</v>
      </c>
      <c r="Q127">
        <v>11462.778796905201</v>
      </c>
      <c r="R127">
        <v>0.58286164149580599</v>
      </c>
      <c r="S127">
        <v>6681.2140656675101</v>
      </c>
    </row>
    <row r="128" spans="1:19" x14ac:dyDescent="0.75">
      <c r="A128" s="1">
        <v>45343</v>
      </c>
      <c r="B128">
        <v>0.44440918791943901</v>
      </c>
      <c r="C128">
        <v>-7.3410171865017704</v>
      </c>
      <c r="D128">
        <v>3.0922190384041701</v>
      </c>
      <c r="E128" t="s">
        <v>20</v>
      </c>
      <c r="F128">
        <v>-6.8966079985823301</v>
      </c>
      <c r="G128">
        <v>4.0579999999999998</v>
      </c>
      <c r="H128">
        <v>12.762</v>
      </c>
      <c r="I128">
        <v>4.13947058823529</v>
      </c>
      <c r="J128">
        <v>0.391894376212995</v>
      </c>
      <c r="K128">
        <v>127.14481507838801</v>
      </c>
      <c r="L128">
        <v>32.303396846806201</v>
      </c>
      <c r="M128">
        <v>0.57359438154161502</v>
      </c>
      <c r="N128">
        <v>10985.3120227728</v>
      </c>
      <c r="O128">
        <v>2791.0134875640501</v>
      </c>
      <c r="P128">
        <v>49558.554565195504</v>
      </c>
      <c r="Q128">
        <v>11218.8004034605</v>
      </c>
      <c r="R128">
        <v>0.56561997011849896</v>
      </c>
      <c r="S128">
        <v>6345.5775489707103</v>
      </c>
    </row>
    <row r="129" spans="1:19" x14ac:dyDescent="0.75">
      <c r="A129" s="1">
        <v>45344</v>
      </c>
      <c r="B129">
        <v>0.46095253481045501</v>
      </c>
      <c r="C129">
        <v>-7.2248113286262097</v>
      </c>
      <c r="D129">
        <v>3.0506123420518501</v>
      </c>
      <c r="E129" t="s">
        <v>20</v>
      </c>
      <c r="F129">
        <v>-6.7638587938157499</v>
      </c>
      <c r="G129">
        <v>4.0228333333333302</v>
      </c>
      <c r="H129">
        <v>12.585000000000001</v>
      </c>
      <c r="I129">
        <v>4.1011176470588202</v>
      </c>
      <c r="J129">
        <v>0.383096347253301</v>
      </c>
      <c r="K129">
        <v>119.037540418137</v>
      </c>
      <c r="L129">
        <v>33.1727637915195</v>
      </c>
      <c r="M129">
        <v>0.56722019846474203</v>
      </c>
      <c r="N129">
        <v>10284.843492127</v>
      </c>
      <c r="O129">
        <v>2866.12679158729</v>
      </c>
      <c r="P129">
        <v>49007.825147353702</v>
      </c>
      <c r="Q129">
        <v>11245.439851618001</v>
      </c>
      <c r="R129">
        <v>0.54780279807439403</v>
      </c>
      <c r="S129">
        <v>6160.2834162936297</v>
      </c>
    </row>
    <row r="130" spans="1:19" x14ac:dyDescent="0.75">
      <c r="A130" s="1">
        <v>45345</v>
      </c>
      <c r="B130">
        <v>0.43913831744126502</v>
      </c>
      <c r="C130">
        <v>-7.4821747386829998</v>
      </c>
      <c r="D130">
        <v>3.1333798485809901</v>
      </c>
      <c r="E130" t="s">
        <v>20</v>
      </c>
      <c r="F130">
        <v>-7.0430364212417302</v>
      </c>
      <c r="G130">
        <v>3.798</v>
      </c>
      <c r="H130">
        <v>12.78</v>
      </c>
      <c r="I130">
        <v>3.8848235294117601</v>
      </c>
      <c r="J130">
        <v>0.37191753701689201</v>
      </c>
      <c r="K130">
        <v>109.187064263758</v>
      </c>
      <c r="L130">
        <v>33.510127930234503</v>
      </c>
      <c r="M130">
        <v>0.55902396729467896</v>
      </c>
      <c r="N130">
        <v>9433.7623523886905</v>
      </c>
      <c r="O130">
        <v>2895.27505317226</v>
      </c>
      <c r="P130">
        <v>48299.670774260201</v>
      </c>
      <c r="Q130">
        <v>10790.191797937799</v>
      </c>
      <c r="R130">
        <v>0.52516298003717798</v>
      </c>
      <c r="S130">
        <v>5666.6092797777301</v>
      </c>
    </row>
    <row r="131" spans="1:19" x14ac:dyDescent="0.75">
      <c r="A131" s="1">
        <v>45346</v>
      </c>
      <c r="B131">
        <v>0.46066231747005498</v>
      </c>
      <c r="C131">
        <v>-7.0369915781808299</v>
      </c>
      <c r="D131">
        <v>3.0162897462802598</v>
      </c>
      <c r="E131" t="s">
        <v>20</v>
      </c>
      <c r="F131">
        <v>-6.5763292607107697</v>
      </c>
      <c r="G131">
        <v>3.6849166666666702</v>
      </c>
      <c r="H131">
        <v>13.587</v>
      </c>
      <c r="I131">
        <v>3.7829999999999999</v>
      </c>
      <c r="J131">
        <v>0.36426733232254399</v>
      </c>
      <c r="K131">
        <v>102.829420138515</v>
      </c>
      <c r="L131">
        <v>33.833632891068703</v>
      </c>
      <c r="M131">
        <v>0.55332679510802696</v>
      </c>
      <c r="N131">
        <v>8884.4618999676695</v>
      </c>
      <c r="O131">
        <v>2923.2258817883398</v>
      </c>
      <c r="P131">
        <v>47807.435097333502</v>
      </c>
      <c r="Q131">
        <v>11094.824232122701</v>
      </c>
      <c r="R131">
        <v>0.51017063800620099</v>
      </c>
      <c r="S131">
        <v>5660.2535570686896</v>
      </c>
    </row>
    <row r="132" spans="1:19" x14ac:dyDescent="0.75">
      <c r="A132" s="1">
        <v>45347</v>
      </c>
      <c r="B132">
        <v>0.46012026266507899</v>
      </c>
      <c r="C132">
        <v>-6.8248702948034596</v>
      </c>
      <c r="D132">
        <v>3.0865847583812198</v>
      </c>
      <c r="E132" t="s">
        <v>20</v>
      </c>
      <c r="F132">
        <v>-6.3647500321383799</v>
      </c>
      <c r="G132">
        <v>3.75075</v>
      </c>
      <c r="H132">
        <v>13.577999999999999</v>
      </c>
      <c r="I132">
        <v>3.84182352941176</v>
      </c>
      <c r="J132">
        <v>0.35008245546794198</v>
      </c>
      <c r="K132">
        <v>91.604648809436696</v>
      </c>
      <c r="L132">
        <v>34.143557197527002</v>
      </c>
      <c r="M132">
        <v>0.54262329819640498</v>
      </c>
      <c r="N132">
        <v>7914.6416571353302</v>
      </c>
      <c r="O132">
        <v>2950.0033418663402</v>
      </c>
      <c r="P132">
        <v>46882.6529641694</v>
      </c>
      <c r="Q132">
        <v>10632.417265006599</v>
      </c>
      <c r="R132">
        <v>0.48222389969892798</v>
      </c>
      <c r="S132">
        <v>5127.2057167576704</v>
      </c>
    </row>
    <row r="133" spans="1:19" x14ac:dyDescent="0.75">
      <c r="A133" s="1">
        <v>45348</v>
      </c>
      <c r="B133">
        <v>0.47512627258507401</v>
      </c>
      <c r="C133">
        <v>-6.6303688392018501</v>
      </c>
      <c r="D133">
        <v>3.10528625133438</v>
      </c>
      <c r="E133" t="s">
        <v>20</v>
      </c>
      <c r="F133">
        <v>-6.1552425666167698</v>
      </c>
      <c r="G133">
        <v>3.8296250000000001</v>
      </c>
      <c r="H133">
        <v>13.404</v>
      </c>
      <c r="I133">
        <v>3.9142352941176499</v>
      </c>
      <c r="J133">
        <v>0.33688687983436499</v>
      </c>
      <c r="K133">
        <v>81.876332148154603</v>
      </c>
      <c r="L133">
        <v>34.440144875654497</v>
      </c>
      <c r="M133">
        <v>0.53247752918195701</v>
      </c>
      <c r="N133">
        <v>7074.1150976005601</v>
      </c>
      <c r="O133">
        <v>2975.6285172565499</v>
      </c>
      <c r="P133">
        <v>46006.058521321102</v>
      </c>
      <c r="Q133">
        <v>10370.780133743299</v>
      </c>
      <c r="R133">
        <v>0.45642875432548902</v>
      </c>
      <c r="S133">
        <v>4733.52225782799</v>
      </c>
    </row>
    <row r="134" spans="1:19" x14ac:dyDescent="0.75">
      <c r="A134" s="1">
        <v>45349</v>
      </c>
      <c r="B134">
        <v>0.46936654598023397</v>
      </c>
      <c r="C134">
        <v>-6.5534977865061697</v>
      </c>
      <c r="D134">
        <v>3.1221950211668101</v>
      </c>
      <c r="E134" t="s">
        <v>20</v>
      </c>
      <c r="F134">
        <v>-6.08413124052593</v>
      </c>
      <c r="G134">
        <v>3.7844583333333301</v>
      </c>
      <c r="H134">
        <v>13.526</v>
      </c>
      <c r="I134">
        <v>3.8736470588235301</v>
      </c>
      <c r="J134">
        <v>0.32580788040364</v>
      </c>
      <c r="K134">
        <v>74.304910436105899</v>
      </c>
      <c r="L134">
        <v>34.723603073675598</v>
      </c>
      <c r="M134">
        <v>0.52378590714905404</v>
      </c>
      <c r="N134">
        <v>6419.9442616795504</v>
      </c>
      <c r="O134">
        <v>3000.1193055655799</v>
      </c>
      <c r="P134">
        <v>45255.102377678297</v>
      </c>
      <c r="Q134">
        <v>10146.250137999399</v>
      </c>
      <c r="R134">
        <v>0.435413731686701</v>
      </c>
      <c r="S134">
        <v>4417.8166352130202</v>
      </c>
    </row>
    <row r="135" spans="1:19" x14ac:dyDescent="0.75">
      <c r="A135" s="1">
        <v>45350</v>
      </c>
      <c r="B135">
        <v>0.48762629613132102</v>
      </c>
      <c r="C135">
        <v>-6.3681511586169997</v>
      </c>
      <c r="D135">
        <v>3.0851928756767801</v>
      </c>
      <c r="E135" t="s">
        <v>20</v>
      </c>
      <c r="F135">
        <v>-5.8805248624856796</v>
      </c>
      <c r="G135">
        <v>3.6814583333333299</v>
      </c>
      <c r="H135">
        <v>14.24</v>
      </c>
      <c r="I135">
        <v>3.78376470588235</v>
      </c>
      <c r="J135">
        <v>0.31468778240586798</v>
      </c>
      <c r="K135">
        <v>67.149679921153293</v>
      </c>
      <c r="L135">
        <v>34.9940706816611</v>
      </c>
      <c r="M135">
        <v>0.51492094717878001</v>
      </c>
      <c r="N135">
        <v>5801.73234518764</v>
      </c>
      <c r="O135">
        <v>3023.4877068955202</v>
      </c>
      <c r="P135">
        <v>44489.169836246598</v>
      </c>
      <c r="Q135">
        <v>10094.1562295489</v>
      </c>
      <c r="R135">
        <v>0.414403586550259</v>
      </c>
      <c r="S135">
        <v>4183.0545447237</v>
      </c>
    </row>
    <row r="136" spans="1:19" x14ac:dyDescent="0.75">
      <c r="A136" s="1">
        <v>45355</v>
      </c>
      <c r="B136">
        <v>0.45750650194481801</v>
      </c>
      <c r="C136">
        <v>-6.9328261864768397</v>
      </c>
      <c r="D136">
        <v>3.0981370678245699</v>
      </c>
      <c r="E136" t="s">
        <v>20</v>
      </c>
      <c r="F136">
        <v>-6.4753196845320202</v>
      </c>
      <c r="G136">
        <v>3.3639999999999999</v>
      </c>
      <c r="H136">
        <v>16.643999999999998</v>
      </c>
      <c r="I136">
        <v>3.45811764705882</v>
      </c>
      <c r="J136">
        <v>0.331604584887492</v>
      </c>
      <c r="K136">
        <v>78.178393208555804</v>
      </c>
      <c r="L136">
        <v>36.1372121660348</v>
      </c>
      <c r="M136">
        <v>0.52836034868617099</v>
      </c>
      <c r="N136">
        <v>6754.6131732192198</v>
      </c>
      <c r="O136">
        <v>3122.2551311453999</v>
      </c>
      <c r="P136">
        <v>45650.334126485199</v>
      </c>
      <c r="Q136">
        <v>10314.338322990299</v>
      </c>
      <c r="R136">
        <v>0.44620660578814603</v>
      </c>
      <c r="S136">
        <v>4602.32589405208</v>
      </c>
    </row>
    <row r="137" spans="1:19" x14ac:dyDescent="0.75">
      <c r="A137" s="1">
        <v>45356</v>
      </c>
      <c r="B137">
        <v>0.49985149180062</v>
      </c>
      <c r="C137">
        <v>-7.3223900115752603</v>
      </c>
      <c r="D137">
        <v>3.2123142183042401</v>
      </c>
      <c r="E137" t="s">
        <v>20</v>
      </c>
      <c r="F137">
        <v>-6.82253851977464</v>
      </c>
      <c r="G137">
        <v>3.2129166666666702</v>
      </c>
      <c r="H137">
        <v>16.95</v>
      </c>
      <c r="I137">
        <v>3.28352941176471</v>
      </c>
      <c r="J137">
        <v>0.32910457260308501</v>
      </c>
      <c r="K137">
        <v>76.494754159800905</v>
      </c>
      <c r="L137">
        <v>36.290814531591003</v>
      </c>
      <c r="M137">
        <v>0.526391749720444</v>
      </c>
      <c r="N137">
        <v>6609.1467594067999</v>
      </c>
      <c r="O137">
        <v>3135.52637552946</v>
      </c>
      <c r="P137">
        <v>45480.2471758463</v>
      </c>
      <c r="Q137">
        <v>9910.6659123460795</v>
      </c>
      <c r="R137">
        <v>0.44155892049170498</v>
      </c>
      <c r="S137">
        <v>4376.1429416094797</v>
      </c>
    </row>
    <row r="138" spans="1:19" x14ac:dyDescent="0.75">
      <c r="A138" s="1">
        <v>45357</v>
      </c>
      <c r="B138">
        <v>0.39987621716410099</v>
      </c>
      <c r="C138">
        <v>-7.4464783269496904</v>
      </c>
      <c r="D138">
        <v>3.0215879955552101</v>
      </c>
      <c r="E138" t="s">
        <v>20</v>
      </c>
      <c r="F138">
        <v>-7.0466021097855904</v>
      </c>
      <c r="G138">
        <v>3.3739166666666698</v>
      </c>
      <c r="H138">
        <v>16.925000000000001</v>
      </c>
      <c r="I138">
        <v>3.5013529411764699</v>
      </c>
      <c r="J138">
        <v>0.361551891285601</v>
      </c>
      <c r="K138">
        <v>100.56947355349099</v>
      </c>
      <c r="L138">
        <v>36.396579877095</v>
      </c>
      <c r="M138">
        <v>0.55130544149120397</v>
      </c>
      <c r="N138">
        <v>8689.2025150216195</v>
      </c>
      <c r="O138">
        <v>3144.6645013810098</v>
      </c>
      <c r="P138">
        <v>47632.790144840103</v>
      </c>
      <c r="Q138">
        <v>11034.9105008479</v>
      </c>
      <c r="R138">
        <v>0.50454889573065098</v>
      </c>
      <c r="S138">
        <v>5567.6519076893501</v>
      </c>
    </row>
    <row r="139" spans="1:19" x14ac:dyDescent="0.75">
      <c r="A139" s="1">
        <v>45358</v>
      </c>
      <c r="B139">
        <v>0.50334120264221105</v>
      </c>
      <c r="C139">
        <v>-7.4442687611573399</v>
      </c>
      <c r="D139">
        <v>3.0110079939031702</v>
      </c>
      <c r="E139" t="s">
        <v>20</v>
      </c>
      <c r="F139">
        <v>-6.9409275585151304</v>
      </c>
      <c r="G139">
        <v>3.1241666666666701</v>
      </c>
      <c r="H139">
        <v>18.067</v>
      </c>
      <c r="I139">
        <v>3.21988235294118</v>
      </c>
      <c r="J139">
        <v>0.35726296225319798</v>
      </c>
      <c r="K139">
        <v>97.129576521435695</v>
      </c>
      <c r="L139">
        <v>36.454233376809597</v>
      </c>
      <c r="M139">
        <v>0.54808130453157</v>
      </c>
      <c r="N139">
        <v>8391.9954114520406</v>
      </c>
      <c r="O139">
        <v>3149.6457637563499</v>
      </c>
      <c r="P139">
        <v>47354.224711527597</v>
      </c>
      <c r="Q139">
        <v>11008.9237109928</v>
      </c>
      <c r="R139">
        <v>0.49604207115344601</v>
      </c>
      <c r="S139">
        <v>5460.8893187711301</v>
      </c>
    </row>
    <row r="140" spans="1:19" x14ac:dyDescent="0.75">
      <c r="A140" s="1">
        <v>45359</v>
      </c>
      <c r="B140">
        <v>0.54917854714070802</v>
      </c>
      <c r="C140">
        <v>-7.4918214867902604</v>
      </c>
      <c r="D140">
        <v>2.98785135942811</v>
      </c>
      <c r="E140" t="s">
        <v>20</v>
      </c>
      <c r="F140">
        <v>-6.9426429396495504</v>
      </c>
      <c r="G140">
        <v>3.0802083333333301</v>
      </c>
      <c r="H140">
        <v>18.253</v>
      </c>
      <c r="I140">
        <v>3.16617647058824</v>
      </c>
      <c r="J140">
        <v>0.35410424381454902</v>
      </c>
      <c r="K140">
        <v>94.637938806923998</v>
      </c>
      <c r="L140">
        <v>36.4666831483256</v>
      </c>
      <c r="M140">
        <v>0.54569630377900502</v>
      </c>
      <c r="N140">
        <v>8176.7179129182396</v>
      </c>
      <c r="O140">
        <v>3150.7214240153298</v>
      </c>
      <c r="P140">
        <v>47148.160646506098</v>
      </c>
      <c r="Q140">
        <v>11045.9686518245</v>
      </c>
      <c r="R140">
        <v>0.48975979344352899</v>
      </c>
      <c r="S140">
        <v>5409.8713253012902</v>
      </c>
    </row>
    <row r="141" spans="1:19" x14ac:dyDescent="0.75">
      <c r="A141" s="1">
        <v>45360</v>
      </c>
      <c r="B141">
        <v>0.474789642231779</v>
      </c>
      <c r="C141">
        <v>-7.7923789902110796</v>
      </c>
      <c r="D141">
        <v>3.0815341962063498</v>
      </c>
      <c r="E141" t="s">
        <v>20</v>
      </c>
      <c r="F141">
        <v>-7.3175893479793004</v>
      </c>
      <c r="G141">
        <v>2.8909583333333302</v>
      </c>
      <c r="H141">
        <v>18.539000000000001</v>
      </c>
      <c r="I141">
        <v>2.9753529411764701</v>
      </c>
      <c r="J141">
        <v>0.35943237947082002</v>
      </c>
      <c r="K141">
        <v>99.150173788040803</v>
      </c>
      <c r="L141">
        <v>36.440916559234402</v>
      </c>
      <c r="M141">
        <v>0.54964674668911895</v>
      </c>
      <c r="N141">
        <v>8566.5750152867295</v>
      </c>
      <c r="O141">
        <v>3148.4951907178502</v>
      </c>
      <c r="P141">
        <v>47489.4789139399</v>
      </c>
      <c r="Q141">
        <v>10787.689872363801</v>
      </c>
      <c r="R141">
        <v>0.50187159953507898</v>
      </c>
      <c r="S141">
        <v>5414.0351715315801</v>
      </c>
    </row>
    <row r="142" spans="1:19" x14ac:dyDescent="0.75">
      <c r="A142" s="1">
        <v>45361</v>
      </c>
      <c r="B142">
        <v>0.53488939182698303</v>
      </c>
      <c r="C142">
        <v>-8.3855876420574802</v>
      </c>
      <c r="D142">
        <v>2.8815226031248402</v>
      </c>
      <c r="E142" t="s">
        <v>20</v>
      </c>
      <c r="F142">
        <v>-7.8506982502304998</v>
      </c>
      <c r="G142">
        <v>3.0106250000000001</v>
      </c>
      <c r="H142">
        <v>19.523</v>
      </c>
      <c r="I142">
        <v>3.14170588235294</v>
      </c>
      <c r="J142">
        <v>0.406281810290894</v>
      </c>
      <c r="K142">
        <v>141.18674197113799</v>
      </c>
      <c r="L142">
        <v>36.383179498396302</v>
      </c>
      <c r="M142">
        <v>0.58386005780262396</v>
      </c>
      <c r="N142">
        <v>12198.5345063064</v>
      </c>
      <c r="O142">
        <v>3143.5067086614399</v>
      </c>
      <c r="P142">
        <v>50445.508994146701</v>
      </c>
      <c r="Q142">
        <v>12254.5824411056</v>
      </c>
      <c r="R142">
        <v>0.59519294085783203</v>
      </c>
      <c r="S142">
        <v>7293.8409621064202</v>
      </c>
    </row>
    <row r="143" spans="1:19" x14ac:dyDescent="0.75">
      <c r="A143" s="1">
        <v>45362</v>
      </c>
      <c r="B143">
        <v>0.51690890805697298</v>
      </c>
      <c r="C143">
        <v>-7.7433579240256503</v>
      </c>
      <c r="D143">
        <v>2.8705626138791902</v>
      </c>
      <c r="E143" t="s">
        <v>20</v>
      </c>
      <c r="F143">
        <v>-7.2264490159686803</v>
      </c>
      <c r="G143">
        <v>3.1242083333333301</v>
      </c>
      <c r="H143">
        <v>18.446999999999999</v>
      </c>
      <c r="I143">
        <v>3.21223529411765</v>
      </c>
      <c r="J143">
        <v>0.400780473530645</v>
      </c>
      <c r="K143">
        <v>135.73061021462999</v>
      </c>
      <c r="L143">
        <v>36.293862308920303</v>
      </c>
      <c r="M143">
        <v>0.57995171394201706</v>
      </c>
      <c r="N143">
        <v>11727.124722544</v>
      </c>
      <c r="O143">
        <v>3135.7897034907101</v>
      </c>
      <c r="P143">
        <v>50107.828084590299</v>
      </c>
      <c r="Q143">
        <v>12219.0261552293</v>
      </c>
      <c r="R143">
        <v>0.58395504023350497</v>
      </c>
      <c r="S143">
        <v>7135.3619100911801</v>
      </c>
    </row>
    <row r="144" spans="1:19" x14ac:dyDescent="0.75">
      <c r="A144" s="1">
        <v>45363</v>
      </c>
      <c r="B144">
        <v>0.52157437975163801</v>
      </c>
      <c r="C144">
        <v>-7.8643381899336404</v>
      </c>
      <c r="D144">
        <v>2.9633356094680399</v>
      </c>
      <c r="E144" t="s">
        <v>20</v>
      </c>
      <c r="F144">
        <v>-7.3427638101820003</v>
      </c>
      <c r="G144">
        <v>3.2286250000000001</v>
      </c>
      <c r="H144">
        <v>16.942</v>
      </c>
      <c r="I144">
        <v>3.3074705882352902</v>
      </c>
      <c r="J144">
        <v>0.39082874908174098</v>
      </c>
      <c r="K144">
        <v>126.148114020802</v>
      </c>
      <c r="L144">
        <v>36.172258644863099</v>
      </c>
      <c r="M144">
        <v>0.57282543628714899</v>
      </c>
      <c r="N144">
        <v>10899.197051397299</v>
      </c>
      <c r="O144">
        <v>3125.2831469161702</v>
      </c>
      <c r="P144">
        <v>49492.117695209701</v>
      </c>
      <c r="Q144">
        <v>11691.042444182</v>
      </c>
      <c r="R144">
        <v>0.56347151321837197</v>
      </c>
      <c r="S144">
        <v>6587.5693771234401</v>
      </c>
    </row>
    <row r="145" spans="1:19" x14ac:dyDescent="0.75">
      <c r="A145" s="1">
        <v>45364</v>
      </c>
      <c r="B145">
        <v>0.51546876459165702</v>
      </c>
      <c r="C145">
        <v>-7.7331786208035602</v>
      </c>
      <c r="D145">
        <v>2.9605386150110902</v>
      </c>
      <c r="E145" t="s">
        <v>20</v>
      </c>
      <c r="F145">
        <v>-7.2177098562118998</v>
      </c>
      <c r="G145">
        <v>3.17970833333333</v>
      </c>
      <c r="H145">
        <v>17.027000000000001</v>
      </c>
      <c r="I145">
        <v>3.2510625000000002</v>
      </c>
      <c r="J145">
        <v>0.381640283735113</v>
      </c>
      <c r="K145">
        <v>117.70270631269101</v>
      </c>
      <c r="L145">
        <v>35.787410579837598</v>
      </c>
      <c r="M145">
        <v>0.56616388753298197</v>
      </c>
      <c r="N145">
        <v>10169.513825416499</v>
      </c>
      <c r="O145">
        <v>3092.03227409797</v>
      </c>
      <c r="P145">
        <v>48916.5598828496</v>
      </c>
      <c r="Q145">
        <v>11566.0007757968</v>
      </c>
      <c r="R145">
        <v>0.54474101271809205</v>
      </c>
      <c r="S145">
        <v>6300.4749757058098</v>
      </c>
    </row>
    <row r="146" spans="1:19" x14ac:dyDescent="0.75">
      <c r="A146" s="1">
        <v>45365</v>
      </c>
      <c r="B146">
        <v>0.50087287495065802</v>
      </c>
      <c r="C146">
        <v>-7.5506834804494503</v>
      </c>
      <c r="D146">
        <v>3.008112751748</v>
      </c>
      <c r="E146" t="s">
        <v>20</v>
      </c>
      <c r="F146">
        <v>-7.0498106054987897</v>
      </c>
      <c r="G146">
        <v>3.2004583333333301</v>
      </c>
      <c r="H146">
        <v>17.145</v>
      </c>
      <c r="I146">
        <v>3.27</v>
      </c>
      <c r="J146">
        <v>0.37009452200722598</v>
      </c>
      <c r="K146">
        <v>107.687889242062</v>
      </c>
      <c r="L146">
        <v>35.028850493967603</v>
      </c>
      <c r="M146">
        <v>0.55766281999556999</v>
      </c>
      <c r="N146">
        <v>9304.2336305141507</v>
      </c>
      <c r="O146">
        <v>3026.4926826788001</v>
      </c>
      <c r="P146">
        <v>48182.067647617201</v>
      </c>
      <c r="Q146">
        <v>11212.161955609299</v>
      </c>
      <c r="R146">
        <v>0.52177409937766595</v>
      </c>
      <c r="S146">
        <v>5850.2157064645598</v>
      </c>
    </row>
    <row r="147" spans="1:19" x14ac:dyDescent="0.75">
      <c r="A147" s="1">
        <v>45366</v>
      </c>
      <c r="B147">
        <v>0.51769887696431605</v>
      </c>
      <c r="C147">
        <v>-7.5965240867001897</v>
      </c>
      <c r="D147">
        <v>3.0609201860887998</v>
      </c>
      <c r="E147" t="s">
        <v>20</v>
      </c>
      <c r="F147">
        <v>-7.0788252097358697</v>
      </c>
      <c r="G147">
        <v>3.1188333333333298</v>
      </c>
      <c r="H147">
        <v>17.315000000000001</v>
      </c>
      <c r="I147">
        <v>3.1933750000000001</v>
      </c>
      <c r="J147">
        <v>0.35538417061682598</v>
      </c>
      <c r="K147">
        <v>95.677781530534901</v>
      </c>
      <c r="L147">
        <v>34.2646026579527</v>
      </c>
      <c r="M147">
        <v>0.54665499627739</v>
      </c>
      <c r="N147">
        <v>8266.5603242382094</v>
      </c>
      <c r="O147">
        <v>2960.4616696471098</v>
      </c>
      <c r="P147">
        <v>47230.991678366503</v>
      </c>
      <c r="Q147">
        <v>10801.227135916401</v>
      </c>
      <c r="R147">
        <v>0.49249258408408503</v>
      </c>
      <c r="S147">
        <v>5319.5242634465903</v>
      </c>
    </row>
    <row r="148" spans="1:19" x14ac:dyDescent="0.75">
      <c r="A148" s="1">
        <v>45367</v>
      </c>
      <c r="B148">
        <v>0.48263326697232301</v>
      </c>
      <c r="C148">
        <v>-7.5201966994411702</v>
      </c>
      <c r="D148">
        <v>3.0879423362287901</v>
      </c>
      <c r="E148" t="s">
        <v>20</v>
      </c>
      <c r="F148">
        <v>-7.0375634324688496</v>
      </c>
      <c r="G148">
        <v>2.9528333333333299</v>
      </c>
      <c r="H148">
        <v>18.236000000000001</v>
      </c>
      <c r="I148">
        <v>3.01525</v>
      </c>
      <c r="J148">
        <v>0.34457818309575999</v>
      </c>
      <c r="K148">
        <v>87.465582680701601</v>
      </c>
      <c r="L148">
        <v>33.4964444047013</v>
      </c>
      <c r="M148">
        <v>0.53841350464587001</v>
      </c>
      <c r="N148">
        <v>7557.0263436126197</v>
      </c>
      <c r="O148">
        <v>2894.0927965661899</v>
      </c>
      <c r="P148">
        <v>46518.926801403199</v>
      </c>
      <c r="Q148">
        <v>10545.2904281725</v>
      </c>
      <c r="R148">
        <v>0.47144764701024799</v>
      </c>
      <c r="S148">
        <v>4971.5523594016304</v>
      </c>
    </row>
    <row r="149" spans="1:19" x14ac:dyDescent="0.75">
      <c r="A149" s="1">
        <v>45368</v>
      </c>
      <c r="B149">
        <v>0.49876362717181499</v>
      </c>
      <c r="C149">
        <v>-7.4751887656127396</v>
      </c>
      <c r="D149">
        <v>3.1294419922611199</v>
      </c>
      <c r="E149" t="s">
        <v>20</v>
      </c>
      <c r="F149">
        <v>-6.9764251384409199</v>
      </c>
      <c r="G149">
        <v>2.8769999999999998</v>
      </c>
      <c r="H149">
        <v>18.876000000000001</v>
      </c>
      <c r="I149">
        <v>2.9435625000000001</v>
      </c>
      <c r="J149">
        <v>0.33439454530424201</v>
      </c>
      <c r="K149">
        <v>80.147378432273001</v>
      </c>
      <c r="L149">
        <v>32.725577849691597</v>
      </c>
      <c r="M149">
        <v>0.53053016407451403</v>
      </c>
      <c r="N149">
        <v>6924.7334965483897</v>
      </c>
      <c r="O149">
        <v>2827.4899262133499</v>
      </c>
      <c r="P149">
        <v>45837.806176038001</v>
      </c>
      <c r="Q149">
        <v>10253.0944502484</v>
      </c>
      <c r="R149">
        <v>0.45177277483259098</v>
      </c>
      <c r="S149">
        <v>4632.0689304093303</v>
      </c>
    </row>
    <row r="150" spans="1:19" x14ac:dyDescent="0.75">
      <c r="A150" s="1">
        <v>45369</v>
      </c>
      <c r="B150">
        <v>0.407122111387065</v>
      </c>
      <c r="C150">
        <v>-7.3651787508841204</v>
      </c>
      <c r="D150">
        <v>3.1732824569842601</v>
      </c>
      <c r="E150" t="s">
        <v>20</v>
      </c>
      <c r="F150">
        <v>-6.95805663949705</v>
      </c>
      <c r="G150">
        <v>2.7917916666666698</v>
      </c>
      <c r="H150">
        <v>19.43</v>
      </c>
      <c r="I150">
        <v>2.8588749999999998</v>
      </c>
      <c r="J150">
        <v>0.327052579862736</v>
      </c>
      <c r="K150">
        <v>75.1129713026925</v>
      </c>
      <c r="L150">
        <v>31.9524058295132</v>
      </c>
      <c r="M150">
        <v>0.52477562852899096</v>
      </c>
      <c r="N150">
        <v>6489.7607205526301</v>
      </c>
      <c r="O150">
        <v>2760.6878636699398</v>
      </c>
      <c r="P150">
        <v>45340.614304904797</v>
      </c>
      <c r="Q150">
        <v>10001.7664496202</v>
      </c>
      <c r="R150">
        <v>0.43764674756402</v>
      </c>
      <c r="S150">
        <v>4377.2405565711997</v>
      </c>
    </row>
    <row r="151" spans="1:19" x14ac:dyDescent="0.75">
      <c r="A151" s="1">
        <v>45370</v>
      </c>
      <c r="B151">
        <v>0.46913353403631403</v>
      </c>
      <c r="C151">
        <v>-6.6300701916561602</v>
      </c>
      <c r="D151">
        <v>3.1131601213069602</v>
      </c>
      <c r="E151" t="s">
        <v>20</v>
      </c>
      <c r="F151">
        <v>-6.1609366576198497</v>
      </c>
      <c r="G151">
        <v>3.0737083333333302</v>
      </c>
      <c r="H151">
        <v>18.934999999999999</v>
      </c>
      <c r="I151">
        <v>3.1170624999999998</v>
      </c>
      <c r="J151">
        <v>0.31563304944791798</v>
      </c>
      <c r="K151">
        <v>67.754344139988604</v>
      </c>
      <c r="L151">
        <v>31.177431077057602</v>
      </c>
      <c r="M151">
        <v>0.51567557528097796</v>
      </c>
      <c r="N151">
        <v>5853.9753336950098</v>
      </c>
      <c r="O151">
        <v>2693.73004505778</v>
      </c>
      <c r="P151">
        <v>44554.369704276498</v>
      </c>
      <c r="Q151">
        <v>10018.135135272199</v>
      </c>
      <c r="R151">
        <v>0.41627287520739598</v>
      </c>
      <c r="S151">
        <v>4170.2779169760097</v>
      </c>
    </row>
    <row r="152" spans="1:19" x14ac:dyDescent="0.75">
      <c r="A152" s="1">
        <v>45374</v>
      </c>
      <c r="B152">
        <v>0.52022344095370499</v>
      </c>
      <c r="C152">
        <v>-7.5771354818633103</v>
      </c>
      <c r="D152">
        <v>3.2525790813228701</v>
      </c>
      <c r="E152" t="s">
        <v>20</v>
      </c>
      <c r="F152">
        <v>-7.0569120409095998</v>
      </c>
      <c r="G152">
        <v>3.1981250000000001</v>
      </c>
      <c r="H152">
        <v>16.763000000000002</v>
      </c>
      <c r="I152">
        <v>3.2743125000000002</v>
      </c>
      <c r="J152">
        <v>0.33642011753720502</v>
      </c>
      <c r="K152">
        <v>81.713924100525304</v>
      </c>
      <c r="L152">
        <v>28.063478103359</v>
      </c>
      <c r="M152">
        <v>0.53206609929335602</v>
      </c>
      <c r="N152">
        <v>7060.0830422853896</v>
      </c>
      <c r="O152">
        <v>2424.6845081302199</v>
      </c>
      <c r="P152">
        <v>45970.510978945997</v>
      </c>
      <c r="Q152">
        <v>9893.4897140684807</v>
      </c>
      <c r="R152">
        <v>0.45650813387309402</v>
      </c>
      <c r="S152">
        <v>4516.4585268620604</v>
      </c>
    </row>
    <row r="153" spans="1:19" x14ac:dyDescent="0.75">
      <c r="A153" s="1">
        <v>45375</v>
      </c>
      <c r="B153">
        <v>0.47885576002456698</v>
      </c>
      <c r="C153">
        <v>-7.1592216994328997</v>
      </c>
      <c r="D153">
        <v>3.1049818825921101</v>
      </c>
      <c r="E153" t="s">
        <v>20</v>
      </c>
      <c r="F153">
        <v>-6.6803659394083299</v>
      </c>
      <c r="G153">
        <v>3.1546666666666701</v>
      </c>
      <c r="H153">
        <v>17.611000000000001</v>
      </c>
      <c r="I153">
        <v>3.2243124999999999</v>
      </c>
      <c r="J153">
        <v>0.33976377952755998</v>
      </c>
      <c r="K153">
        <v>83.940922429604299</v>
      </c>
      <c r="L153">
        <v>27.2824523330891</v>
      </c>
      <c r="M153">
        <v>0.53470517521401595</v>
      </c>
      <c r="N153">
        <v>7252.4956979178096</v>
      </c>
      <c r="O153">
        <v>2357.2038815788901</v>
      </c>
      <c r="P153">
        <v>46198.527138491001</v>
      </c>
      <c r="Q153">
        <v>10415.187662849199</v>
      </c>
      <c r="R153">
        <v>0.46204286782542597</v>
      </c>
      <c r="S153">
        <v>4812.2631766828599</v>
      </c>
    </row>
    <row r="154" spans="1:19" x14ac:dyDescent="0.75">
      <c r="A154" s="1">
        <v>45377</v>
      </c>
      <c r="B154">
        <v>0.48211677599268898</v>
      </c>
      <c r="C154">
        <v>-6.9081394669106402</v>
      </c>
      <c r="D154">
        <v>3.16124920538372</v>
      </c>
      <c r="E154" t="s">
        <v>20</v>
      </c>
      <c r="F154">
        <v>-6.4260226909179501</v>
      </c>
      <c r="G154">
        <v>3.1010833333333299</v>
      </c>
      <c r="H154">
        <v>17.273</v>
      </c>
      <c r="I154">
        <v>3.1637499999999998</v>
      </c>
      <c r="J154">
        <v>0.312952835754156</v>
      </c>
      <c r="K154">
        <v>66.101603259551396</v>
      </c>
      <c r="L154">
        <v>25.718035791820299</v>
      </c>
      <c r="M154">
        <v>0.51351466704862803</v>
      </c>
      <c r="N154">
        <v>5711.1785216252401</v>
      </c>
      <c r="O154">
        <v>2222.03829241328</v>
      </c>
      <c r="P154">
        <v>44367.667233001499</v>
      </c>
      <c r="Q154">
        <v>9824.3969536502209</v>
      </c>
      <c r="R154">
        <v>0.41132040008037901</v>
      </c>
      <c r="S154">
        <v>4040.9748855238599</v>
      </c>
    </row>
    <row r="155" spans="1:19" x14ac:dyDescent="0.75">
      <c r="A155" s="1">
        <v>45378</v>
      </c>
      <c r="B155">
        <v>0.46078508852031602</v>
      </c>
      <c r="C155">
        <v>-7.3654698943940504</v>
      </c>
      <c r="D155">
        <v>3.3137159309608899</v>
      </c>
      <c r="E155" t="s">
        <v>20</v>
      </c>
      <c r="F155">
        <v>-6.9046848058737398</v>
      </c>
      <c r="G155">
        <v>2.89083333333333</v>
      </c>
      <c r="H155">
        <v>18.193999999999999</v>
      </c>
      <c r="I155">
        <v>2.9133125</v>
      </c>
      <c r="J155">
        <v>0.31039298214960098</v>
      </c>
      <c r="K155">
        <v>64.525475162173393</v>
      </c>
      <c r="L155">
        <v>24.9345611182456</v>
      </c>
      <c r="M155">
        <v>0.51144987587648405</v>
      </c>
      <c r="N155">
        <v>5575.0010540117801</v>
      </c>
      <c r="O155">
        <v>2154.3460806164198</v>
      </c>
      <c r="P155">
        <v>44189.269275728198</v>
      </c>
      <c r="Q155">
        <v>9334.6832189203906</v>
      </c>
      <c r="R155">
        <v>0.40645852827925599</v>
      </c>
      <c r="S155">
        <v>3794.1616031154499</v>
      </c>
    </row>
    <row r="156" spans="1:19" x14ac:dyDescent="0.75">
      <c r="A156" s="1">
        <v>45379</v>
      </c>
      <c r="B156">
        <v>0.48307957154424103</v>
      </c>
      <c r="C156">
        <v>-7.5986001025474703</v>
      </c>
      <c r="D156">
        <v>3.2618121894818</v>
      </c>
      <c r="E156" t="s">
        <v>20</v>
      </c>
      <c r="F156">
        <v>-7.1155205310032299</v>
      </c>
      <c r="G156">
        <v>3.078875</v>
      </c>
      <c r="H156">
        <v>17.898</v>
      </c>
      <c r="I156">
        <v>3.06686666666667</v>
      </c>
      <c r="J156">
        <v>0.33337001674003403</v>
      </c>
      <c r="K156">
        <v>79.552349656442601</v>
      </c>
      <c r="L156">
        <v>24.141830644692799</v>
      </c>
      <c r="M156">
        <v>0.52969382107560503</v>
      </c>
      <c r="N156">
        <v>6873.3230103166397</v>
      </c>
      <c r="O156">
        <v>2085.85416770146</v>
      </c>
      <c r="P156">
        <v>45765.546140932303</v>
      </c>
      <c r="Q156">
        <v>9821.4981236372405</v>
      </c>
      <c r="R156">
        <v>0.45050702519818298</v>
      </c>
      <c r="S156">
        <v>4424.6539026693499</v>
      </c>
    </row>
    <row r="157" spans="1:19" x14ac:dyDescent="0.75">
      <c r="A157" s="1">
        <v>45380</v>
      </c>
      <c r="B157">
        <v>0.46926491704239298</v>
      </c>
      <c r="C157">
        <v>-6.9732334689244597</v>
      </c>
      <c r="D157">
        <v>3.1024210617308499</v>
      </c>
      <c r="E157" t="s">
        <v>20</v>
      </c>
      <c r="F157">
        <v>-6.5039685518820702</v>
      </c>
      <c r="G157">
        <v>3.03179166666667</v>
      </c>
      <c r="H157">
        <v>18.506</v>
      </c>
      <c r="I157">
        <v>3.0894666666666701</v>
      </c>
      <c r="J157">
        <v>0.32585191458261697</v>
      </c>
      <c r="K157">
        <v>74.329577744232196</v>
      </c>
      <c r="L157">
        <v>23.3160354867486</v>
      </c>
      <c r="M157">
        <v>0.52382214714432795</v>
      </c>
      <c r="N157">
        <v>6422.0755171016599</v>
      </c>
      <c r="O157">
        <v>2014.50546605508</v>
      </c>
      <c r="P157">
        <v>45258.233513269901</v>
      </c>
      <c r="Q157">
        <v>10211.625962084599</v>
      </c>
      <c r="R157">
        <v>0.43546928887789599</v>
      </c>
      <c r="S157">
        <v>4446.8494959960499</v>
      </c>
    </row>
    <row r="158" spans="1:19" x14ac:dyDescent="0.75">
      <c r="A158" s="1">
        <v>45381</v>
      </c>
      <c r="B158">
        <v>0.47769708336377198</v>
      </c>
      <c r="C158">
        <v>-6.7656708680473097</v>
      </c>
      <c r="D158">
        <v>3.13119951891079</v>
      </c>
      <c r="E158" t="s">
        <v>20</v>
      </c>
      <c r="F158">
        <v>-6.2879737846835404</v>
      </c>
      <c r="G158">
        <v>3.1382083333333299</v>
      </c>
      <c r="H158">
        <v>17.527000000000001</v>
      </c>
      <c r="I158">
        <v>3.2014</v>
      </c>
      <c r="J158">
        <v>0.314408899272344</v>
      </c>
      <c r="K158">
        <v>66.987245814624401</v>
      </c>
      <c r="L158">
        <v>22.476736061983999</v>
      </c>
      <c r="M158">
        <v>0.51469276911497697</v>
      </c>
      <c r="N158">
        <v>5787.6980383835498</v>
      </c>
      <c r="O158">
        <v>1941.9899957554201</v>
      </c>
      <c r="P158">
        <v>44469.455251533996</v>
      </c>
      <c r="Q158">
        <v>9941.4356983875896</v>
      </c>
      <c r="R158">
        <v>0.41395127543274701</v>
      </c>
      <c r="S158">
        <v>4115.26998698019</v>
      </c>
    </row>
    <row r="159" spans="1:19" x14ac:dyDescent="0.75">
      <c r="A159" s="1">
        <v>45382</v>
      </c>
      <c r="B159">
        <v>0.47152093974982401</v>
      </c>
      <c r="C159">
        <v>-6.6866664010847199</v>
      </c>
      <c r="D159">
        <v>3.2007827757468799</v>
      </c>
      <c r="E159" t="s">
        <v>20</v>
      </c>
      <c r="F159">
        <v>-6.2151454613348998</v>
      </c>
      <c r="G159">
        <v>3.1697500000000001</v>
      </c>
      <c r="H159">
        <v>17.552</v>
      </c>
      <c r="I159">
        <v>3.2392666666666701</v>
      </c>
      <c r="J159">
        <v>0.30433387912230397</v>
      </c>
      <c r="K159">
        <v>60.931567220903403</v>
      </c>
      <c r="L159">
        <v>21.626573050717798</v>
      </c>
      <c r="M159">
        <v>0.50651394503500702</v>
      </c>
      <c r="N159">
        <v>5264.4874078860503</v>
      </c>
      <c r="O159">
        <v>1868.5359115820199</v>
      </c>
      <c r="P159">
        <v>43762.804851024601</v>
      </c>
      <c r="Q159">
        <v>9570.7723835051693</v>
      </c>
      <c r="R159">
        <v>0.39527617696518103</v>
      </c>
      <c r="S159">
        <v>3783.0983183558601</v>
      </c>
    </row>
    <row r="160" spans="1:19" x14ac:dyDescent="0.75">
      <c r="A160" s="1">
        <v>45384</v>
      </c>
      <c r="B160">
        <v>0.21357944141258001</v>
      </c>
      <c r="C160">
        <v>-6.3656577814005999</v>
      </c>
      <c r="D160">
        <v>3.3492836503804302</v>
      </c>
      <c r="E160" t="s">
        <v>20</v>
      </c>
      <c r="F160">
        <v>-6.1520783399880203</v>
      </c>
      <c r="G160">
        <v>3.0713333333333299</v>
      </c>
      <c r="H160">
        <v>18.236000000000001</v>
      </c>
      <c r="I160">
        <v>3.1387999999999998</v>
      </c>
      <c r="J160">
        <v>0.28384917906199397</v>
      </c>
      <c r="K160">
        <v>49.7606142100163</v>
      </c>
      <c r="L160">
        <v>19.880568134105602</v>
      </c>
      <c r="M160">
        <v>0.489444630583169</v>
      </c>
      <c r="N160">
        <v>4299.31706774541</v>
      </c>
      <c r="O160">
        <v>1717.68108678672</v>
      </c>
      <c r="P160">
        <v>42288.016082385802</v>
      </c>
      <c r="Q160">
        <v>8838.1917889539709</v>
      </c>
      <c r="R160">
        <v>0.358174382933101</v>
      </c>
      <c r="S160">
        <v>3165.6138902529901</v>
      </c>
    </row>
    <row r="161" spans="1:19" x14ac:dyDescent="0.75">
      <c r="A161" s="1">
        <v>45386</v>
      </c>
      <c r="B161">
        <v>0.47937900748689599</v>
      </c>
      <c r="C161">
        <v>-9.5348383077968695</v>
      </c>
      <c r="D161">
        <v>2.9342598589456199</v>
      </c>
      <c r="E161" t="s">
        <v>20</v>
      </c>
      <c r="F161">
        <v>-9.0554593003099697</v>
      </c>
      <c r="G161">
        <v>2.7861250000000002</v>
      </c>
      <c r="H161">
        <v>18.699000000000002</v>
      </c>
      <c r="I161">
        <v>2.8360666666666701</v>
      </c>
      <c r="J161">
        <v>0.46263968815816398</v>
      </c>
      <c r="K161">
        <v>206.07334970170999</v>
      </c>
      <c r="L161">
        <v>18.026300737984201</v>
      </c>
      <c r="M161">
        <v>0.62237333063395905</v>
      </c>
      <c r="N161">
        <v>17804.7374142277</v>
      </c>
      <c r="O161">
        <v>1557.4723837618401</v>
      </c>
      <c r="P161">
        <v>53773.055766773999</v>
      </c>
      <c r="Q161">
        <v>12828.154576012101</v>
      </c>
      <c r="R161">
        <v>0.71569497769094903</v>
      </c>
      <c r="S161">
        <v>9181.0458030950194</v>
      </c>
    </row>
    <row r="162" spans="1:19" x14ac:dyDescent="0.75">
      <c r="A162" s="1">
        <v>45387</v>
      </c>
      <c r="B162">
        <v>0.48697758361600502</v>
      </c>
      <c r="C162">
        <v>-9.3418697707160891</v>
      </c>
      <c r="D162">
        <v>2.9174627060989402</v>
      </c>
      <c r="E162" t="s">
        <v>20</v>
      </c>
      <c r="F162">
        <v>-8.8548921871000896</v>
      </c>
      <c r="G162">
        <v>2.9457916666666701</v>
      </c>
      <c r="H162">
        <v>17.797000000000001</v>
      </c>
      <c r="I162">
        <v>2.9892666666666701</v>
      </c>
      <c r="J162">
        <v>0.46180890998145602</v>
      </c>
      <c r="K162">
        <v>205.05397458279199</v>
      </c>
      <c r="L162">
        <v>17.047685639333199</v>
      </c>
      <c r="M162">
        <v>0.621815862210647</v>
      </c>
      <c r="N162">
        <v>17716.663403953298</v>
      </c>
      <c r="O162">
        <v>1472.92003923839</v>
      </c>
      <c r="P162">
        <v>53724.890494999898</v>
      </c>
      <c r="Q162">
        <v>12890.4555550553</v>
      </c>
      <c r="R162">
        <v>0.71407542562210602</v>
      </c>
      <c r="S162">
        <v>9204.7575369389797</v>
      </c>
    </row>
    <row r="163" spans="1:19" x14ac:dyDescent="0.75">
      <c r="A163" s="1">
        <v>45388</v>
      </c>
      <c r="B163">
        <v>0.47776825415496199</v>
      </c>
      <c r="C163">
        <v>-9.1216781134687199</v>
      </c>
      <c r="D163">
        <v>2.9631704960343299</v>
      </c>
      <c r="E163" t="s">
        <v>20</v>
      </c>
      <c r="F163">
        <v>-8.6439098593137604</v>
      </c>
      <c r="G163">
        <v>2.9496250000000002</v>
      </c>
      <c r="H163">
        <v>17.518000000000001</v>
      </c>
      <c r="I163">
        <v>3.0059999999999998</v>
      </c>
      <c r="J163">
        <v>0.44628539408593998</v>
      </c>
      <c r="K163">
        <v>185.70091803103199</v>
      </c>
      <c r="L163">
        <v>16.042646588220698</v>
      </c>
      <c r="M163">
        <v>0.61143698698679205</v>
      </c>
      <c r="N163">
        <v>16044.5593178812</v>
      </c>
      <c r="O163">
        <v>1386.0846652222699</v>
      </c>
      <c r="P163">
        <v>52828.155675658803</v>
      </c>
      <c r="Q163">
        <v>12479.777664650701</v>
      </c>
      <c r="R163">
        <v>0.68053375379178105</v>
      </c>
      <c r="S163">
        <v>8492.9099406115693</v>
      </c>
    </row>
    <row r="164" spans="1:19" x14ac:dyDescent="0.75">
      <c r="A164" s="1">
        <v>45389</v>
      </c>
      <c r="B164">
        <v>0.47618197432485598</v>
      </c>
      <c r="C164">
        <v>-8.8279544273152606</v>
      </c>
      <c r="D164">
        <v>2.9896065435089998</v>
      </c>
      <c r="E164" t="s">
        <v>20</v>
      </c>
      <c r="F164">
        <v>-8.3517724529903994</v>
      </c>
      <c r="G164">
        <v>2.9932500000000002</v>
      </c>
      <c r="H164">
        <v>17.052</v>
      </c>
      <c r="I164">
        <v>3.0442666666666698</v>
      </c>
      <c r="J164">
        <v>0.42753270506541102</v>
      </c>
      <c r="K164">
        <v>163.90212610398601</v>
      </c>
      <c r="L164">
        <v>15.252179489631899</v>
      </c>
      <c r="M164">
        <v>0.59866240657770398</v>
      </c>
      <c r="N164">
        <v>14161.1436953844</v>
      </c>
      <c r="O164">
        <v>1317.7883079041901</v>
      </c>
      <c r="P164">
        <v>51724.431928313599</v>
      </c>
      <c r="Q164">
        <v>12110.9924743883</v>
      </c>
      <c r="R164">
        <v>0.640373361022608</v>
      </c>
      <c r="S164">
        <v>7755.5569561435505</v>
      </c>
    </row>
    <row r="165" spans="1:19" x14ac:dyDescent="0.75">
      <c r="A165" s="1">
        <v>45390</v>
      </c>
      <c r="B165">
        <v>0.48607055391923998</v>
      </c>
      <c r="C165">
        <v>-8.7470563735605094</v>
      </c>
      <c r="D165">
        <v>3.0772745193476201</v>
      </c>
      <c r="E165" t="s">
        <v>20</v>
      </c>
      <c r="F165">
        <v>-8.2609858196412702</v>
      </c>
      <c r="G165">
        <v>2.94966666666667</v>
      </c>
      <c r="H165">
        <v>17.111000000000001</v>
      </c>
      <c r="I165">
        <v>2.9993333333333299</v>
      </c>
      <c r="J165">
        <v>0.40719184998976099</v>
      </c>
      <c r="K165">
        <v>142.228871933135</v>
      </c>
      <c r="L165">
        <v>14.7972814622978</v>
      </c>
      <c r="M165">
        <v>0.58448072800084205</v>
      </c>
      <c r="N165">
        <v>12288.574535022801</v>
      </c>
      <c r="O165">
        <v>1278.4851183425301</v>
      </c>
      <c r="P165">
        <v>50499.1348992727</v>
      </c>
      <c r="Q165">
        <v>11487.2411308254</v>
      </c>
      <c r="R165">
        <v>0.59761087614085495</v>
      </c>
      <c r="S165">
        <v>6864.90023663381</v>
      </c>
    </row>
    <row r="166" spans="1:19" x14ac:dyDescent="0.75">
      <c r="A166" s="1">
        <v>45391</v>
      </c>
      <c r="B166">
        <v>0.45955755992705299</v>
      </c>
      <c r="C166">
        <v>-8.2819077049239898</v>
      </c>
      <c r="D166">
        <v>3.0258824087798901</v>
      </c>
      <c r="E166" t="s">
        <v>20</v>
      </c>
      <c r="F166">
        <v>-7.8223501449969302</v>
      </c>
      <c r="G166">
        <v>2.8826666666666698</v>
      </c>
      <c r="H166">
        <v>17.501000000000001</v>
      </c>
      <c r="I166">
        <v>2.9390666666666698</v>
      </c>
      <c r="J166">
        <v>0.38736766261411298</v>
      </c>
      <c r="K166">
        <v>123.006787452334</v>
      </c>
      <c r="L166">
        <v>14.316234692651699</v>
      </c>
      <c r="M166">
        <v>0.57030790413548704</v>
      </c>
      <c r="N166">
        <v>10627.7864358816</v>
      </c>
      <c r="O166">
        <v>1236.9226774451099</v>
      </c>
      <c r="P166">
        <v>49274.602917306001</v>
      </c>
      <c r="Q166">
        <v>11399.062284123</v>
      </c>
      <c r="R166">
        <v>0.55679627670641596</v>
      </c>
      <c r="S166">
        <v>6346.95543774424</v>
      </c>
    </row>
    <row r="167" spans="1:19" x14ac:dyDescent="0.75">
      <c r="A167" s="1">
        <v>45392</v>
      </c>
      <c r="B167">
        <v>0.47728110830849102</v>
      </c>
      <c r="C167">
        <v>-8.4075008174070707</v>
      </c>
      <c r="D167">
        <v>3.16681108898677</v>
      </c>
      <c r="E167" t="s">
        <v>20</v>
      </c>
      <c r="F167">
        <v>-7.93021970909858</v>
      </c>
      <c r="G167">
        <v>2.7688333333333301</v>
      </c>
      <c r="H167">
        <v>18.126000000000001</v>
      </c>
      <c r="I167">
        <v>2.81233333333333</v>
      </c>
      <c r="J167">
        <v>0.36795739652085402</v>
      </c>
      <c r="K167">
        <v>105.929348819217</v>
      </c>
      <c r="L167">
        <v>13.810452678752</v>
      </c>
      <c r="M167">
        <v>0.55606709344899896</v>
      </c>
      <c r="N167">
        <v>9152.2957379803192</v>
      </c>
      <c r="O167">
        <v>1193.2231114441799</v>
      </c>
      <c r="P167">
        <v>48044.196873993496</v>
      </c>
      <c r="Q167">
        <v>10619.811812821399</v>
      </c>
      <c r="R167">
        <v>0.517715979360997</v>
      </c>
      <c r="S167">
        <v>5498.0462733042996</v>
      </c>
    </row>
    <row r="168" spans="1:19" x14ac:dyDescent="0.75">
      <c r="A168" s="1">
        <v>45393</v>
      </c>
      <c r="B168">
        <v>0.73418855953143003</v>
      </c>
      <c r="C168">
        <v>-8.6701878168635407</v>
      </c>
      <c r="D168">
        <v>2.9007731909603498</v>
      </c>
      <c r="E168" t="s">
        <v>20</v>
      </c>
      <c r="F168">
        <v>-7.9359992573321101</v>
      </c>
      <c r="G168">
        <v>2.7082083333333302</v>
      </c>
      <c r="H168">
        <v>18.850999999999999</v>
      </c>
      <c r="I168">
        <v>2.7471333333333301</v>
      </c>
      <c r="J168">
        <v>0.38769351553854597</v>
      </c>
      <c r="K168">
        <v>124.885465018671</v>
      </c>
      <c r="L168">
        <v>13.2809543017643</v>
      </c>
      <c r="M168">
        <v>0.57021150713098101</v>
      </c>
      <c r="N168">
        <v>10790.104177613201</v>
      </c>
      <c r="O168">
        <v>1147.47445167243</v>
      </c>
      <c r="P168">
        <v>49266.274216116799</v>
      </c>
      <c r="Q168">
        <v>11888.6895599943</v>
      </c>
      <c r="R168">
        <v>0.56492055981093503</v>
      </c>
      <c r="S168">
        <v>6716.1651616504196</v>
      </c>
    </row>
    <row r="169" spans="1:19" x14ac:dyDescent="0.75">
      <c r="A169" s="1">
        <v>45394</v>
      </c>
      <c r="B169">
        <v>0.45830246041664302</v>
      </c>
      <c r="C169">
        <v>-8.7268106896582491</v>
      </c>
      <c r="D169">
        <v>3.0396460507263598</v>
      </c>
      <c r="E169" t="s">
        <v>20</v>
      </c>
      <c r="F169">
        <v>-8.2685082292416094</v>
      </c>
      <c r="G169">
        <v>2.5787916666666701</v>
      </c>
      <c r="H169">
        <v>19.43</v>
      </c>
      <c r="I169">
        <v>2.62306666666667</v>
      </c>
      <c r="J169">
        <v>0.39730470900335702</v>
      </c>
      <c r="K169">
        <v>132.47029957809599</v>
      </c>
      <c r="L169">
        <v>12.730153800530699</v>
      </c>
      <c r="M169">
        <v>0.57744589389326195</v>
      </c>
      <c r="N169">
        <v>11445.433883547499</v>
      </c>
      <c r="O169">
        <v>1099.8852883658501</v>
      </c>
      <c r="P169">
        <v>49891.3252323778</v>
      </c>
      <c r="Q169">
        <v>11489.471826602599</v>
      </c>
      <c r="R169">
        <v>0.577408946227564</v>
      </c>
      <c r="S169">
        <v>6634.1238201099004</v>
      </c>
    </row>
    <row r="170" spans="1:19" x14ac:dyDescent="0.75">
      <c r="A170" s="1">
        <v>45395</v>
      </c>
      <c r="B170">
        <v>0.461218637311612</v>
      </c>
      <c r="C170">
        <v>-8.3006808035430204</v>
      </c>
      <c r="D170">
        <v>3.1317098779165198</v>
      </c>
      <c r="E170" t="s">
        <v>20</v>
      </c>
      <c r="F170">
        <v>-7.8394621662314004</v>
      </c>
      <c r="G170">
        <v>2.7112083333333299</v>
      </c>
      <c r="H170">
        <v>18.774999999999999</v>
      </c>
      <c r="I170">
        <v>2.7387333333333301</v>
      </c>
      <c r="J170">
        <v>0.37277473570098701</v>
      </c>
      <c r="K170">
        <v>110.037983983207</v>
      </c>
      <c r="L170">
        <v>12.160444513433999</v>
      </c>
      <c r="M170">
        <v>0.55963049536340004</v>
      </c>
      <c r="N170">
        <v>9507.2818161490704</v>
      </c>
      <c r="O170">
        <v>1050.66240596069</v>
      </c>
      <c r="P170">
        <v>48352.074799397698</v>
      </c>
      <c r="Q170">
        <v>10807.6589719403</v>
      </c>
      <c r="R170">
        <v>0.527466378236917</v>
      </c>
      <c r="S170">
        <v>5700.6767351490498</v>
      </c>
    </row>
    <row r="171" spans="1:19" x14ac:dyDescent="0.75">
      <c r="A171" s="1">
        <v>45396</v>
      </c>
      <c r="B171">
        <v>0.45976738283482099</v>
      </c>
      <c r="C171">
        <v>-7.9345411906683196</v>
      </c>
      <c r="D171">
        <v>3.1838416758042598</v>
      </c>
      <c r="E171" t="s">
        <v>20</v>
      </c>
      <c r="F171">
        <v>-7.4747738078335004</v>
      </c>
      <c r="G171">
        <v>2.8007499999999999</v>
      </c>
      <c r="H171">
        <v>18.277999999999999</v>
      </c>
      <c r="I171">
        <v>2.8261333333333298</v>
      </c>
      <c r="J171">
        <v>0.35060499439180698</v>
      </c>
      <c r="K171">
        <v>92.059433740420999</v>
      </c>
      <c r="L171">
        <v>11.5739819600969</v>
      </c>
      <c r="M171">
        <v>0.54300658494946796</v>
      </c>
      <c r="N171">
        <v>7953.9350751723696</v>
      </c>
      <c r="O171">
        <v>999.99204135236903</v>
      </c>
      <c r="P171">
        <v>46915.768939634101</v>
      </c>
      <c r="Q171">
        <v>10314.909345939101</v>
      </c>
      <c r="R171">
        <v>0.48355413857337898</v>
      </c>
      <c r="S171">
        <v>4987.8171032380897</v>
      </c>
    </row>
    <row r="172" spans="1:19" x14ac:dyDescent="0.75">
      <c r="A172" s="1">
        <v>45397</v>
      </c>
      <c r="B172">
        <v>0.44798294940066402</v>
      </c>
      <c r="C172">
        <v>-7.5870054217565901</v>
      </c>
      <c r="D172">
        <v>3.2142416259774498</v>
      </c>
      <c r="E172" t="s">
        <v>20</v>
      </c>
      <c r="F172">
        <v>-7.1390224723559301</v>
      </c>
      <c r="G172">
        <v>2.7874166666666702</v>
      </c>
      <c r="H172">
        <v>18.48</v>
      </c>
      <c r="I172">
        <v>2.8293333333333299</v>
      </c>
      <c r="J172">
        <v>0.33100978474684201</v>
      </c>
      <c r="K172">
        <v>77.898094329177695</v>
      </c>
      <c r="L172">
        <v>10.9728225611792</v>
      </c>
      <c r="M172">
        <v>0.52785532655616496</v>
      </c>
      <c r="N172">
        <v>6730.3953500409598</v>
      </c>
      <c r="O172">
        <v>948.05186928588103</v>
      </c>
      <c r="P172">
        <v>45606.7002144527</v>
      </c>
      <c r="Q172">
        <v>9932.2620589883609</v>
      </c>
      <c r="R172">
        <v>0.44583185221711802</v>
      </c>
      <c r="S172">
        <v>4428.1187904645903</v>
      </c>
    </row>
    <row r="173" spans="1:19" x14ac:dyDescent="0.75">
      <c r="A173" s="1">
        <v>45398</v>
      </c>
      <c r="B173">
        <v>0.453020702145839</v>
      </c>
      <c r="C173">
        <v>-7.0259112932551799</v>
      </c>
      <c r="D173">
        <v>3.19736678494538</v>
      </c>
      <c r="E173" t="s">
        <v>20</v>
      </c>
      <c r="F173">
        <v>-6.5728905911093403</v>
      </c>
      <c r="G173">
        <v>2.84795833333333</v>
      </c>
      <c r="H173">
        <v>18.984999999999999</v>
      </c>
      <c r="I173">
        <v>2.8862666666666699</v>
      </c>
      <c r="J173">
        <v>0.310997718207558</v>
      </c>
      <c r="K173">
        <v>64.971653801236599</v>
      </c>
      <c r="L173">
        <v>10.357325059051799</v>
      </c>
      <c r="M173">
        <v>0.51191154004519501</v>
      </c>
      <c r="N173">
        <v>5613.5508884268402</v>
      </c>
      <c r="O173">
        <v>894.87288510207998</v>
      </c>
      <c r="P173">
        <v>44229.157059904799</v>
      </c>
      <c r="Q173">
        <v>9683.0961301370608</v>
      </c>
      <c r="R173">
        <v>0.408104890292804</v>
      </c>
      <c r="S173">
        <v>3951.7188838842599</v>
      </c>
    </row>
    <row r="174" spans="1:19" x14ac:dyDescent="0.75">
      <c r="A174" s="1">
        <v>45401</v>
      </c>
      <c r="B174">
        <v>0.143854095178196</v>
      </c>
      <c r="C174">
        <v>-5.97181870587682</v>
      </c>
      <c r="D174">
        <v>3.5172310613809499</v>
      </c>
      <c r="E174" t="s">
        <v>20</v>
      </c>
      <c r="F174">
        <v>-5.8279646106986203</v>
      </c>
      <c r="G174">
        <v>2.9654583333333302</v>
      </c>
      <c r="H174">
        <v>20.093</v>
      </c>
      <c r="I174">
        <v>3.0044</v>
      </c>
      <c r="J174">
        <v>0.25524457639824399</v>
      </c>
      <c r="K174">
        <v>36.6022302475928</v>
      </c>
      <c r="L174">
        <v>8.4414389992245802</v>
      </c>
      <c r="M174">
        <v>0.46449115120290801</v>
      </c>
      <c r="N174">
        <v>3162.4326933920202</v>
      </c>
      <c r="O174">
        <v>729.34032953300402</v>
      </c>
      <c r="P174">
        <v>40132.035463931301</v>
      </c>
      <c r="Q174">
        <v>7987.0853903246698</v>
      </c>
      <c r="R174">
        <v>0.30872626660755997</v>
      </c>
      <c r="S174">
        <v>2465.8230536307201</v>
      </c>
    </row>
    <row r="175" spans="1:19" x14ac:dyDescent="0.75">
      <c r="A175" s="1">
        <v>45402</v>
      </c>
      <c r="B175">
        <v>0.127810317011643</v>
      </c>
      <c r="C175">
        <v>-5.6277148236736299</v>
      </c>
      <c r="D175">
        <v>3.56012148290099</v>
      </c>
      <c r="E175" t="s">
        <v>20</v>
      </c>
      <c r="F175">
        <v>-5.4999045066619896</v>
      </c>
      <c r="G175">
        <v>2.9486666666666701</v>
      </c>
      <c r="H175">
        <v>20.562000000000001</v>
      </c>
      <c r="I175">
        <v>2.9948666666666699</v>
      </c>
      <c r="J175">
        <v>0.23878753590840501</v>
      </c>
      <c r="K175">
        <v>30.160444592226501</v>
      </c>
      <c r="L175">
        <v>7.7871928031692201</v>
      </c>
      <c r="M175">
        <v>0.44950584471951599</v>
      </c>
      <c r="N175">
        <v>2605.8624127683702</v>
      </c>
      <c r="O175">
        <v>672.81345819382</v>
      </c>
      <c r="P175">
        <v>38837.304983766197</v>
      </c>
      <c r="Q175">
        <v>7636.2881489323499</v>
      </c>
      <c r="R175">
        <v>0.28098992092858999</v>
      </c>
      <c r="S175">
        <v>2145.7200031564298</v>
      </c>
    </row>
    <row r="176" spans="1:19" x14ac:dyDescent="0.75">
      <c r="A176" s="1">
        <v>45403</v>
      </c>
      <c r="B176">
        <v>0.14138677774806699</v>
      </c>
      <c r="C176">
        <v>-6.4013254359992402</v>
      </c>
      <c r="D176">
        <v>4.3077469564286401</v>
      </c>
      <c r="E176" t="s">
        <v>20</v>
      </c>
      <c r="F176">
        <v>-6.25993865825117</v>
      </c>
      <c r="G176">
        <v>3.0080416666666698</v>
      </c>
      <c r="H176">
        <v>20.855</v>
      </c>
      <c r="I176">
        <v>3.0433333333333299</v>
      </c>
      <c r="J176">
        <v>0.22626127979528701</v>
      </c>
      <c r="K176">
        <v>25.734529922948798</v>
      </c>
      <c r="L176">
        <v>7.1286074751615702</v>
      </c>
      <c r="M176">
        <v>0.43778797633068101</v>
      </c>
      <c r="N176">
        <v>2223.4633853427699</v>
      </c>
      <c r="O176">
        <v>615.91168585395906</v>
      </c>
      <c r="P176">
        <v>37824.881154970797</v>
      </c>
      <c r="Q176">
        <v>6146.4652116963798</v>
      </c>
      <c r="R176">
        <v>0.25980180898030703</v>
      </c>
      <c r="S176">
        <v>1596.8627808332501</v>
      </c>
    </row>
    <row r="177" spans="1:19" x14ac:dyDescent="0.75">
      <c r="A177" s="1">
        <v>45404</v>
      </c>
      <c r="B177">
        <v>0.114924504589258</v>
      </c>
      <c r="C177">
        <v>-5.5319492113515496</v>
      </c>
      <c r="D177">
        <v>4.0278842533835899</v>
      </c>
      <c r="E177" t="s">
        <v>20</v>
      </c>
      <c r="F177">
        <v>-5.4170247067622901</v>
      </c>
      <c r="G177">
        <v>3.1390416666666701</v>
      </c>
      <c r="H177">
        <v>20.553000000000001</v>
      </c>
      <c r="I177">
        <v>3.18706666666667</v>
      </c>
      <c r="J177">
        <v>0.21697006803104499</v>
      </c>
      <c r="K177">
        <v>22.777676185898098</v>
      </c>
      <c r="L177">
        <v>6.4758201670856304</v>
      </c>
      <c r="M177">
        <v>0.42885329381653298</v>
      </c>
      <c r="N177">
        <v>1967.9912224616</v>
      </c>
      <c r="O177">
        <v>559.51086243619898</v>
      </c>
      <c r="P177">
        <v>37052.924585748398</v>
      </c>
      <c r="Q177">
        <v>6439.37252870057</v>
      </c>
      <c r="R177">
        <v>0.24479403975924099</v>
      </c>
      <c r="S177">
        <v>1576.3200148152901</v>
      </c>
    </row>
    <row r="178" spans="1:19" x14ac:dyDescent="0.75">
      <c r="A178" s="1">
        <v>45405</v>
      </c>
      <c r="B178">
        <v>0.12961273472000301</v>
      </c>
      <c r="C178">
        <v>-5.5278075775387601</v>
      </c>
      <c r="D178">
        <v>4.2963899217597499</v>
      </c>
      <c r="E178" t="s">
        <v>20</v>
      </c>
      <c r="F178">
        <v>-5.3981948428187598</v>
      </c>
      <c r="G178">
        <v>3.3940000000000001</v>
      </c>
      <c r="H178">
        <v>19.212</v>
      </c>
      <c r="I178">
        <v>3.4322666666666701</v>
      </c>
      <c r="J178">
        <v>0.20813387611623699</v>
      </c>
      <c r="K178">
        <v>20.190631652101501</v>
      </c>
      <c r="L178">
        <v>5.8572826166615402</v>
      </c>
      <c r="M178">
        <v>0.42016513761041702</v>
      </c>
      <c r="N178">
        <v>1744.4705747415701</v>
      </c>
      <c r="O178">
        <v>506.069218079557</v>
      </c>
      <c r="P178">
        <v>36302.267889540002</v>
      </c>
      <c r="Q178">
        <v>5914.6371687488099</v>
      </c>
      <c r="R178">
        <v>0.23088042794788699</v>
      </c>
      <c r="S178">
        <v>1365.5739606771999</v>
      </c>
    </row>
    <row r="179" spans="1:19" x14ac:dyDescent="0.75">
      <c r="A179" s="1">
        <v>45406</v>
      </c>
      <c r="B179">
        <v>0.131201510173409</v>
      </c>
      <c r="C179">
        <v>-5.5366597473796402</v>
      </c>
      <c r="D179">
        <v>4.5309314205657296</v>
      </c>
      <c r="E179" t="s">
        <v>20</v>
      </c>
      <c r="F179">
        <v>-5.4054582372062301</v>
      </c>
      <c r="G179">
        <v>3.468</v>
      </c>
      <c r="H179">
        <v>19.010000000000002</v>
      </c>
      <c r="I179">
        <v>3.5133333333333301</v>
      </c>
      <c r="J179">
        <v>0.19900118739631401</v>
      </c>
      <c r="K179">
        <v>17.720183495020201</v>
      </c>
      <c r="L179">
        <v>5.2783012530261697</v>
      </c>
      <c r="M179">
        <v>0.41099370457735002</v>
      </c>
      <c r="N179">
        <v>1531.02385396974</v>
      </c>
      <c r="O179">
        <v>456.04522826146098</v>
      </c>
      <c r="P179">
        <v>35509.856075483098</v>
      </c>
      <c r="Q179">
        <v>5486.0462332344296</v>
      </c>
      <c r="R179">
        <v>0.21665932082578301</v>
      </c>
      <c r="S179">
        <v>1188.60305091142</v>
      </c>
    </row>
    <row r="180" spans="1:19" x14ac:dyDescent="0.75">
      <c r="A180" s="1">
        <v>45407</v>
      </c>
      <c r="B180">
        <v>0.13790022797052801</v>
      </c>
      <c r="C180">
        <v>-5.4525062337929704</v>
      </c>
      <c r="D180">
        <v>4.6896683162448696</v>
      </c>
      <c r="E180" t="s">
        <v>20</v>
      </c>
      <c r="F180">
        <v>-5.3146060058224398</v>
      </c>
      <c r="G180">
        <v>3.50745833333333</v>
      </c>
      <c r="H180">
        <v>19.245000000000001</v>
      </c>
      <c r="I180">
        <v>3.5429333333333299</v>
      </c>
      <c r="J180">
        <v>0.19057891676389399</v>
      </c>
      <c r="K180">
        <v>15.627265603342201</v>
      </c>
      <c r="L180">
        <v>4.7421538789755102</v>
      </c>
      <c r="M180">
        <v>0.40234256376829097</v>
      </c>
      <c r="N180">
        <v>1350.19574812877</v>
      </c>
      <c r="O180">
        <v>409.72209514348401</v>
      </c>
      <c r="P180">
        <v>34762.397509580398</v>
      </c>
      <c r="Q180">
        <v>5188.7844972778003</v>
      </c>
      <c r="R180">
        <v>0.20380374515795099</v>
      </c>
      <c r="S180">
        <v>1057.49371336273</v>
      </c>
    </row>
    <row r="181" spans="1:19" x14ac:dyDescent="0.75">
      <c r="A181" s="1">
        <v>45408</v>
      </c>
      <c r="B181">
        <v>0.13109536582328299</v>
      </c>
      <c r="C181">
        <v>-4.9373501720971102</v>
      </c>
      <c r="D181">
        <v>4.5000104953986702</v>
      </c>
      <c r="E181" t="s">
        <v>20</v>
      </c>
      <c r="F181">
        <v>-4.8062548062738299</v>
      </c>
      <c r="G181">
        <v>3.5312083333333302</v>
      </c>
      <c r="H181">
        <v>19.64</v>
      </c>
      <c r="I181">
        <v>3.5774666666666701</v>
      </c>
      <c r="J181">
        <v>0.18141393631272101</v>
      </c>
      <c r="K181">
        <v>13.5484574661452</v>
      </c>
      <c r="L181">
        <v>4.2465256879083002</v>
      </c>
      <c r="M181">
        <v>0.39269572357168703</v>
      </c>
      <c r="N181">
        <v>1170.58672507495</v>
      </c>
      <c r="O181">
        <v>366.89981943527698</v>
      </c>
      <c r="P181">
        <v>33928.910516593802</v>
      </c>
      <c r="Q181">
        <v>5277.8182152909703</v>
      </c>
      <c r="R181">
        <v>0.19017920765393501</v>
      </c>
      <c r="S181">
        <v>1003.7312863255401</v>
      </c>
    </row>
    <row r="182" spans="1:19" x14ac:dyDescent="0.75">
      <c r="A182" s="1">
        <v>45409</v>
      </c>
      <c r="B182">
        <v>0.122598603078954</v>
      </c>
      <c r="C182">
        <v>-6.7283676912603703</v>
      </c>
      <c r="D182">
        <v>6.1419696212781103</v>
      </c>
      <c r="E182" t="s">
        <v>20</v>
      </c>
      <c r="F182">
        <v>-6.6057690881814199</v>
      </c>
      <c r="G182">
        <v>3.5883333333333298</v>
      </c>
      <c r="H182">
        <v>19.748999999999999</v>
      </c>
      <c r="I182">
        <v>3.6078666666666699</v>
      </c>
      <c r="J182">
        <v>0.18114092440306101</v>
      </c>
      <c r="K182">
        <v>13.4575479376859</v>
      </c>
      <c r="L182">
        <v>3.7921476457994698</v>
      </c>
      <c r="M182">
        <v>0.39244652507503902</v>
      </c>
      <c r="N182">
        <v>1162.73214181607</v>
      </c>
      <c r="O182">
        <v>327.64155659707399</v>
      </c>
      <c r="P182">
        <v>33907.379766483398</v>
      </c>
      <c r="Q182">
        <v>3864.42253870985</v>
      </c>
      <c r="R182">
        <v>0.189307956648782</v>
      </c>
      <c r="S182">
        <v>731.56593443066197</v>
      </c>
    </row>
    <row r="183" spans="1:19" x14ac:dyDescent="0.75">
      <c r="A183" s="1">
        <v>45410</v>
      </c>
      <c r="B183">
        <v>0.11982968725290701</v>
      </c>
      <c r="C183">
        <v>-4.3590293875937602</v>
      </c>
      <c r="D183">
        <v>4.1321379223082904</v>
      </c>
      <c r="E183" t="s">
        <v>20</v>
      </c>
      <c r="F183">
        <v>-4.2391997003408504</v>
      </c>
      <c r="G183">
        <v>3.5812916666666701</v>
      </c>
      <c r="H183">
        <v>19.446999999999999</v>
      </c>
      <c r="I183">
        <v>3.65513333333333</v>
      </c>
      <c r="J183">
        <v>0.17613570605929099</v>
      </c>
      <c r="K183">
        <v>12.4297129205143</v>
      </c>
      <c r="L183">
        <v>3.3897996843774001</v>
      </c>
      <c r="M183">
        <v>0.38703916876051497</v>
      </c>
      <c r="N183">
        <v>1073.92719633244</v>
      </c>
      <c r="O183">
        <v>292.87869273020698</v>
      </c>
      <c r="P183">
        <v>33440.184180908502</v>
      </c>
      <c r="Q183">
        <v>5664.8953560484597</v>
      </c>
      <c r="R183">
        <v>0.18233027007053401</v>
      </c>
      <c r="S183">
        <v>1032.88190018963</v>
      </c>
    </row>
    <row r="184" spans="1:19" x14ac:dyDescent="0.75">
      <c r="A184" s="1">
        <v>45411</v>
      </c>
      <c r="B184">
        <v>0.11031646141995299</v>
      </c>
      <c r="C184">
        <v>-4.0176891307276303</v>
      </c>
      <c r="D184">
        <v>4.1934524621154203</v>
      </c>
      <c r="E184" t="s">
        <v>20</v>
      </c>
      <c r="F184">
        <v>-3.90737266930768</v>
      </c>
      <c r="G184">
        <v>3.7057500000000001</v>
      </c>
      <c r="H184">
        <v>19.699000000000002</v>
      </c>
      <c r="I184">
        <v>3.7757999999999998</v>
      </c>
      <c r="J184">
        <v>0.164217121616062</v>
      </c>
      <c r="K184">
        <v>10.147756630422201</v>
      </c>
      <c r="L184">
        <v>3.0414911109512501</v>
      </c>
      <c r="M184">
        <v>0.37391182090012798</v>
      </c>
      <c r="N184">
        <v>876.766172868475</v>
      </c>
      <c r="O184">
        <v>262.78483198618801</v>
      </c>
      <c r="P184">
        <v>32305.981325771099</v>
      </c>
      <c r="Q184">
        <v>5392.7371616445698</v>
      </c>
      <c r="R184">
        <v>0.16526558009436401</v>
      </c>
      <c r="S184">
        <v>891.23383531562695</v>
      </c>
    </row>
    <row r="185" spans="1:19" x14ac:dyDescent="0.75">
      <c r="A185" s="1">
        <v>45413</v>
      </c>
      <c r="B185">
        <v>4.8166042819693701E-2</v>
      </c>
      <c r="C185">
        <v>-0.57780089548967495</v>
      </c>
      <c r="D185">
        <v>2.2096671524106299</v>
      </c>
      <c r="E185" t="s">
        <v>20</v>
      </c>
      <c r="F185">
        <v>-0.529634852669981</v>
      </c>
      <c r="G185">
        <v>7.9094166666666696</v>
      </c>
      <c r="H185">
        <v>20.954999999999998</v>
      </c>
      <c r="I185">
        <v>8.6281999999999996</v>
      </c>
      <c r="J185">
        <v>0.14437532056882299</v>
      </c>
      <c r="K185">
        <v>7.0000317318870602</v>
      </c>
      <c r="L185">
        <v>2.49952518469604</v>
      </c>
      <c r="M185">
        <v>0.35091242359282399</v>
      </c>
      <c r="N185">
        <v>604.80274163504203</v>
      </c>
      <c r="O185">
        <v>215.95897595773801</v>
      </c>
      <c r="P185">
        <v>30318.83339842</v>
      </c>
      <c r="Q185">
        <v>9604.6969588793399</v>
      </c>
      <c r="R185">
        <v>0.13816826466521001</v>
      </c>
      <c r="S185">
        <v>1327.06431144357</v>
      </c>
    </row>
    <row r="186" spans="1:19" x14ac:dyDescent="0.75">
      <c r="A186" s="1">
        <v>45414</v>
      </c>
      <c r="B186">
        <v>0.11193162731200899</v>
      </c>
      <c r="C186">
        <v>-0.61281783585687299</v>
      </c>
      <c r="D186">
        <v>5.4944970286936803</v>
      </c>
      <c r="E186" t="s">
        <v>20</v>
      </c>
      <c r="F186">
        <v>-0.50088620854486399</v>
      </c>
      <c r="G186">
        <v>8.6650833333333299</v>
      </c>
      <c r="H186">
        <v>22.31</v>
      </c>
      <c r="I186">
        <v>8.5153999999999996</v>
      </c>
      <c r="J186">
        <v>0.13284717251252701</v>
      </c>
      <c r="K186">
        <v>5.4933423629878204</v>
      </c>
      <c r="L186">
        <v>2.2903057098044202</v>
      </c>
      <c r="M186">
        <v>0.33684483667276999</v>
      </c>
      <c r="N186">
        <v>474.62478016214698</v>
      </c>
      <c r="O186">
        <v>197.882413327102</v>
      </c>
      <c r="P186">
        <v>29103.393888527298</v>
      </c>
      <c r="Q186">
        <v>3707.7780942603599</v>
      </c>
      <c r="R186">
        <v>0.122759315010977</v>
      </c>
      <c r="S186">
        <v>455.16429906410701</v>
      </c>
    </row>
    <row r="187" spans="1:19" x14ac:dyDescent="0.75">
      <c r="A187" s="1">
        <v>45415</v>
      </c>
      <c r="B187">
        <v>0.13095405533784199</v>
      </c>
      <c r="C187">
        <v>-0.65657553778618805</v>
      </c>
      <c r="D187">
        <v>6.4146419294486199</v>
      </c>
      <c r="E187" t="s">
        <v>20</v>
      </c>
      <c r="F187">
        <v>-0.52562148244834594</v>
      </c>
      <c r="G187">
        <v>8.6314583333333292</v>
      </c>
      <c r="H187">
        <v>23.734000000000002</v>
      </c>
      <c r="I187">
        <v>8.4921333333333298</v>
      </c>
      <c r="J187">
        <v>0.123506055345444</v>
      </c>
      <c r="K187">
        <v>4.4520088283050798</v>
      </c>
      <c r="L187">
        <v>2.1089513814893999</v>
      </c>
      <c r="M187">
        <v>0.32495115700302701</v>
      </c>
      <c r="N187">
        <v>384.653562765559</v>
      </c>
      <c r="O187">
        <v>182.21339936068401</v>
      </c>
      <c r="P187">
        <v>28075.779965061502</v>
      </c>
      <c r="Q187">
        <v>3063.7791152954301</v>
      </c>
      <c r="R187">
        <v>0.110930169914743</v>
      </c>
      <c r="S187">
        <v>339.86553784096202</v>
      </c>
    </row>
    <row r="188" spans="1:19" x14ac:dyDescent="0.75">
      <c r="A188" s="1">
        <v>45416</v>
      </c>
      <c r="B188">
        <v>0.148502635659471</v>
      </c>
      <c r="C188">
        <v>-0.643231602884346</v>
      </c>
      <c r="D188">
        <v>7.6603935517366599</v>
      </c>
      <c r="E188" t="s">
        <v>20</v>
      </c>
      <c r="F188">
        <v>-0.49472896722487397</v>
      </c>
      <c r="G188">
        <v>8.6788333333333298</v>
      </c>
      <c r="H188">
        <v>23.867999999999999</v>
      </c>
      <c r="I188">
        <v>8.5397999999999996</v>
      </c>
      <c r="J188">
        <v>0.11601730930734599</v>
      </c>
      <c r="K188">
        <v>3.70463148819079</v>
      </c>
      <c r="L188">
        <v>1.9490782856650299</v>
      </c>
      <c r="M188">
        <v>0.31513189482528098</v>
      </c>
      <c r="N188">
        <v>320.08016057968501</v>
      </c>
      <c r="O188">
        <v>168.40036388145799</v>
      </c>
      <c r="P188">
        <v>27227.395712904301</v>
      </c>
      <c r="Q188">
        <v>2488.0153833235099</v>
      </c>
      <c r="R188">
        <v>0.101328091757953</v>
      </c>
      <c r="S188">
        <v>252.105851056603</v>
      </c>
    </row>
    <row r="189" spans="1:19" x14ac:dyDescent="0.75">
      <c r="A189" s="1">
        <v>45417</v>
      </c>
      <c r="B189">
        <v>0.80678226859473501</v>
      </c>
      <c r="C189">
        <v>-2.0517942671545701</v>
      </c>
      <c r="D189">
        <v>1.40160032155218</v>
      </c>
      <c r="E189" t="s">
        <v>20</v>
      </c>
      <c r="F189">
        <v>-1.24501199855983</v>
      </c>
      <c r="G189">
        <v>8.3073750000000004</v>
      </c>
      <c r="H189">
        <v>23.306000000000001</v>
      </c>
      <c r="I189">
        <v>7.9690666666666701</v>
      </c>
      <c r="J189">
        <v>0.12539071820567901</v>
      </c>
      <c r="K189">
        <v>5.0876546549640302</v>
      </c>
      <c r="L189">
        <v>1.8072410807656301</v>
      </c>
      <c r="M189">
        <v>0.32613196088248902</v>
      </c>
      <c r="N189">
        <v>439.57336218889202</v>
      </c>
      <c r="O189">
        <v>156.14562937815001</v>
      </c>
      <c r="P189">
        <v>28177.801420247</v>
      </c>
      <c r="Q189">
        <v>14072.8142615788</v>
      </c>
      <c r="R189">
        <v>0.12441102625592899</v>
      </c>
      <c r="S189">
        <v>1750.8132645921</v>
      </c>
    </row>
    <row r="190" spans="1:19" x14ac:dyDescent="0.75">
      <c r="A190" s="1">
        <v>45419</v>
      </c>
      <c r="B190">
        <v>0.12657974237743</v>
      </c>
      <c r="C190">
        <v>-0.68579762529946697</v>
      </c>
      <c r="D190">
        <v>6.1123169856160002</v>
      </c>
      <c r="E190" t="s">
        <v>20</v>
      </c>
      <c r="F190">
        <v>-0.559217882922038</v>
      </c>
      <c r="G190">
        <v>8.5542916666666695</v>
      </c>
      <c r="H190">
        <v>22.611000000000001</v>
      </c>
      <c r="I190">
        <v>8.4258666666666695</v>
      </c>
      <c r="J190">
        <v>0.13014640953524301</v>
      </c>
      <c r="K190">
        <v>5.2042091384201399</v>
      </c>
      <c r="L190">
        <v>1.5670492514066101</v>
      </c>
      <c r="M190">
        <v>0.33337180647487602</v>
      </c>
      <c r="N190">
        <v>449.64366955949998</v>
      </c>
      <c r="O190">
        <v>135.39305532153099</v>
      </c>
      <c r="P190">
        <v>28803.324079429301</v>
      </c>
      <c r="Q190">
        <v>3298.6389454355999</v>
      </c>
      <c r="R190">
        <v>0.11994818511318001</v>
      </c>
      <c r="S190">
        <v>395.66575484865302</v>
      </c>
    </row>
    <row r="191" spans="1:19" x14ac:dyDescent="0.75">
      <c r="A191" s="1">
        <v>45421</v>
      </c>
      <c r="B191">
        <v>0.142475556552983</v>
      </c>
      <c r="C191">
        <v>-3.0933497626257198</v>
      </c>
      <c r="D191">
        <v>5.2041413172746802</v>
      </c>
      <c r="E191" t="s">
        <v>20</v>
      </c>
      <c r="F191">
        <v>-2.95087420607274</v>
      </c>
      <c r="G191">
        <v>3.7152500000000002</v>
      </c>
      <c r="H191">
        <v>22.268000000000001</v>
      </c>
      <c r="I191">
        <v>3.7862</v>
      </c>
      <c r="J191">
        <v>0.10031472108398801</v>
      </c>
      <c r="K191">
        <v>2.4487061159856802</v>
      </c>
      <c r="L191">
        <v>1.3679324367738801</v>
      </c>
      <c r="M191">
        <v>0.29325600070359098</v>
      </c>
      <c r="N191">
        <v>211.56820842116301</v>
      </c>
      <c r="O191">
        <v>118.18936253726299</v>
      </c>
      <c r="P191">
        <v>25337.318460790299</v>
      </c>
      <c r="Q191">
        <v>3408.07865145393</v>
      </c>
      <c r="R191">
        <v>8.3238661574899106E-2</v>
      </c>
      <c r="S191">
        <v>283.68390548901198</v>
      </c>
    </row>
    <row r="192" spans="1:19" x14ac:dyDescent="0.75">
      <c r="A192" s="1">
        <v>45422</v>
      </c>
      <c r="B192">
        <v>0.11446506722699799</v>
      </c>
      <c r="C192">
        <v>-3.6759832450926799</v>
      </c>
      <c r="D192">
        <v>5.3230149311916604</v>
      </c>
      <c r="E192" t="s">
        <v>20</v>
      </c>
      <c r="F192">
        <v>-3.5615181778656799</v>
      </c>
      <c r="G192">
        <v>3.6822916666666701</v>
      </c>
      <c r="H192">
        <v>22.443999999999999</v>
      </c>
      <c r="I192">
        <v>3.6793999999999998</v>
      </c>
      <c r="J192">
        <v>0.112388892959604</v>
      </c>
      <c r="K192">
        <v>3.4301774257914701</v>
      </c>
      <c r="L192">
        <v>1.2785397839149399</v>
      </c>
      <c r="M192">
        <v>0.31002603176507099</v>
      </c>
      <c r="N192">
        <v>296.36732958838297</v>
      </c>
      <c r="O192">
        <v>110.46583733025</v>
      </c>
      <c r="P192">
        <v>26786.249144502199</v>
      </c>
      <c r="Q192">
        <v>3522.5102021184598</v>
      </c>
      <c r="R192">
        <v>9.8445309705077796E-2</v>
      </c>
      <c r="S192">
        <v>346.77460778684798</v>
      </c>
    </row>
    <row r="193" spans="1:19" x14ac:dyDescent="0.75">
      <c r="A193" s="1">
        <v>45423</v>
      </c>
      <c r="B193">
        <v>0.11368662671542</v>
      </c>
      <c r="C193">
        <v>-2.7477996200373198</v>
      </c>
      <c r="D193">
        <v>4.2669810934002204</v>
      </c>
      <c r="E193" t="s">
        <v>20</v>
      </c>
      <c r="F193">
        <v>-2.6341129933218999</v>
      </c>
      <c r="G193">
        <v>3.5825416666666698</v>
      </c>
      <c r="H193">
        <v>21.206</v>
      </c>
      <c r="I193">
        <v>3.6608666666666698</v>
      </c>
      <c r="J193">
        <v>0.108188032285156</v>
      </c>
      <c r="K193">
        <v>3.04704136158144</v>
      </c>
      <c r="L193">
        <v>1.19549716822416</v>
      </c>
      <c r="M193">
        <v>0.30437915438899399</v>
      </c>
      <c r="N193">
        <v>263.26437364063702</v>
      </c>
      <c r="O193">
        <v>103.290955334568</v>
      </c>
      <c r="P193">
        <v>26298.358939209102</v>
      </c>
      <c r="Q193">
        <v>4314.2565796505496</v>
      </c>
      <c r="R193">
        <v>9.2530353514484395E-2</v>
      </c>
      <c r="S193">
        <v>399.19968646725499</v>
      </c>
    </row>
    <row r="194" spans="1:19" x14ac:dyDescent="0.75">
      <c r="A194" s="1">
        <v>45424</v>
      </c>
      <c r="B194">
        <v>0.103606627526247</v>
      </c>
      <c r="C194">
        <v>-3.220548334669</v>
      </c>
      <c r="D194">
        <v>5.57630334045583</v>
      </c>
      <c r="E194" t="s">
        <v>20</v>
      </c>
      <c r="F194">
        <v>-3.1169417071427499</v>
      </c>
      <c r="G194">
        <v>3.7450416666666699</v>
      </c>
      <c r="H194">
        <v>21.532</v>
      </c>
      <c r="I194">
        <v>3.786</v>
      </c>
      <c r="J194">
        <v>9.9968318876032095E-2</v>
      </c>
      <c r="K194">
        <v>2.4016964022560798</v>
      </c>
      <c r="L194">
        <v>1.1182596992498499</v>
      </c>
      <c r="M194">
        <v>0.29288377693227402</v>
      </c>
      <c r="N194">
        <v>207.50656915492499</v>
      </c>
      <c r="O194">
        <v>96.617638015186898</v>
      </c>
      <c r="P194">
        <v>25305.1583269484</v>
      </c>
      <c r="Q194">
        <v>3176.5866645654701</v>
      </c>
      <c r="R194">
        <v>8.2027675037777303E-2</v>
      </c>
      <c r="S194">
        <v>260.56801865031298</v>
      </c>
    </row>
    <row r="195" spans="1:19" x14ac:dyDescent="0.75">
      <c r="A195" s="1">
        <v>45425</v>
      </c>
      <c r="B195">
        <v>0.41239142755083003</v>
      </c>
      <c r="C195">
        <v>-2.2781761063846799</v>
      </c>
      <c r="D195">
        <v>2.6650781178532101</v>
      </c>
      <c r="E195" t="s">
        <v>20</v>
      </c>
      <c r="F195">
        <v>-1.8657846788338499</v>
      </c>
      <c r="G195">
        <v>3.7959999999999998</v>
      </c>
      <c r="H195">
        <v>20.763000000000002</v>
      </c>
      <c r="I195">
        <v>3.8437333333333301</v>
      </c>
      <c r="J195">
        <v>0.112661904869265</v>
      </c>
      <c r="K195">
        <v>4.4047109528740398</v>
      </c>
      <c r="L195">
        <v>1.0456627851345901</v>
      </c>
      <c r="M195">
        <v>0.30769045454077398</v>
      </c>
      <c r="N195">
        <v>380.56702632831701</v>
      </c>
      <c r="O195">
        <v>90.345264635628396</v>
      </c>
      <c r="P195">
        <v>26584.455272322801</v>
      </c>
      <c r="Q195">
        <v>6982.57907187205</v>
      </c>
      <c r="R195">
        <v>0.127065105382348</v>
      </c>
      <c r="S195">
        <v>887.24214560800397</v>
      </c>
    </row>
    <row r="196" spans="1:19" x14ac:dyDescent="0.75">
      <c r="A196" s="1">
        <v>45426</v>
      </c>
      <c r="B196">
        <v>0.111648304262328</v>
      </c>
      <c r="C196">
        <v>-6.0101346874754702</v>
      </c>
      <c r="D196">
        <v>5.0707400637151601</v>
      </c>
      <c r="E196" t="s">
        <v>20</v>
      </c>
      <c r="F196">
        <v>-5.8984863832131396</v>
      </c>
      <c r="G196">
        <v>3.4561666666666699</v>
      </c>
      <c r="H196">
        <v>20.135000000000002</v>
      </c>
      <c r="I196">
        <v>3.6076666666666699</v>
      </c>
      <c r="J196">
        <v>0.18310484878545499</v>
      </c>
      <c r="K196">
        <v>13.9283305760573</v>
      </c>
      <c r="L196">
        <v>0.97740010291068102</v>
      </c>
      <c r="M196">
        <v>0.39448102240642602</v>
      </c>
      <c r="N196">
        <v>1203.4077617713499</v>
      </c>
      <c r="O196">
        <v>84.447368891482895</v>
      </c>
      <c r="P196">
        <v>34083.1603359152</v>
      </c>
      <c r="Q196">
        <v>4705.0749861669201</v>
      </c>
      <c r="R196">
        <v>0.19282933597306801</v>
      </c>
      <c r="S196">
        <v>907.27648528606005</v>
      </c>
    </row>
    <row r="197" spans="1:19" x14ac:dyDescent="0.75">
      <c r="A197" s="1">
        <v>45427</v>
      </c>
      <c r="B197">
        <v>0.56616174235908701</v>
      </c>
      <c r="C197">
        <v>-4.2146587081279199</v>
      </c>
      <c r="D197">
        <v>2.4792391769870701</v>
      </c>
      <c r="E197" t="s">
        <v>20</v>
      </c>
      <c r="F197">
        <v>-3.64849696576883</v>
      </c>
      <c r="G197">
        <v>3.06304166666667</v>
      </c>
      <c r="H197">
        <v>21.524000000000001</v>
      </c>
      <c r="I197">
        <v>3.1054666666666702</v>
      </c>
      <c r="J197">
        <v>0.21003908825999501</v>
      </c>
      <c r="K197">
        <v>21.9824357948666</v>
      </c>
      <c r="L197">
        <v>0.91251338442204799</v>
      </c>
      <c r="M197">
        <v>0.42090064174258301</v>
      </c>
      <c r="N197">
        <v>1899.28245267647</v>
      </c>
      <c r="O197">
        <v>78.841156414064997</v>
      </c>
      <c r="P197">
        <v>36365.8154465591</v>
      </c>
      <c r="Q197">
        <v>10267.694641517901</v>
      </c>
      <c r="R197">
        <v>0.24865437277177199</v>
      </c>
      <c r="S197">
        <v>2553.1071708987201</v>
      </c>
    </row>
    <row r="198" spans="1:19" x14ac:dyDescent="0.75">
      <c r="A198" s="1">
        <v>45428</v>
      </c>
      <c r="B198">
        <v>0.10227292848215699</v>
      </c>
      <c r="C198">
        <v>-3.9103520587593699</v>
      </c>
      <c r="D198">
        <v>2.7120882448665098</v>
      </c>
      <c r="E198" t="s">
        <v>20</v>
      </c>
      <c r="F198">
        <v>-3.8080791302772101</v>
      </c>
      <c r="G198">
        <v>2.7686250000000001</v>
      </c>
      <c r="H198">
        <v>21.574000000000002</v>
      </c>
      <c r="I198">
        <v>2.8325999999999998</v>
      </c>
      <c r="J198">
        <v>0.21906609495037199</v>
      </c>
      <c r="K198">
        <v>23.6962816116671</v>
      </c>
      <c r="L198">
        <v>0.85010443217577203</v>
      </c>
      <c r="M198">
        <v>0.43065985616195501</v>
      </c>
      <c r="N198">
        <v>2047.3587312480399</v>
      </c>
      <c r="O198">
        <v>73.449022939986705</v>
      </c>
      <c r="P198">
        <v>37209.011572392898</v>
      </c>
      <c r="Q198">
        <v>9603.7834130124593</v>
      </c>
      <c r="R198">
        <v>0.25117166517970402</v>
      </c>
      <c r="S198">
        <v>2412.1982718715599</v>
      </c>
    </row>
    <row r="199" spans="1:19" x14ac:dyDescent="0.75">
      <c r="A199" s="1">
        <v>45429</v>
      </c>
      <c r="B199">
        <v>0.10160980452382901</v>
      </c>
      <c r="C199">
        <v>-4.84986885686628</v>
      </c>
      <c r="D199">
        <v>3.86514358902178</v>
      </c>
      <c r="E199" t="s">
        <v>20</v>
      </c>
      <c r="F199">
        <v>-4.7482590523424504</v>
      </c>
      <c r="G199">
        <v>2.99329166666667</v>
      </c>
      <c r="H199">
        <v>22.218</v>
      </c>
      <c r="I199">
        <v>3.0449999999999999</v>
      </c>
      <c r="J199">
        <v>0.19391083630652101</v>
      </c>
      <c r="K199">
        <v>16.464477811900601</v>
      </c>
      <c r="L199">
        <v>0.78942831973684802</v>
      </c>
      <c r="M199">
        <v>0.405755251049423</v>
      </c>
      <c r="N199">
        <v>1422.5308829482101</v>
      </c>
      <c r="O199">
        <v>68.206606825263606</v>
      </c>
      <c r="P199">
        <v>35057.253690670201</v>
      </c>
      <c r="Q199">
        <v>6349.0726846916205</v>
      </c>
      <c r="R199">
        <v>0.209257837446194</v>
      </c>
      <c r="S199">
        <v>1328.5932197872701</v>
      </c>
    </row>
    <row r="200" spans="1:19" x14ac:dyDescent="0.75">
      <c r="A200" s="1">
        <v>45430</v>
      </c>
      <c r="B200">
        <v>0.13106568940347399</v>
      </c>
      <c r="C200">
        <v>-4.7918628314535097</v>
      </c>
      <c r="D200">
        <v>4.1898042084926299</v>
      </c>
      <c r="E200" t="s">
        <v>20</v>
      </c>
      <c r="F200">
        <v>-4.6607971420500398</v>
      </c>
      <c r="G200">
        <v>3.0740416666666701</v>
      </c>
      <c r="H200">
        <v>21.925000000000001</v>
      </c>
      <c r="I200">
        <v>3.1394000000000002</v>
      </c>
      <c r="J200">
        <v>0.177171977071227</v>
      </c>
      <c r="K200">
        <v>12.6633214303193</v>
      </c>
      <c r="L200">
        <v>0.72903785727570003</v>
      </c>
      <c r="M200">
        <v>0.38813088840191001</v>
      </c>
      <c r="N200">
        <v>1094.1109715795899</v>
      </c>
      <c r="O200">
        <v>62.988870868620502</v>
      </c>
      <c r="P200">
        <v>33534.508757925003</v>
      </c>
      <c r="Q200">
        <v>5602.6857013905201</v>
      </c>
      <c r="R200">
        <v>0.18415113196256799</v>
      </c>
      <c r="S200">
        <v>1031.7409139415599</v>
      </c>
    </row>
    <row r="201" spans="1:19" x14ac:dyDescent="0.75">
      <c r="A201" s="1">
        <v>45431</v>
      </c>
      <c r="B201">
        <v>0.12559315295660201</v>
      </c>
      <c r="C201">
        <v>-3.9284990116194298</v>
      </c>
      <c r="D201">
        <v>3.8101993421759501</v>
      </c>
      <c r="E201" t="s">
        <v>20</v>
      </c>
      <c r="F201">
        <v>-3.8029058586628302</v>
      </c>
      <c r="G201">
        <v>3.1538333333333299</v>
      </c>
      <c r="H201">
        <v>21.707999999999998</v>
      </c>
      <c r="I201">
        <v>3.22006666666667</v>
      </c>
      <c r="J201">
        <v>0.16157507087741499</v>
      </c>
      <c r="K201">
        <v>9.7261696932411592</v>
      </c>
      <c r="L201">
        <v>0.66801709630893003</v>
      </c>
      <c r="M201">
        <v>0.37085960266613399</v>
      </c>
      <c r="N201">
        <v>840.34106149603599</v>
      </c>
      <c r="O201">
        <v>57.7166771210916</v>
      </c>
      <c r="P201">
        <v>32042.2696703539</v>
      </c>
      <c r="Q201">
        <v>5886.7231750763403</v>
      </c>
      <c r="R201">
        <v>0.16231473934766499</v>
      </c>
      <c r="S201">
        <v>955.50193777437505</v>
      </c>
    </row>
    <row r="202" spans="1:19" x14ac:dyDescent="0.75">
      <c r="A202" s="1">
        <v>45432</v>
      </c>
      <c r="B202">
        <v>0.10311606354325401</v>
      </c>
      <c r="C202">
        <v>-4.5714054061805296</v>
      </c>
      <c r="D202">
        <v>4.8367519649504001</v>
      </c>
      <c r="E202" t="s">
        <v>20</v>
      </c>
      <c r="F202">
        <v>-4.4682893426372701</v>
      </c>
      <c r="G202">
        <v>3.1972499999999999</v>
      </c>
      <c r="H202">
        <v>22.460999999999999</v>
      </c>
      <c r="I202">
        <v>3.2498666666666698</v>
      </c>
      <c r="J202">
        <v>0.15055478368532499</v>
      </c>
      <c r="K202">
        <v>7.8807826877620801</v>
      </c>
      <c r="L202">
        <v>0.60765520476260004</v>
      </c>
      <c r="M202">
        <v>0.358276083878873</v>
      </c>
      <c r="N202">
        <v>680.89962422264398</v>
      </c>
      <c r="O202">
        <v>52.501409691488703</v>
      </c>
      <c r="P202">
        <v>30955.053647134599</v>
      </c>
      <c r="Q202">
        <v>4479.9769990306804</v>
      </c>
      <c r="R202">
        <v>0.146102273573536</v>
      </c>
      <c r="S202">
        <v>654.53482511553102</v>
      </c>
    </row>
    <row r="203" spans="1:19" x14ac:dyDescent="0.75">
      <c r="A203" s="1">
        <v>45433</v>
      </c>
      <c r="B203">
        <v>0.115909334559569</v>
      </c>
      <c r="C203">
        <v>-4.0633584578353297</v>
      </c>
      <c r="D203">
        <v>4.8347084148461699</v>
      </c>
      <c r="E203" t="s">
        <v>20</v>
      </c>
      <c r="F203">
        <v>-3.94744912327576</v>
      </c>
      <c r="G203">
        <v>3.3249583333333299</v>
      </c>
      <c r="H203">
        <v>21.683</v>
      </c>
      <c r="I203">
        <v>3.3708666666666698</v>
      </c>
      <c r="J203">
        <v>0.13713903715686299</v>
      </c>
      <c r="K203">
        <v>6.0197034926247799</v>
      </c>
      <c r="L203">
        <v>0.55390279654066799</v>
      </c>
      <c r="M203">
        <v>0.34216927072271203</v>
      </c>
      <c r="N203">
        <v>520.10238176278096</v>
      </c>
      <c r="O203">
        <v>47.857201621113703</v>
      </c>
      <c r="P203">
        <v>29563.424990442301</v>
      </c>
      <c r="Q203">
        <v>4280.38171438888</v>
      </c>
      <c r="R203">
        <v>0.12828414971013</v>
      </c>
      <c r="S203">
        <v>549.10512866516603</v>
      </c>
    </row>
    <row r="204" spans="1:19" x14ac:dyDescent="0.75">
      <c r="A204" s="1">
        <v>45434</v>
      </c>
      <c r="B204">
        <v>0.16148757919918899</v>
      </c>
      <c r="C204">
        <v>-3.80773132232583</v>
      </c>
      <c r="D204">
        <v>4.7328086923391499</v>
      </c>
      <c r="E204" t="s">
        <v>20</v>
      </c>
      <c r="F204">
        <v>-3.6462437431266399</v>
      </c>
      <c r="G204">
        <v>3.4069166666666701</v>
      </c>
      <c r="H204">
        <v>21.690999999999999</v>
      </c>
      <c r="I204">
        <v>3.4639333333333302</v>
      </c>
      <c r="J204">
        <v>0.127789113153984</v>
      </c>
      <c r="K204">
        <v>4.9100463360668298</v>
      </c>
      <c r="L204">
        <v>0.50901959160879595</v>
      </c>
      <c r="M204">
        <v>0.33046227437835901</v>
      </c>
      <c r="N204">
        <v>424.22800343617399</v>
      </c>
      <c r="O204">
        <v>43.9792927149999</v>
      </c>
      <c r="P204">
        <v>28551.940506290201</v>
      </c>
      <c r="Q204">
        <v>4222.9381438456303</v>
      </c>
      <c r="R204">
        <v>0.116270582135014</v>
      </c>
      <c r="S204">
        <v>491.003476305086</v>
      </c>
    </row>
    <row r="205" spans="1:19" x14ac:dyDescent="0.75">
      <c r="A205" s="1">
        <v>45435</v>
      </c>
      <c r="B205">
        <v>0.12661831723602701</v>
      </c>
      <c r="C205">
        <v>-3.6197442124979302</v>
      </c>
      <c r="D205">
        <v>4.7328752992148502</v>
      </c>
      <c r="E205" t="s">
        <v>20</v>
      </c>
      <c r="F205">
        <v>-3.4931258952619002</v>
      </c>
      <c r="G205">
        <v>3.4195833333333301</v>
      </c>
      <c r="H205">
        <v>22.151</v>
      </c>
      <c r="I205">
        <v>3.49806666666667</v>
      </c>
      <c r="J205">
        <v>0.12502376671420001</v>
      </c>
      <c r="K205">
        <v>4.6119063719265299</v>
      </c>
      <c r="L205">
        <v>0.46475079915481399</v>
      </c>
      <c r="M205">
        <v>0.32691328785816498</v>
      </c>
      <c r="N205">
        <v>398.46871053445199</v>
      </c>
      <c r="O205">
        <v>40.154469046975898</v>
      </c>
      <c r="P205">
        <v>28245.308070945401</v>
      </c>
      <c r="Q205">
        <v>4177.5272745812199</v>
      </c>
      <c r="R205">
        <v>0.11283798685440601</v>
      </c>
      <c r="S205">
        <v>471.38376769311998</v>
      </c>
    </row>
    <row r="206" spans="1:19" x14ac:dyDescent="0.75">
      <c r="A206" s="1">
        <v>45436</v>
      </c>
      <c r="B206">
        <v>0.144139791590535</v>
      </c>
      <c r="C206">
        <v>-3.5186925752877301</v>
      </c>
      <c r="D206">
        <v>5.0281780584606102</v>
      </c>
      <c r="E206" t="s">
        <v>20</v>
      </c>
      <c r="F206">
        <v>-3.3745527836971898</v>
      </c>
      <c r="G206">
        <v>3.4460000000000002</v>
      </c>
      <c r="H206">
        <v>22.561</v>
      </c>
      <c r="I206">
        <v>3.5026000000000002</v>
      </c>
      <c r="J206">
        <v>0.11408274104427001</v>
      </c>
      <c r="K206">
        <v>3.5449904456647698</v>
      </c>
      <c r="L206">
        <v>0.42110206051134302</v>
      </c>
      <c r="M206">
        <v>0.31246767518304502</v>
      </c>
      <c r="N206">
        <v>306.28717450543598</v>
      </c>
      <c r="O206">
        <v>36.383218028180103</v>
      </c>
      <c r="P206">
        <v>26997.207135815101</v>
      </c>
      <c r="Q206">
        <v>3758.42795846737</v>
      </c>
      <c r="R206">
        <v>9.9446619683404E-2</v>
      </c>
      <c r="S206">
        <v>373.76295579317701</v>
      </c>
    </row>
    <row r="207" spans="1:19" x14ac:dyDescent="0.75">
      <c r="A207" s="1">
        <v>45437</v>
      </c>
      <c r="B207">
        <v>0.135516726568606</v>
      </c>
      <c r="C207">
        <v>-2.1853334102484498</v>
      </c>
      <c r="D207">
        <v>3.61591226077284</v>
      </c>
      <c r="E207" t="s">
        <v>20</v>
      </c>
      <c r="F207">
        <v>-2.0498166836798402</v>
      </c>
      <c r="G207">
        <v>3.4782083333333298</v>
      </c>
      <c r="H207">
        <v>22.98</v>
      </c>
      <c r="I207">
        <v>3.53393333333333</v>
      </c>
      <c r="J207">
        <v>9.9284321295915495E-2</v>
      </c>
      <c r="K207">
        <v>2.4621870941814801</v>
      </c>
      <c r="L207">
        <v>0.37814395681881702</v>
      </c>
      <c r="M207">
        <v>0.29129745237626697</v>
      </c>
      <c r="N207">
        <v>212.73296493728</v>
      </c>
      <c r="O207">
        <v>32.671637869145698</v>
      </c>
      <c r="P207">
        <v>25168.099885309501</v>
      </c>
      <c r="Q207">
        <v>4872.2614513746903</v>
      </c>
      <c r="R207">
        <v>8.5134128154690999E-2</v>
      </c>
      <c r="S207">
        <v>414.79573080449399</v>
      </c>
    </row>
    <row r="208" spans="1:19" x14ac:dyDescent="0.75">
      <c r="A208" s="1">
        <v>45438</v>
      </c>
      <c r="B208">
        <v>0.13451930639405099</v>
      </c>
      <c r="C208">
        <v>-2.3065635013930699</v>
      </c>
      <c r="D208">
        <v>4.3727304794733701</v>
      </c>
      <c r="E208" t="s">
        <v>20</v>
      </c>
      <c r="F208">
        <v>-2.1720441949990201</v>
      </c>
      <c r="G208">
        <v>3.5661666666666698</v>
      </c>
      <c r="H208">
        <v>23.323</v>
      </c>
      <c r="I208">
        <v>3.63126666666667</v>
      </c>
      <c r="J208">
        <v>8.5883252827111803E-2</v>
      </c>
      <c r="K208">
        <v>1.57937594432132</v>
      </c>
      <c r="L208">
        <v>0.33590617319952898</v>
      </c>
      <c r="M208">
        <v>0.27151720456351103</v>
      </c>
      <c r="N208">
        <v>136.458081589362</v>
      </c>
      <c r="O208">
        <v>29.0222933644393</v>
      </c>
      <c r="P208">
        <v>23459.086474287298</v>
      </c>
      <c r="Q208">
        <v>3755.4019414383902</v>
      </c>
      <c r="R208">
        <v>6.7729782395125102E-2</v>
      </c>
      <c r="S208">
        <v>254.35255629985301</v>
      </c>
    </row>
    <row r="209" spans="1:19" x14ac:dyDescent="0.75">
      <c r="A209" s="1">
        <v>45439</v>
      </c>
      <c r="B209">
        <v>0.13992296159617701</v>
      </c>
      <c r="C209">
        <v>-2.1290356073145098</v>
      </c>
      <c r="D209">
        <v>4.5850243912466402</v>
      </c>
      <c r="E209" t="s">
        <v>20</v>
      </c>
      <c r="F209">
        <v>-1.9891126457183299</v>
      </c>
      <c r="G209">
        <v>3.61570833333333</v>
      </c>
      <c r="H209">
        <v>24.22</v>
      </c>
      <c r="I209">
        <v>3.6722000000000001</v>
      </c>
      <c r="J209">
        <v>7.6577363003210899E-2</v>
      </c>
      <c r="K209">
        <v>1.14250125349927</v>
      </c>
      <c r="L209">
        <v>0.29451860172134597</v>
      </c>
      <c r="M209">
        <v>0.25651055009555901</v>
      </c>
      <c r="N209">
        <v>98.712108302337001</v>
      </c>
      <c r="O209">
        <v>25.446407188724301</v>
      </c>
      <c r="P209">
        <v>22162.511528256298</v>
      </c>
      <c r="Q209">
        <v>3383.5715464015898</v>
      </c>
      <c r="R209">
        <v>5.8163568808111903E-2</v>
      </c>
      <c r="S209">
        <v>196.800596456298</v>
      </c>
    </row>
    <row r="210" spans="1:19" x14ac:dyDescent="0.75">
      <c r="A210" s="1">
        <v>45440</v>
      </c>
      <c r="B210">
        <v>0.156774800255052</v>
      </c>
      <c r="C210">
        <v>-2.0703754657282101</v>
      </c>
      <c r="D210">
        <v>4.7984833246213201</v>
      </c>
      <c r="E210" t="s">
        <v>20</v>
      </c>
      <c r="F210">
        <v>-1.9136006654731601</v>
      </c>
      <c r="G210">
        <v>3.6374583333333299</v>
      </c>
      <c r="H210">
        <v>24.43</v>
      </c>
      <c r="I210">
        <v>3.7246666666666699</v>
      </c>
      <c r="J210">
        <v>6.8651210787270101E-2</v>
      </c>
      <c r="K210">
        <v>0.82344699412108502</v>
      </c>
      <c r="L210">
        <v>0.25438412346744599</v>
      </c>
      <c r="M210">
        <v>0.243194058423779</v>
      </c>
      <c r="N210">
        <v>71.1458202920617</v>
      </c>
      <c r="O210">
        <v>21.978788267587301</v>
      </c>
      <c r="P210">
        <v>21011.966647814501</v>
      </c>
      <c r="Q210">
        <v>3065.21366407601</v>
      </c>
      <c r="R210">
        <v>4.9321296813347001E-2</v>
      </c>
      <c r="S210">
        <v>151.18031292222</v>
      </c>
    </row>
    <row r="211" spans="1:19" x14ac:dyDescent="0.75">
      <c r="A211" s="1">
        <v>45441</v>
      </c>
      <c r="B211">
        <v>7.7285755326946703E-2</v>
      </c>
      <c r="C211">
        <v>-0.83655163153753298</v>
      </c>
      <c r="D211">
        <v>2.9789143698175899</v>
      </c>
      <c r="E211" t="s">
        <v>20</v>
      </c>
      <c r="F211">
        <v>-0.75926587621058605</v>
      </c>
      <c r="G211">
        <v>4.1198333333333297</v>
      </c>
      <c r="H211">
        <v>24.934000000000001</v>
      </c>
      <c r="I211">
        <v>4.3634000000000004</v>
      </c>
      <c r="J211">
        <v>6.3669477338954797E-2</v>
      </c>
      <c r="K211">
        <v>0.67095004344609899</v>
      </c>
      <c r="L211">
        <v>0.21616064143307501</v>
      </c>
      <c r="M211">
        <v>0.23418666389295201</v>
      </c>
      <c r="N211">
        <v>57.970083753742998</v>
      </c>
      <c r="O211">
        <v>18.6762794198176</v>
      </c>
      <c r="P211">
        <v>20233.727760351099</v>
      </c>
      <c r="Q211">
        <v>4754.6212055477999</v>
      </c>
      <c r="R211">
        <v>4.4998365680140998E-2</v>
      </c>
      <c r="S211">
        <v>213.95018367779301</v>
      </c>
    </row>
    <row r="212" spans="1:19" x14ac:dyDescent="0.75">
      <c r="A212" s="1">
        <v>45443</v>
      </c>
      <c r="B212">
        <v>0.17029195181848</v>
      </c>
      <c r="C212">
        <v>-1.6831606092698299</v>
      </c>
      <c r="D212">
        <v>5.4440483598445599</v>
      </c>
      <c r="E212" t="s">
        <v>20</v>
      </c>
      <c r="F212">
        <v>-1.5128686574513499</v>
      </c>
      <c r="G212">
        <v>4.1946250000000003</v>
      </c>
      <c r="H212">
        <v>24.178000000000001</v>
      </c>
      <c r="I212">
        <v>4.2697333333333303</v>
      </c>
      <c r="J212">
        <v>5.45514666786912E-2</v>
      </c>
      <c r="K212">
        <v>0.42678132776130101</v>
      </c>
      <c r="L212">
        <v>0.148060181415444</v>
      </c>
      <c r="M212">
        <v>0.21706408396531299</v>
      </c>
      <c r="N212">
        <v>36.8739067185764</v>
      </c>
      <c r="O212">
        <v>12.7923996742944</v>
      </c>
      <c r="P212">
        <v>18754.336854603</v>
      </c>
      <c r="Q212">
        <v>2411.44731465923</v>
      </c>
      <c r="R212">
        <v>3.6042176477461801E-2</v>
      </c>
      <c r="S212">
        <v>86.913809681049102</v>
      </c>
    </row>
    <row r="213" spans="1:19" x14ac:dyDescent="0.75">
      <c r="A213" s="1">
        <v>45444</v>
      </c>
      <c r="B213">
        <v>0.14800087130501099</v>
      </c>
      <c r="C213">
        <v>-1.39319763112009</v>
      </c>
      <c r="D213">
        <v>5.0329629254202102</v>
      </c>
      <c r="E213" t="s">
        <v>20</v>
      </c>
      <c r="F213">
        <v>-1.2451967598150799</v>
      </c>
      <c r="G213">
        <v>4.3620000000000001</v>
      </c>
      <c r="H213">
        <v>23.491</v>
      </c>
      <c r="I213">
        <v>4.4528666666666696</v>
      </c>
      <c r="J213">
        <v>5.16745669854978E-2</v>
      </c>
      <c r="K213">
        <v>0.37087893664058602</v>
      </c>
      <c r="L213">
        <v>0.119048413530595</v>
      </c>
      <c r="M213">
        <v>0.211190251628041</v>
      </c>
      <c r="N213">
        <v>32.043940125746701</v>
      </c>
      <c r="O213">
        <v>10.2857829290434</v>
      </c>
      <c r="P213">
        <v>18246.837740662701</v>
      </c>
      <c r="Q213">
        <v>2537.8264469129699</v>
      </c>
      <c r="R213">
        <v>3.3984544656540501E-2</v>
      </c>
      <c r="S213">
        <v>86.246876215663406</v>
      </c>
    </row>
    <row r="214" spans="1:19" x14ac:dyDescent="0.75">
      <c r="A214" s="1">
        <v>45445</v>
      </c>
      <c r="B214">
        <v>0.141975991527483</v>
      </c>
      <c r="C214">
        <v>-1.48072521632357</v>
      </c>
      <c r="D214">
        <v>5.3103304749505504</v>
      </c>
      <c r="E214" t="s">
        <v>20</v>
      </c>
      <c r="F214">
        <v>-1.3387492247960899</v>
      </c>
      <c r="G214">
        <v>4.2333333333333298</v>
      </c>
      <c r="H214">
        <v>23.273</v>
      </c>
      <c r="I214">
        <v>4.3745333333333303</v>
      </c>
      <c r="J214">
        <v>4.9038387470714498E-2</v>
      </c>
      <c r="K214">
        <v>0.30898425533204898</v>
      </c>
      <c r="L214">
        <v>9.3801788110518994E-2</v>
      </c>
      <c r="M214">
        <v>0.20611920613398099</v>
      </c>
      <c r="N214">
        <v>26.696239660688999</v>
      </c>
      <c r="O214">
        <v>8.1044744927488406</v>
      </c>
      <c r="P214">
        <v>17808.699409976001</v>
      </c>
      <c r="Q214">
        <v>2347.5167215650999</v>
      </c>
      <c r="R214">
        <v>3.0569033511546499E-2</v>
      </c>
      <c r="S214">
        <v>71.761317330439496</v>
      </c>
    </row>
    <row r="215" spans="1:19" x14ac:dyDescent="0.75">
      <c r="A215" s="1">
        <v>45446</v>
      </c>
      <c r="B215">
        <v>0.16093537638006999</v>
      </c>
      <c r="C215">
        <v>-1.5279156075185001</v>
      </c>
      <c r="D215">
        <v>5.4959037746986903</v>
      </c>
      <c r="E215" t="s">
        <v>20</v>
      </c>
      <c r="F215">
        <v>-1.36698023113843</v>
      </c>
      <c r="G215">
        <v>3.9322916666666701</v>
      </c>
      <c r="H215">
        <v>23.105</v>
      </c>
      <c r="I215">
        <v>4.0209999999999999</v>
      </c>
      <c r="J215">
        <v>4.5189800228085601E-2</v>
      </c>
      <c r="K215">
        <v>0.25021462615113599</v>
      </c>
      <c r="L215">
        <v>7.5915636117007801E-2</v>
      </c>
      <c r="M215">
        <v>0.19773382749351501</v>
      </c>
      <c r="N215">
        <v>21.618543699458201</v>
      </c>
      <c r="O215">
        <v>6.5591109605094697</v>
      </c>
      <c r="P215">
        <v>17084.202695439701</v>
      </c>
      <c r="Q215">
        <v>2175.9736663991098</v>
      </c>
      <c r="R215">
        <v>2.80021448695413E-2</v>
      </c>
      <c r="S215">
        <v>60.931929838814803</v>
      </c>
    </row>
    <row r="216" spans="1:19" x14ac:dyDescent="0.75">
      <c r="A216" s="1">
        <v>45447</v>
      </c>
      <c r="B216">
        <v>0.17544894833091901</v>
      </c>
      <c r="C216">
        <v>-1.4598650875696999</v>
      </c>
      <c r="D216">
        <v>5.61136626434305</v>
      </c>
      <c r="E216" t="s">
        <v>20</v>
      </c>
      <c r="F216">
        <v>-1.2844161392387801</v>
      </c>
      <c r="G216">
        <v>3.7755416666666699</v>
      </c>
      <c r="H216">
        <v>24.363</v>
      </c>
      <c r="I216">
        <v>3.7545333333333302</v>
      </c>
      <c r="J216">
        <v>4.04341088985209E-2</v>
      </c>
      <c r="K216">
        <v>0.18567224659554801</v>
      </c>
      <c r="L216">
        <v>6.2027048101452799E-2</v>
      </c>
      <c r="M216">
        <v>0.18698034432142699</v>
      </c>
      <c r="N216">
        <v>16.0420821058553</v>
      </c>
      <c r="O216">
        <v>5.3591369559655302</v>
      </c>
      <c r="P216">
        <v>16155.101749371301</v>
      </c>
      <c r="Q216">
        <v>2015.2972897918401</v>
      </c>
      <c r="R216">
        <v>2.45585748444038E-2</v>
      </c>
      <c r="S216">
        <v>49.492829325077103</v>
      </c>
    </row>
    <row r="217" spans="1:19" x14ac:dyDescent="0.75">
      <c r="A217" s="1">
        <v>45448</v>
      </c>
      <c r="B217">
        <v>0.36830346182124202</v>
      </c>
      <c r="C217">
        <v>-1.76198890732689</v>
      </c>
      <c r="D217">
        <v>4.28901578532715</v>
      </c>
      <c r="E217" t="s">
        <v>20</v>
      </c>
      <c r="F217">
        <v>-1.39368544550565</v>
      </c>
      <c r="G217">
        <v>3.7053750000000001</v>
      </c>
      <c r="H217">
        <v>24.815999999999999</v>
      </c>
      <c r="I217">
        <v>3.80446666666667</v>
      </c>
      <c r="J217">
        <v>5.2831198086638803E-2</v>
      </c>
      <c r="K217">
        <v>0.54203321245518699</v>
      </c>
      <c r="L217">
        <v>5.1949663824866502E-2</v>
      </c>
      <c r="M217">
        <v>0.21043781583582399</v>
      </c>
      <c r="N217">
        <v>46.831669556128197</v>
      </c>
      <c r="O217">
        <v>4.4884509544684699</v>
      </c>
      <c r="P217">
        <v>18181.827288215201</v>
      </c>
      <c r="Q217">
        <v>2967.4125111152598</v>
      </c>
      <c r="R217">
        <v>4.8754157179980599E-2</v>
      </c>
      <c r="S217">
        <v>144.673695984754</v>
      </c>
    </row>
    <row r="218" spans="1:19" x14ac:dyDescent="0.75">
      <c r="A218" s="1">
        <v>45449</v>
      </c>
      <c r="B218">
        <v>0.13046853237056899</v>
      </c>
      <c r="C218">
        <v>-1.46576267424085</v>
      </c>
      <c r="D218">
        <v>4.1978029336409497</v>
      </c>
      <c r="E218" t="s">
        <v>20</v>
      </c>
      <c r="F218">
        <v>-1.3352941418702799</v>
      </c>
      <c r="G218">
        <v>3.3756666666666701</v>
      </c>
      <c r="H218">
        <v>23.256</v>
      </c>
      <c r="I218">
        <v>3.44126666666667</v>
      </c>
      <c r="J218">
        <v>5.5931204286651298E-2</v>
      </c>
      <c r="K218">
        <v>0.48036850390390801</v>
      </c>
      <c r="L218">
        <v>4.54585871939941E-2</v>
      </c>
      <c r="M218">
        <v>0.219266354724894</v>
      </c>
      <c r="N218">
        <v>41.503838737297599</v>
      </c>
      <c r="O218">
        <v>3.92762193356109</v>
      </c>
      <c r="P218">
        <v>18944.6130482308</v>
      </c>
      <c r="Q218">
        <v>3159.0880618732299</v>
      </c>
      <c r="R218">
        <v>3.91695297304381E-2</v>
      </c>
      <c r="S218">
        <v>123.739993760616</v>
      </c>
    </row>
    <row r="219" spans="1:19" x14ac:dyDescent="0.75">
      <c r="A219" s="1">
        <v>45450</v>
      </c>
      <c r="B219">
        <v>0.16143598348909699</v>
      </c>
      <c r="C219">
        <v>-1.3528766761989</v>
      </c>
      <c r="D219">
        <v>4.5306313040714503</v>
      </c>
      <c r="E219" t="s">
        <v>20</v>
      </c>
      <c r="F219">
        <v>-1.1914406927098</v>
      </c>
      <c r="G219">
        <v>3.47291666666667</v>
      </c>
      <c r="H219">
        <v>25.911000000000001</v>
      </c>
      <c r="I219">
        <v>3.5005333333333302</v>
      </c>
      <c r="J219">
        <v>4.4282696141150303E-2</v>
      </c>
      <c r="K219">
        <v>0.24721913337526499</v>
      </c>
      <c r="L219">
        <v>4.1679128954409797E-2</v>
      </c>
      <c r="M219">
        <v>0.195295576513147</v>
      </c>
      <c r="N219">
        <v>21.359733123622899</v>
      </c>
      <c r="O219">
        <v>3.6010767416610001</v>
      </c>
      <c r="P219">
        <v>16873.537810735899</v>
      </c>
      <c r="Q219">
        <v>2607.02663156474</v>
      </c>
      <c r="R219">
        <v>2.8586146706444299E-2</v>
      </c>
      <c r="S219">
        <v>74.524845757517099</v>
      </c>
    </row>
    <row r="220" spans="1:19" x14ac:dyDescent="0.75">
      <c r="A220" s="1">
        <v>45451</v>
      </c>
      <c r="B220">
        <v>0.14819504630472999</v>
      </c>
      <c r="C220">
        <v>-1.1636675041293301</v>
      </c>
      <c r="D220">
        <v>4.4120670017919901</v>
      </c>
      <c r="E220" t="s">
        <v>20</v>
      </c>
      <c r="F220">
        <v>-1.0154724578245999</v>
      </c>
      <c r="G220">
        <v>3.2879999999999998</v>
      </c>
      <c r="H220">
        <v>26.469000000000001</v>
      </c>
      <c r="I220">
        <v>3.3514666666666701</v>
      </c>
      <c r="J220">
        <v>3.7422171056463602E-2</v>
      </c>
      <c r="K220">
        <v>0.156643561056963</v>
      </c>
      <c r="L220">
        <v>3.9453091189504803E-2</v>
      </c>
      <c r="M220">
        <v>0.179460975928523</v>
      </c>
      <c r="N220">
        <v>13.5340036753216</v>
      </c>
      <c r="O220">
        <v>3.4087470787732199</v>
      </c>
      <c r="P220">
        <v>15505.428320224401</v>
      </c>
      <c r="Q220">
        <v>2460.0260648237499</v>
      </c>
      <c r="R220">
        <v>2.33245644568848E-2</v>
      </c>
      <c r="S220">
        <v>57.379036514598198</v>
      </c>
    </row>
    <row r="221" spans="1:19" x14ac:dyDescent="0.75">
      <c r="A221" s="1">
        <v>45452</v>
      </c>
      <c r="B221">
        <v>0.14280000031943599</v>
      </c>
      <c r="C221">
        <v>-0.91889243907426399</v>
      </c>
      <c r="D221">
        <v>4.3983498403735002</v>
      </c>
      <c r="E221" t="s">
        <v>20</v>
      </c>
      <c r="F221">
        <v>-0.77609243875482903</v>
      </c>
      <c r="G221">
        <v>2.96529166666667</v>
      </c>
      <c r="H221">
        <v>27.181000000000001</v>
      </c>
      <c r="I221">
        <v>2.8906000000000001</v>
      </c>
      <c r="J221">
        <v>3.1404166596212001E-2</v>
      </c>
      <c r="K221">
        <v>9.8681849172224598E-2</v>
      </c>
      <c r="L221">
        <v>3.8318352193853898E-2</v>
      </c>
      <c r="M221">
        <v>0.16419622454935101</v>
      </c>
      <c r="N221">
        <v>8.5261117684802095</v>
      </c>
      <c r="O221">
        <v>3.3107056295489801</v>
      </c>
      <c r="P221">
        <v>14186.553801063899</v>
      </c>
      <c r="Q221">
        <v>2257.7984974249898</v>
      </c>
      <c r="R221">
        <v>1.91375720824923E-2</v>
      </c>
      <c r="S221">
        <v>43.208781492213603</v>
      </c>
    </row>
    <row r="222" spans="1:19" x14ac:dyDescent="0.75">
      <c r="A222" s="1">
        <v>45453</v>
      </c>
      <c r="B222">
        <v>7.2431936038766798E-2</v>
      </c>
      <c r="C222">
        <v>-0.44882768553366997</v>
      </c>
      <c r="D222">
        <v>4.1342402577580604</v>
      </c>
      <c r="E222" t="s">
        <v>20</v>
      </c>
      <c r="F222">
        <v>-0.37639574949490301</v>
      </c>
      <c r="G222">
        <v>3.855</v>
      </c>
      <c r="H222">
        <v>27.053999999999998</v>
      </c>
      <c r="I222">
        <v>4.0095999999999998</v>
      </c>
      <c r="J222">
        <v>2.6478209774601798E-2</v>
      </c>
      <c r="K222">
        <v>6.0992931063541901E-2</v>
      </c>
      <c r="L222">
        <v>3.8047775504841598E-2</v>
      </c>
      <c r="M222">
        <v>0.150867825737865</v>
      </c>
      <c r="N222">
        <v>5.2697892438900196</v>
      </c>
      <c r="O222">
        <v>3.28732780361831</v>
      </c>
      <c r="P222">
        <v>13034.9801437515</v>
      </c>
      <c r="Q222">
        <v>2207.0526945074398</v>
      </c>
      <c r="R222">
        <v>1.52684254947848E-2</v>
      </c>
      <c r="S222">
        <v>33.698219629150898</v>
      </c>
    </row>
    <row r="223" spans="1:19" x14ac:dyDescent="0.75">
      <c r="A223" s="1">
        <v>45454</v>
      </c>
      <c r="B223">
        <v>9.3079472911444E-2</v>
      </c>
      <c r="C223">
        <v>-0.48756016186109702</v>
      </c>
      <c r="D223">
        <v>3.54829046472745</v>
      </c>
      <c r="E223" t="s">
        <v>20</v>
      </c>
      <c r="F223">
        <v>-0.39448068894965299</v>
      </c>
      <c r="G223">
        <v>4.6466666666666701</v>
      </c>
      <c r="H223">
        <v>26.808</v>
      </c>
      <c r="I223">
        <v>5.4897999999999998</v>
      </c>
      <c r="J223">
        <v>2.32490366495887E-2</v>
      </c>
      <c r="K223">
        <v>4.5304046073507701E-2</v>
      </c>
      <c r="L223">
        <v>3.8559120926523499E-2</v>
      </c>
      <c r="M223">
        <v>0.14068572635788301</v>
      </c>
      <c r="N223">
        <v>3.9142695807510699</v>
      </c>
      <c r="O223">
        <v>3.3315080480516301</v>
      </c>
      <c r="P223">
        <v>12155.2467573211</v>
      </c>
      <c r="Q223">
        <v>2397.9639814460102</v>
      </c>
      <c r="R223">
        <v>1.3851027483355101E-2</v>
      </c>
      <c r="S223">
        <v>33.214265011104203</v>
      </c>
    </row>
    <row r="224" spans="1:19" x14ac:dyDescent="0.75">
      <c r="A224" s="1">
        <v>45455</v>
      </c>
      <c r="B224">
        <v>5.1653526792737901E-2</v>
      </c>
      <c r="C224">
        <v>-0.442510847648247</v>
      </c>
      <c r="D224">
        <v>4.2890403485705297</v>
      </c>
      <c r="E224" t="s">
        <v>20</v>
      </c>
      <c r="F224">
        <v>-0.39085732085550901</v>
      </c>
      <c r="G224">
        <v>5.5228333333333302</v>
      </c>
      <c r="H224">
        <v>26.74</v>
      </c>
      <c r="I224">
        <v>6.4108000000000001</v>
      </c>
      <c r="J224">
        <v>2.0287004210372401E-2</v>
      </c>
      <c r="K224">
        <v>2.99116384430646E-2</v>
      </c>
      <c r="L224">
        <v>4.0851557805137897E-2</v>
      </c>
      <c r="M224">
        <v>0.131962591692381</v>
      </c>
      <c r="N224">
        <v>2.5843655614807801</v>
      </c>
      <c r="O224">
        <v>3.5295745943639099</v>
      </c>
      <c r="P224">
        <v>11401.5679222217</v>
      </c>
      <c r="Q224">
        <v>1860.81195254206</v>
      </c>
      <c r="R224">
        <v>1.11730424033228E-2</v>
      </c>
      <c r="S224">
        <v>20.790930850362301</v>
      </c>
    </row>
    <row r="225" spans="1:19" x14ac:dyDescent="0.75">
      <c r="A225" s="1">
        <v>45456</v>
      </c>
      <c r="B225">
        <v>4.9530520897787797E-2</v>
      </c>
      <c r="C225">
        <v>-0.372249836566586</v>
      </c>
      <c r="D225">
        <v>4.4918782392819301</v>
      </c>
      <c r="E225" t="s">
        <v>20</v>
      </c>
      <c r="F225">
        <v>-0.32271931566879802</v>
      </c>
      <c r="G225">
        <v>6.0348750000000004</v>
      </c>
      <c r="H225">
        <v>25.97</v>
      </c>
      <c r="I225">
        <v>6.9543333333333299</v>
      </c>
      <c r="J225">
        <v>1.92096346313908E-2</v>
      </c>
      <c r="K225">
        <v>2.4285422374188601E-2</v>
      </c>
      <c r="L225">
        <v>4.5489780519907097E-2</v>
      </c>
      <c r="M225">
        <v>0.12891564250041901</v>
      </c>
      <c r="N225">
        <v>2.0982604931298998</v>
      </c>
      <c r="O225">
        <v>3.9303170369199698</v>
      </c>
      <c r="P225">
        <v>11138.3115120362</v>
      </c>
      <c r="Q225">
        <v>1735.7589950327299</v>
      </c>
      <c r="R225">
        <v>9.8066559506773694E-3</v>
      </c>
      <c r="S225">
        <v>17.021991277579499</v>
      </c>
    </row>
    <row r="226" spans="1:19" x14ac:dyDescent="0.75">
      <c r="A226" s="1">
        <v>45467</v>
      </c>
      <c r="B226">
        <v>0.153860680914579</v>
      </c>
      <c r="C226">
        <v>-1.10028412761796</v>
      </c>
      <c r="D226">
        <v>3.3146932149771402</v>
      </c>
      <c r="E226" t="s">
        <v>20</v>
      </c>
      <c r="F226">
        <v>-0.94642344670337597</v>
      </c>
      <c r="G226">
        <v>3.8273333333333301</v>
      </c>
      <c r="H226">
        <v>24.808</v>
      </c>
      <c r="I226">
        <v>3.9878</v>
      </c>
      <c r="J226">
        <v>5.19270296116352E-2</v>
      </c>
      <c r="K226">
        <v>0.51733896612966501</v>
      </c>
      <c r="L226">
        <v>6.8375098683991303E-2</v>
      </c>
      <c r="M226">
        <v>0.20911320608559</v>
      </c>
      <c r="N226">
        <v>44.6980866736031</v>
      </c>
      <c r="O226">
        <v>5.9076085262968503</v>
      </c>
      <c r="P226">
        <v>18067.381005795</v>
      </c>
      <c r="Q226">
        <v>3815.48634634162</v>
      </c>
      <c r="R226">
        <v>4.7643126098664598E-2</v>
      </c>
      <c r="S226">
        <v>181.78169712648699</v>
      </c>
    </row>
    <row r="227" spans="1:19" x14ac:dyDescent="0.75">
      <c r="A227" s="1">
        <v>45468</v>
      </c>
      <c r="B227">
        <v>0.27579650251117199</v>
      </c>
      <c r="C227">
        <v>-1.21641848752407</v>
      </c>
      <c r="D227">
        <v>2.2608072995881501</v>
      </c>
      <c r="E227" t="s">
        <v>20</v>
      </c>
      <c r="F227">
        <v>-0.94062198501289696</v>
      </c>
      <c r="G227">
        <v>3.6357916666666701</v>
      </c>
      <c r="H227">
        <v>26.748000000000001</v>
      </c>
      <c r="I227">
        <v>3.7862</v>
      </c>
      <c r="J227">
        <v>5.2508280774137599E-2</v>
      </c>
      <c r="K227">
        <v>0.414762324955044</v>
      </c>
      <c r="L227">
        <v>7.9201263526675197E-2</v>
      </c>
      <c r="M227">
        <v>0.212230576081509</v>
      </c>
      <c r="N227">
        <v>35.8354648761158</v>
      </c>
      <c r="O227">
        <v>6.8429891687047402</v>
      </c>
      <c r="P227">
        <v>18336.721773442401</v>
      </c>
      <c r="Q227">
        <v>5677.4875256940004</v>
      </c>
      <c r="R227">
        <v>3.7218901286656801E-2</v>
      </c>
      <c r="S227">
        <v>211.30984777502999</v>
      </c>
    </row>
    <row r="228" spans="1:19" x14ac:dyDescent="0.75">
      <c r="A228" s="1">
        <v>45469</v>
      </c>
      <c r="B228">
        <v>9.6118062743799401E-2</v>
      </c>
      <c r="C228">
        <v>-2.3908668447751298</v>
      </c>
      <c r="D228">
        <v>4.7988247419779899</v>
      </c>
      <c r="E228" t="s">
        <v>20</v>
      </c>
      <c r="F228">
        <v>-2.2947487820313301</v>
      </c>
      <c r="G228">
        <v>3.6163333333333298</v>
      </c>
      <c r="H228">
        <v>27.113</v>
      </c>
      <c r="I228">
        <v>3.7291333333333299</v>
      </c>
      <c r="J228">
        <v>9.2940463911230994E-2</v>
      </c>
      <c r="K228">
        <v>2.3175568773189799</v>
      </c>
      <c r="L228">
        <v>9.1583419845775296E-2</v>
      </c>
      <c r="M228">
        <v>0.28071086555062102</v>
      </c>
      <c r="N228">
        <v>200.23691420035999</v>
      </c>
      <c r="O228">
        <v>7.9128074746749801</v>
      </c>
      <c r="P228">
        <v>24253.418783573699</v>
      </c>
      <c r="Q228">
        <v>3537.8231257313601</v>
      </c>
      <c r="R228">
        <v>8.8831366334019293E-2</v>
      </c>
      <c r="S228">
        <v>314.26966210680803</v>
      </c>
    </row>
    <row r="229" spans="1:19" x14ac:dyDescent="0.75">
      <c r="A229" s="1">
        <v>45470</v>
      </c>
      <c r="B229">
        <v>0.17584978533724899</v>
      </c>
      <c r="C229">
        <v>-2.8046636172916499</v>
      </c>
      <c r="D229">
        <v>5.9316096580840201</v>
      </c>
      <c r="E229" t="s">
        <v>20</v>
      </c>
      <c r="F229">
        <v>-2.6288138319544001</v>
      </c>
      <c r="G229">
        <v>3.6252916666666701</v>
      </c>
      <c r="H229">
        <v>25.684000000000001</v>
      </c>
      <c r="I229">
        <v>3.6861333333333302</v>
      </c>
      <c r="J229">
        <v>7.8112688043558004E-2</v>
      </c>
      <c r="K229">
        <v>1.1759814806053299</v>
      </c>
      <c r="L229">
        <v>0.105513264791031</v>
      </c>
      <c r="M229">
        <v>0.25937879760706201</v>
      </c>
      <c r="N229">
        <v>101.6047999243</v>
      </c>
      <c r="O229">
        <v>9.11634607794511</v>
      </c>
      <c r="P229">
        <v>22410.328113250202</v>
      </c>
      <c r="Q229">
        <v>2644.6834136995899</v>
      </c>
      <c r="R229">
        <v>5.80422750191225E-2</v>
      </c>
      <c r="S229">
        <v>153.50344203646301</v>
      </c>
    </row>
    <row r="230" spans="1:19" x14ac:dyDescent="0.75">
      <c r="A230" s="1">
        <v>45471</v>
      </c>
      <c r="B230">
        <v>0.36092388732330599</v>
      </c>
      <c r="C230">
        <v>-2.3609358553748598</v>
      </c>
      <c r="D230">
        <v>3.5657033791882302</v>
      </c>
      <c r="E230" t="s">
        <v>20</v>
      </c>
      <c r="F230">
        <v>-2.00001196805156</v>
      </c>
      <c r="G230">
        <v>3.64825</v>
      </c>
      <c r="H230">
        <v>25.481000000000002</v>
      </c>
      <c r="I230">
        <v>3.7606000000000002</v>
      </c>
      <c r="J230">
        <v>9.4622569548169597E-2</v>
      </c>
      <c r="K230">
        <v>2.3714153289155901</v>
      </c>
      <c r="L230">
        <v>0.121055538172604</v>
      </c>
      <c r="M230">
        <v>0.28312156573637298</v>
      </c>
      <c r="N230">
        <v>204.890284418307</v>
      </c>
      <c r="O230">
        <v>10.459198498113</v>
      </c>
      <c r="P230">
        <v>24461.703279622601</v>
      </c>
      <c r="Q230">
        <v>4802.1920150952501</v>
      </c>
      <c r="R230">
        <v>8.8519700115176195E-2</v>
      </c>
      <c r="S230">
        <v>425.08859707172502</v>
      </c>
    </row>
    <row r="231" spans="1:19" x14ac:dyDescent="0.75">
      <c r="A231" s="1">
        <v>45472</v>
      </c>
      <c r="B231">
        <v>0.11723759771563599</v>
      </c>
      <c r="C231">
        <v>-3.1218728999405601</v>
      </c>
      <c r="D231">
        <v>5.3965443380916902</v>
      </c>
      <c r="E231" t="s">
        <v>20</v>
      </c>
      <c r="F231">
        <v>-3.0046353022249299</v>
      </c>
      <c r="G231">
        <v>3.4841250000000001</v>
      </c>
      <c r="H231">
        <v>23.248000000000001</v>
      </c>
      <c r="I231">
        <v>3.5091333333333301</v>
      </c>
      <c r="J231">
        <v>9.9677693294780698E-2</v>
      </c>
      <c r="K231">
        <v>2.3915050725798199</v>
      </c>
      <c r="L231">
        <v>0.130792220561428</v>
      </c>
      <c r="M231">
        <v>0.29241013051954001</v>
      </c>
      <c r="N231">
        <v>206.626038270897</v>
      </c>
      <c r="O231">
        <v>11.3004478565074</v>
      </c>
      <c r="P231">
        <v>25264.235276888299</v>
      </c>
      <c r="Q231">
        <v>3277.0905946221701</v>
      </c>
      <c r="R231">
        <v>8.2050439675002904E-2</v>
      </c>
      <c r="S231">
        <v>268.88672414356603</v>
      </c>
    </row>
    <row r="232" spans="1:19" x14ac:dyDescent="0.75">
      <c r="A232" s="1">
        <v>45473</v>
      </c>
      <c r="B232">
        <v>0.59202289800582597</v>
      </c>
      <c r="C232">
        <v>-2.5489062808623699</v>
      </c>
      <c r="D232">
        <v>2.8028940189002598</v>
      </c>
      <c r="E232" t="s">
        <v>20</v>
      </c>
      <c r="F232">
        <v>-1.95688338285654</v>
      </c>
      <c r="G232">
        <v>3.7610416666666699</v>
      </c>
      <c r="H232">
        <v>24.202999999999999</v>
      </c>
      <c r="I232">
        <v>3.8862000000000001</v>
      </c>
      <c r="J232">
        <v>0.110518908159029</v>
      </c>
      <c r="K232">
        <v>4.5540001730359103</v>
      </c>
      <c r="L232">
        <v>0.13081610553914599</v>
      </c>
      <c r="M232">
        <v>0.303144526196158</v>
      </c>
      <c r="N232">
        <v>393.46561495030301</v>
      </c>
      <c r="O232">
        <v>11.3025115185822</v>
      </c>
      <c r="P232">
        <v>26191.687063348101</v>
      </c>
      <c r="Q232">
        <v>6541.1609646008701</v>
      </c>
      <c r="R232">
        <v>0.13592731125508201</v>
      </c>
      <c r="S232">
        <v>889.12242240489797</v>
      </c>
    </row>
    <row r="233" spans="1:19" x14ac:dyDescent="0.75">
      <c r="A233" s="1">
        <v>45474</v>
      </c>
      <c r="B233">
        <v>0.15466117919813599</v>
      </c>
      <c r="C233">
        <v>-3.93465497658649</v>
      </c>
      <c r="D233">
        <v>4.4830495202514697</v>
      </c>
      <c r="E233" t="s">
        <v>20</v>
      </c>
      <c r="F233">
        <v>-3.7799937973883599</v>
      </c>
      <c r="G233">
        <v>3.24108333333333</v>
      </c>
      <c r="H233">
        <v>23.893000000000001</v>
      </c>
      <c r="I233">
        <v>3.2917333333333301</v>
      </c>
      <c r="J233">
        <v>0.14323043191540899</v>
      </c>
      <c r="K233">
        <v>6.9163272196629402</v>
      </c>
      <c r="L233">
        <v>0.131079263095884</v>
      </c>
      <c r="M233">
        <v>0.34935973381519903</v>
      </c>
      <c r="N233">
        <v>597.57067177887802</v>
      </c>
      <c r="O233">
        <v>11.325248331484399</v>
      </c>
      <c r="P233">
        <v>30184.681001633198</v>
      </c>
      <c r="Q233">
        <v>4713.1481831050596</v>
      </c>
      <c r="R233">
        <v>0.138218884133678</v>
      </c>
      <c r="S233">
        <v>651.44608262545501</v>
      </c>
    </row>
    <row r="234" spans="1:19" x14ac:dyDescent="0.75">
      <c r="A234" s="1">
        <v>45475</v>
      </c>
      <c r="B234">
        <v>0.174110976028405</v>
      </c>
      <c r="C234">
        <v>-7.0744810577866497</v>
      </c>
      <c r="D234">
        <v>6.1087616426856703</v>
      </c>
      <c r="E234" t="s">
        <v>20</v>
      </c>
      <c r="F234">
        <v>-6.9003700817582496</v>
      </c>
      <c r="G234">
        <v>3.2689583333333299</v>
      </c>
      <c r="H234">
        <v>23.96</v>
      </c>
      <c r="I234">
        <v>3.3461333333333299</v>
      </c>
      <c r="J234">
        <v>0.17658485468486099</v>
      </c>
      <c r="K234">
        <v>12.5975215133506</v>
      </c>
      <c r="L234">
        <v>0.13165812480174399</v>
      </c>
      <c r="M234">
        <v>0.38741303747639</v>
      </c>
      <c r="N234">
        <v>1088.42585875349</v>
      </c>
      <c r="O234">
        <v>11.3752619828707</v>
      </c>
      <c r="P234">
        <v>33472.486437960099</v>
      </c>
      <c r="Q234">
        <v>3835.5958010944601</v>
      </c>
      <c r="R234">
        <v>0.18414393719479899</v>
      </c>
      <c r="S234">
        <v>706.30171230137501</v>
      </c>
    </row>
    <row r="235" spans="1:19" x14ac:dyDescent="0.75">
      <c r="A235" s="1">
        <v>45476</v>
      </c>
      <c r="B235">
        <v>0.10790956647533</v>
      </c>
      <c r="C235">
        <v>-4.03425925077517</v>
      </c>
      <c r="D235">
        <v>3.7132385061558599</v>
      </c>
      <c r="E235" t="s">
        <v>20</v>
      </c>
      <c r="F235">
        <v>-3.92634968429984</v>
      </c>
      <c r="G235">
        <v>3.17208333333333</v>
      </c>
      <c r="H235">
        <v>24.119</v>
      </c>
      <c r="I235">
        <v>3.18773333333333</v>
      </c>
      <c r="J235">
        <v>0.17574820528429</v>
      </c>
      <c r="K235">
        <v>12.477443039418199</v>
      </c>
      <c r="L235">
        <v>0.13260097779492699</v>
      </c>
      <c r="M235">
        <v>0.38643920233458201</v>
      </c>
      <c r="N235">
        <v>1078.05107860573</v>
      </c>
      <c r="O235">
        <v>11.4567244814817</v>
      </c>
      <c r="P235">
        <v>33388.347081707798</v>
      </c>
      <c r="Q235">
        <v>6294.1938468130502</v>
      </c>
      <c r="R235">
        <v>0.183718766214096</v>
      </c>
      <c r="S235">
        <v>1156.3615278488501</v>
      </c>
    </row>
    <row r="236" spans="1:19" x14ac:dyDescent="0.75">
      <c r="A236" s="1">
        <v>45477</v>
      </c>
      <c r="B236">
        <v>0.14547466811715501</v>
      </c>
      <c r="C236">
        <v>-4.5787404232014497</v>
      </c>
      <c r="D236">
        <v>4.8705974953283304</v>
      </c>
      <c r="E236" t="s">
        <v>20</v>
      </c>
      <c r="F236">
        <v>-4.4332657550842898</v>
      </c>
      <c r="G236">
        <v>3.241625</v>
      </c>
      <c r="H236">
        <v>24.681999999999999</v>
      </c>
      <c r="I236">
        <v>3.2488666666666699</v>
      </c>
      <c r="J236">
        <v>0.15205488138248999</v>
      </c>
      <c r="K236">
        <v>8.1733847875171204</v>
      </c>
      <c r="L236">
        <v>0.13395039001071499</v>
      </c>
      <c r="M236">
        <v>0.359905584388023</v>
      </c>
      <c r="N236">
        <v>706.18044564147897</v>
      </c>
      <c r="O236">
        <v>11.573313696925799</v>
      </c>
      <c r="P236">
        <v>31095.8424911252</v>
      </c>
      <c r="Q236">
        <v>4469.0799772852697</v>
      </c>
      <c r="R236">
        <v>0.14935267072830999</v>
      </c>
      <c r="S236">
        <v>667.46903030597105</v>
      </c>
    </row>
    <row r="237" spans="1:19" x14ac:dyDescent="0.75">
      <c r="A237" s="1">
        <v>45478</v>
      </c>
      <c r="B237">
        <v>0.110695474661392</v>
      </c>
      <c r="C237">
        <v>-3.22186673116392</v>
      </c>
      <c r="D237">
        <v>4.0210948224719401</v>
      </c>
      <c r="E237" t="s">
        <v>20</v>
      </c>
      <c r="F237">
        <v>-3.11117125650253</v>
      </c>
      <c r="G237">
        <v>3.2627083333333302</v>
      </c>
      <c r="H237">
        <v>24.17</v>
      </c>
      <c r="I237">
        <v>3.2966000000000002</v>
      </c>
      <c r="J237">
        <v>0.13213675442502401</v>
      </c>
      <c r="K237">
        <v>5.4639953065621603</v>
      </c>
      <c r="L237">
        <v>0.13572123815102299</v>
      </c>
      <c r="M237">
        <v>0.33580042446480202</v>
      </c>
      <c r="N237">
        <v>472.08919448696997</v>
      </c>
      <c r="O237">
        <v>11.7263149762484</v>
      </c>
      <c r="P237">
        <v>29013.156673758898</v>
      </c>
      <c r="Q237">
        <v>5050.6666886174698</v>
      </c>
      <c r="R237">
        <v>0.12314178411823901</v>
      </c>
      <c r="S237">
        <v>621.94810702291204</v>
      </c>
    </row>
    <row r="238" spans="1:19" x14ac:dyDescent="0.75">
      <c r="A238" s="1">
        <v>45479</v>
      </c>
      <c r="B238">
        <v>0.11019288844867001</v>
      </c>
      <c r="C238">
        <v>-3.06580905063411</v>
      </c>
      <c r="D238">
        <v>4.4633719665987099</v>
      </c>
      <c r="E238" t="s">
        <v>20</v>
      </c>
      <c r="F238">
        <v>-2.9556161621854402</v>
      </c>
      <c r="G238">
        <v>3.3873333333333302</v>
      </c>
      <c r="H238">
        <v>24.64</v>
      </c>
      <c r="I238">
        <v>3.4553333333333298</v>
      </c>
      <c r="J238">
        <v>0.114622893639727</v>
      </c>
      <c r="K238">
        <v>3.6006839491209699</v>
      </c>
      <c r="L238">
        <v>0.13452874086694599</v>
      </c>
      <c r="M238">
        <v>0.31316822249398402</v>
      </c>
      <c r="N238">
        <v>311.099093204052</v>
      </c>
      <c r="O238">
        <v>11.6232832109041</v>
      </c>
      <c r="P238">
        <v>27057.734423480299</v>
      </c>
      <c r="Q238">
        <v>4243.5213193467398</v>
      </c>
      <c r="R238">
        <v>0.100308086888011</v>
      </c>
      <c r="S238">
        <v>425.65950521216098</v>
      </c>
    </row>
    <row r="239" spans="1:19" x14ac:dyDescent="0.75">
      <c r="A239" s="1">
        <v>45480</v>
      </c>
      <c r="B239">
        <v>0.182179212234968</v>
      </c>
      <c r="C239">
        <v>-3.9633437537021998</v>
      </c>
      <c r="D239">
        <v>6.1191676085951103</v>
      </c>
      <c r="E239" t="s">
        <v>20</v>
      </c>
      <c r="F239">
        <v>-3.7811645414672399</v>
      </c>
      <c r="G239">
        <v>3.4652083333333299</v>
      </c>
      <c r="H239">
        <v>25.035</v>
      </c>
      <c r="I239">
        <v>3.5409333333333302</v>
      </c>
      <c r="J239">
        <v>0.10546378441241699</v>
      </c>
      <c r="K239">
        <v>2.8087553582190501</v>
      </c>
      <c r="L239">
        <v>0.13384957057678801</v>
      </c>
      <c r="M239">
        <v>0.30067753151623799</v>
      </c>
      <c r="N239">
        <v>242.67646295012599</v>
      </c>
      <c r="O239">
        <v>11.564602897834501</v>
      </c>
      <c r="P239">
        <v>25978.538723002999</v>
      </c>
      <c r="Q239">
        <v>2971.80568817221</v>
      </c>
      <c r="R239">
        <v>8.85746788754328E-2</v>
      </c>
      <c r="S239">
        <v>263.226734510038</v>
      </c>
    </row>
    <row r="240" spans="1:19" x14ac:dyDescent="0.75">
      <c r="A240" s="1">
        <v>45481</v>
      </c>
      <c r="B240">
        <v>0.177162978048964</v>
      </c>
      <c r="C240">
        <v>-3.64888412441042</v>
      </c>
      <c r="D240">
        <v>5.6447874646261704</v>
      </c>
      <c r="E240" t="s">
        <v>20</v>
      </c>
      <c r="F240">
        <v>-3.4717211463614501</v>
      </c>
      <c r="G240">
        <v>3.427</v>
      </c>
      <c r="H240">
        <v>24.338000000000001</v>
      </c>
      <c r="I240">
        <v>3.4857999999999998</v>
      </c>
      <c r="J240">
        <v>0.106062649246511</v>
      </c>
      <c r="K240">
        <v>2.87310505742736</v>
      </c>
      <c r="L240">
        <v>0.13357388254899499</v>
      </c>
      <c r="M240">
        <v>0.30143231223428302</v>
      </c>
      <c r="N240">
        <v>248.236276961724</v>
      </c>
      <c r="O240">
        <v>11.5407834522331</v>
      </c>
      <c r="P240">
        <v>26043.751777042002</v>
      </c>
      <c r="Q240">
        <v>3229.6390888362298</v>
      </c>
      <c r="R240">
        <v>8.9866790353056503E-2</v>
      </c>
      <c r="S240">
        <v>290.237298912482</v>
      </c>
    </row>
    <row r="241" spans="1:19" x14ac:dyDescent="0.75">
      <c r="A241" s="1">
        <v>45482</v>
      </c>
      <c r="B241">
        <v>0.320000288863525</v>
      </c>
      <c r="C241">
        <v>-3.59759049218348</v>
      </c>
      <c r="D241">
        <v>4.2571438062876199</v>
      </c>
      <c r="E241" t="s">
        <v>20</v>
      </c>
      <c r="F241">
        <v>-3.27759020331996</v>
      </c>
      <c r="G241">
        <v>3.5712916666666699</v>
      </c>
      <c r="H241">
        <v>24.145</v>
      </c>
      <c r="I241">
        <v>3.6735333333333302</v>
      </c>
      <c r="J241">
        <v>0.125798768264203</v>
      </c>
      <c r="K241">
        <v>4.7642233656334101</v>
      </c>
      <c r="L241">
        <v>0.133627781819039</v>
      </c>
      <c r="M241">
        <v>0.327693846327127</v>
      </c>
      <c r="N241">
        <v>411.62889879072702</v>
      </c>
      <c r="O241">
        <v>11.545440349165</v>
      </c>
      <c r="P241">
        <v>28312.7483226638</v>
      </c>
      <c r="Q241">
        <v>4655.45086745553</v>
      </c>
      <c r="R241">
        <v>0.115570619153231</v>
      </c>
      <c r="S241">
        <v>538.03333918928001</v>
      </c>
    </row>
    <row r="242" spans="1:19" x14ac:dyDescent="0.75">
      <c r="A242" s="1">
        <v>45483</v>
      </c>
      <c r="B242">
        <v>0.23644492041353199</v>
      </c>
      <c r="C242">
        <v>-5.1962227280471902</v>
      </c>
      <c r="D242">
        <v>5.4943534030503001</v>
      </c>
      <c r="E242" t="s">
        <v>20</v>
      </c>
      <c r="F242">
        <v>-4.9597778076336603</v>
      </c>
      <c r="G242">
        <v>3.2872499999999998</v>
      </c>
      <c r="H242">
        <v>24.245000000000001</v>
      </c>
      <c r="I242">
        <v>3.3425333333333298</v>
      </c>
      <c r="J242">
        <v>0.145728637669397</v>
      </c>
      <c r="K242">
        <v>7.1742370427231599</v>
      </c>
      <c r="L242">
        <v>0.13395235334848199</v>
      </c>
      <c r="M242">
        <v>0.35256835635170702</v>
      </c>
      <c r="N242">
        <v>619.85408049128102</v>
      </c>
      <c r="O242">
        <v>11.5734833293088</v>
      </c>
      <c r="P242">
        <v>30461.905988787501</v>
      </c>
      <c r="Q242">
        <v>3880.9542502877898</v>
      </c>
      <c r="R242">
        <v>0.139632812613529</v>
      </c>
      <c r="S242">
        <v>541.90855759211297</v>
      </c>
    </row>
    <row r="243" spans="1:19" x14ac:dyDescent="0.75">
      <c r="A243" s="1">
        <v>45484</v>
      </c>
      <c r="B243">
        <v>0.127404529729403</v>
      </c>
      <c r="C243">
        <v>-3.0846253319381902</v>
      </c>
      <c r="D243">
        <v>3.4394590608688702</v>
      </c>
      <c r="E243" t="s">
        <v>20</v>
      </c>
      <c r="F243">
        <v>-2.95722080220879</v>
      </c>
      <c r="G243">
        <v>3.22366666666667</v>
      </c>
      <c r="H243">
        <v>23.7</v>
      </c>
      <c r="I243">
        <v>3.2345333333333302</v>
      </c>
      <c r="J243">
        <v>0.146682711547242</v>
      </c>
      <c r="K243">
        <v>7.4568488376066497</v>
      </c>
      <c r="L243">
        <v>0.13450844837182299</v>
      </c>
      <c r="M243">
        <v>0.35336420395225498</v>
      </c>
      <c r="N243">
        <v>644.27173956921399</v>
      </c>
      <c r="O243">
        <v>11.6215299393255</v>
      </c>
      <c r="P243">
        <v>30530.6672214748</v>
      </c>
      <c r="Q243">
        <v>6213.6128608646804</v>
      </c>
      <c r="R243">
        <v>0.14386457154097201</v>
      </c>
      <c r="S243">
        <v>893.91875194977104</v>
      </c>
    </row>
    <row r="244" spans="1:19" x14ac:dyDescent="0.75">
      <c r="A244" s="1">
        <v>45485</v>
      </c>
      <c r="B244">
        <v>0.14302285109685001</v>
      </c>
      <c r="C244">
        <v>-3.5615306515831402</v>
      </c>
      <c r="D244">
        <v>4.6960067123546603</v>
      </c>
      <c r="E244" t="s">
        <v>20</v>
      </c>
      <c r="F244">
        <v>-3.4185078004862901</v>
      </c>
      <c r="G244">
        <v>3.4016666666666699</v>
      </c>
      <c r="H244">
        <v>74.55</v>
      </c>
      <c r="I244">
        <v>3.3666666666666698</v>
      </c>
      <c r="J244">
        <v>0.12666770939602501</v>
      </c>
      <c r="K244">
        <v>4.82039957500435</v>
      </c>
      <c r="L244">
        <v>0.13553867404719799</v>
      </c>
      <c r="M244">
        <v>0.32892815999825198</v>
      </c>
      <c r="N244">
        <v>416.48252328037597</v>
      </c>
      <c r="O244">
        <v>11.7105414376779</v>
      </c>
      <c r="P244">
        <v>28419.393023848901</v>
      </c>
      <c r="Q244">
        <v>4236.2748469580602</v>
      </c>
      <c r="R244">
        <v>0.115695393313828</v>
      </c>
      <c r="S244">
        <v>490.11748460428799</v>
      </c>
    </row>
    <row r="245" spans="1:19" x14ac:dyDescent="0.75">
      <c r="A245" s="1">
        <v>45486</v>
      </c>
      <c r="B245">
        <v>0.161114085728359</v>
      </c>
      <c r="C245">
        <v>-3.1432605346013398</v>
      </c>
      <c r="D245">
        <v>4.7216061545643804</v>
      </c>
      <c r="E245" t="s">
        <v>20</v>
      </c>
      <c r="F245">
        <v>-2.9821464488729799</v>
      </c>
      <c r="G245">
        <v>3.47291666666667</v>
      </c>
      <c r="H245">
        <v>74.55</v>
      </c>
      <c r="I245">
        <v>3.44933333333333</v>
      </c>
      <c r="J245">
        <v>0.11024589624936899</v>
      </c>
      <c r="K245">
        <v>3.2299214687453</v>
      </c>
      <c r="L245">
        <v>0.13773116720195</v>
      </c>
      <c r="M245">
        <v>0.30716410054777599</v>
      </c>
      <c r="N245">
        <v>279.06521489959403</v>
      </c>
      <c r="O245">
        <v>11.899972846248501</v>
      </c>
      <c r="P245">
        <v>26538.978287327802</v>
      </c>
      <c r="Q245">
        <v>3934.5265557930602</v>
      </c>
      <c r="R245">
        <v>9.5380385650372407E-2</v>
      </c>
      <c r="S245">
        <v>375.27666024317301</v>
      </c>
    </row>
    <row r="246" spans="1:19" x14ac:dyDescent="0.75">
      <c r="A246" s="1">
        <v>45487</v>
      </c>
      <c r="B246">
        <v>0.19286337771037501</v>
      </c>
      <c r="C246">
        <v>-3.0639989486497399</v>
      </c>
      <c r="D246">
        <v>5.0141005799798402</v>
      </c>
      <c r="E246" t="s">
        <v>20</v>
      </c>
      <c r="F246">
        <v>-2.8711355709393702</v>
      </c>
      <c r="G246">
        <v>3.49291666666667</v>
      </c>
      <c r="H246">
        <v>75.16</v>
      </c>
      <c r="I246">
        <v>3.4766666666666701</v>
      </c>
      <c r="J246">
        <v>9.9936027144781697E-2</v>
      </c>
      <c r="K246">
        <v>2.4192564054941701</v>
      </c>
      <c r="L246">
        <v>0.141654366207078</v>
      </c>
      <c r="M246">
        <v>0.29272608952104101</v>
      </c>
      <c r="N246">
        <v>209.023753434696</v>
      </c>
      <c r="O246">
        <v>12.2389372402915</v>
      </c>
      <c r="P246">
        <v>25291.534134617999</v>
      </c>
      <c r="Q246">
        <v>3530.8573515499302</v>
      </c>
      <c r="R246">
        <v>8.2698643895170093E-2</v>
      </c>
      <c r="S246">
        <v>291.99711476047099</v>
      </c>
    </row>
    <row r="247" spans="1:19" x14ac:dyDescent="0.75">
      <c r="A247" s="1">
        <v>45488</v>
      </c>
      <c r="B247">
        <v>0.21727653323117399</v>
      </c>
      <c r="C247">
        <v>-4.1584830799115204</v>
      </c>
      <c r="D247">
        <v>7.0280507847795404</v>
      </c>
      <c r="E247" t="s">
        <v>20</v>
      </c>
      <c r="F247">
        <v>-3.9412065466803501</v>
      </c>
      <c r="G247">
        <v>3.5233333333333299</v>
      </c>
      <c r="H247">
        <v>75.09</v>
      </c>
      <c r="I247">
        <v>3.4826666666666699</v>
      </c>
      <c r="J247">
        <v>9.77754167629548E-2</v>
      </c>
      <c r="K247">
        <v>2.24556201723163</v>
      </c>
      <c r="L247">
        <v>0.14770423048901399</v>
      </c>
      <c r="M247">
        <v>0.289741812923211</v>
      </c>
      <c r="N247">
        <v>194.01655828881201</v>
      </c>
      <c r="O247">
        <v>12.7616455142508</v>
      </c>
      <c r="P247">
        <v>25033.6926365654</v>
      </c>
      <c r="Q247">
        <v>2493.3776636256198</v>
      </c>
      <c r="R247">
        <v>7.9265500244520407E-2</v>
      </c>
      <c r="S247">
        <v>197.638827805798</v>
      </c>
    </row>
    <row r="248" spans="1:19" x14ac:dyDescent="0.75">
      <c r="A248" s="1">
        <v>45489</v>
      </c>
      <c r="B248">
        <v>0.21622445506084301</v>
      </c>
      <c r="C248">
        <v>-3.5354824882176898</v>
      </c>
      <c r="D248">
        <v>6.3904035664321004</v>
      </c>
      <c r="E248" t="s">
        <v>20</v>
      </c>
      <c r="F248">
        <v>-3.31925803315684</v>
      </c>
      <c r="G248">
        <v>3.5558333333333301</v>
      </c>
      <c r="H248">
        <v>74.16</v>
      </c>
      <c r="I248">
        <v>3.4886666666666701</v>
      </c>
      <c r="J248">
        <v>9.1264229498156296E-2</v>
      </c>
      <c r="K248">
        <v>1.8412705563890299</v>
      </c>
      <c r="L248">
        <v>0.15607580464944301</v>
      </c>
      <c r="M248">
        <v>0.280061394693776</v>
      </c>
      <c r="N248">
        <v>159.08577607201201</v>
      </c>
      <c r="O248">
        <v>13.484949521711901</v>
      </c>
      <c r="P248">
        <v>24197.304501542301</v>
      </c>
      <c r="Q248">
        <v>2650.5545346233098</v>
      </c>
      <c r="R248">
        <v>7.2038352092796298E-2</v>
      </c>
      <c r="S248">
        <v>190.94158080635199</v>
      </c>
    </row>
    <row r="249" spans="1:19" x14ac:dyDescent="0.75">
      <c r="A249" s="1">
        <v>45490</v>
      </c>
      <c r="B249">
        <v>0.22007884054785501</v>
      </c>
      <c r="C249">
        <v>-3.1461423698839499</v>
      </c>
      <c r="D249">
        <v>5.9431583747271004</v>
      </c>
      <c r="E249" t="s">
        <v>20</v>
      </c>
      <c r="F249">
        <v>-2.9260635293360999</v>
      </c>
      <c r="G249">
        <v>3.6312500000000001</v>
      </c>
      <c r="H249">
        <v>75.13</v>
      </c>
      <c r="I249">
        <v>3.53866666666667</v>
      </c>
      <c r="J249">
        <v>8.8255227268030506E-2</v>
      </c>
      <c r="K249">
        <v>1.6773446646519199</v>
      </c>
      <c r="L249">
        <v>0.16754255383789399</v>
      </c>
      <c r="M249">
        <v>0.27542613540231597</v>
      </c>
      <c r="N249">
        <v>144.92257902592601</v>
      </c>
      <c r="O249">
        <v>14.475676651594</v>
      </c>
      <c r="P249">
        <v>23796.818098760101</v>
      </c>
      <c r="Q249">
        <v>2802.84852242339</v>
      </c>
      <c r="R249">
        <v>6.9004390712451402E-2</v>
      </c>
      <c r="S249">
        <v>193.408854549121</v>
      </c>
    </row>
    <row r="250" spans="1:19" x14ac:dyDescent="0.75">
      <c r="A250" s="1">
        <v>45491</v>
      </c>
      <c r="B250">
        <v>0.17857618870604</v>
      </c>
      <c r="C250">
        <v>-2.3162304093846902</v>
      </c>
      <c r="D250">
        <v>4.84068021547575</v>
      </c>
      <c r="E250" t="s">
        <v>20</v>
      </c>
      <c r="F250">
        <v>-2.13765422067865</v>
      </c>
      <c r="G250">
        <v>3.62666666666667</v>
      </c>
      <c r="H250">
        <v>75.489999999999995</v>
      </c>
      <c r="I250">
        <v>3.5773333333333301</v>
      </c>
      <c r="J250">
        <v>8.0299718932771505E-2</v>
      </c>
      <c r="K250">
        <v>1.30321313015891</v>
      </c>
      <c r="L250">
        <v>0.183575303838278</v>
      </c>
      <c r="M250">
        <v>0.26264710709459999</v>
      </c>
      <c r="N250">
        <v>112.59761444573</v>
      </c>
      <c r="O250">
        <v>15.8609062516273</v>
      </c>
      <c r="P250">
        <v>22692.7100529735</v>
      </c>
      <c r="Q250">
        <v>3281.5423308272002</v>
      </c>
      <c r="R250">
        <v>6.1791508849557503E-2</v>
      </c>
      <c r="S250">
        <v>202.77145197550601</v>
      </c>
    </row>
    <row r="251" spans="1:19" x14ac:dyDescent="0.75">
      <c r="A251" s="1">
        <v>45492</v>
      </c>
      <c r="B251">
        <v>0.220089012991318</v>
      </c>
      <c r="C251">
        <v>-2.6061865681919398</v>
      </c>
      <c r="D251">
        <v>5.8415849319040598</v>
      </c>
      <c r="E251" t="s">
        <v>20</v>
      </c>
      <c r="F251">
        <v>-2.3860975552006201</v>
      </c>
      <c r="G251">
        <v>3.73416666666667</v>
      </c>
      <c r="H251">
        <v>75.959999999999994</v>
      </c>
      <c r="I251">
        <v>3.6853333333333298</v>
      </c>
      <c r="J251">
        <v>7.4176032442974396E-2</v>
      </c>
      <c r="K251">
        <v>1.01452548204224</v>
      </c>
      <c r="L251">
        <v>0.205692767276662</v>
      </c>
      <c r="M251">
        <v>0.25282562674245301</v>
      </c>
      <c r="N251">
        <v>87.655001648449101</v>
      </c>
      <c r="O251">
        <v>17.7718550927036</v>
      </c>
      <c r="P251">
        <v>21844.134150548001</v>
      </c>
      <c r="Q251">
        <v>2617.5933558496599</v>
      </c>
      <c r="R251">
        <v>5.4097633505444997E-2</v>
      </c>
      <c r="S251">
        <v>141.60560603104301</v>
      </c>
    </row>
    <row r="252" spans="1:19" x14ac:dyDescent="0.75">
      <c r="A252" s="1">
        <v>45493</v>
      </c>
      <c r="B252">
        <v>0.20168128408775701</v>
      </c>
      <c r="C252">
        <v>-2.47930339541759</v>
      </c>
      <c r="D252">
        <v>5.7646291590132899</v>
      </c>
      <c r="E252" t="s">
        <v>20</v>
      </c>
      <c r="F252">
        <v>-2.2776221113298298</v>
      </c>
      <c r="G252">
        <v>3.7054166666666699</v>
      </c>
      <c r="H252">
        <v>74.8</v>
      </c>
      <c r="I252">
        <v>3.6573333333333302</v>
      </c>
      <c r="J252">
        <v>7.15604022117136E-2</v>
      </c>
      <c r="K252">
        <v>0.92039920581202495</v>
      </c>
      <c r="L252">
        <v>0.235053051376274</v>
      </c>
      <c r="M252">
        <v>0.24831873959075301</v>
      </c>
      <c r="N252">
        <v>79.522491382159004</v>
      </c>
      <c r="O252">
        <v>20.308583638910001</v>
      </c>
      <c r="P252">
        <v>21454.739100641102</v>
      </c>
      <c r="Q252">
        <v>2605.2529930684</v>
      </c>
      <c r="R252">
        <v>5.1795731054163997E-2</v>
      </c>
      <c r="S252">
        <v>134.94098335702699</v>
      </c>
    </row>
    <row r="253" spans="1:19" x14ac:dyDescent="0.75">
      <c r="A253" s="1">
        <v>45494</v>
      </c>
      <c r="B253">
        <v>0.17983221617072601</v>
      </c>
      <c r="C253">
        <v>-2.2052168593944299</v>
      </c>
      <c r="D253">
        <v>5.4709282122235203</v>
      </c>
      <c r="E253" t="s">
        <v>20</v>
      </c>
      <c r="F253">
        <v>-2.0253846432237101</v>
      </c>
      <c r="G253">
        <v>3.7291666666666701</v>
      </c>
      <c r="H253">
        <v>75.7</v>
      </c>
      <c r="I253">
        <v>3.7373333333333298</v>
      </c>
      <c r="J253">
        <v>6.7195147269082794E-2</v>
      </c>
      <c r="K253">
        <v>0.76571289252318497</v>
      </c>
      <c r="L253">
        <v>0.27243087952736</v>
      </c>
      <c r="M253">
        <v>0.24075850921098199</v>
      </c>
      <c r="N253">
        <v>66.157593914003201</v>
      </c>
      <c r="O253">
        <v>23.538027991163901</v>
      </c>
      <c r="P253">
        <v>20801.535195828899</v>
      </c>
      <c r="Q253">
        <v>2661.53641068564</v>
      </c>
      <c r="R253">
        <v>4.7331078866251403E-2</v>
      </c>
      <c r="S253">
        <v>125.973389759562</v>
      </c>
    </row>
    <row r="254" spans="1:19" x14ac:dyDescent="0.75">
      <c r="A254" s="1">
        <v>45495</v>
      </c>
      <c r="B254">
        <v>0.23936929610167099</v>
      </c>
      <c r="C254">
        <v>-2.25845844670383</v>
      </c>
      <c r="D254">
        <v>5.4125861883329502</v>
      </c>
      <c r="E254" t="s">
        <v>20</v>
      </c>
      <c r="F254">
        <v>-2.01908915060215</v>
      </c>
      <c r="G254">
        <v>3.7745833333333301</v>
      </c>
      <c r="H254">
        <v>75.92</v>
      </c>
      <c r="I254">
        <v>3.78866666666667</v>
      </c>
      <c r="J254">
        <v>6.7738235476471204E-2</v>
      </c>
      <c r="K254">
        <v>0.781204076605306</v>
      </c>
      <c r="L254">
        <v>0.32186905683687</v>
      </c>
      <c r="M254">
        <v>0.24174296919577901</v>
      </c>
      <c r="N254">
        <v>67.496032218698502</v>
      </c>
      <c r="O254">
        <v>27.809486510705501</v>
      </c>
      <c r="P254">
        <v>20886.592538515299</v>
      </c>
      <c r="Q254">
        <v>2701.2253049154301</v>
      </c>
      <c r="R254">
        <v>4.7706413645180502E-2</v>
      </c>
      <c r="S254">
        <v>128.86577174512399</v>
      </c>
    </row>
    <row r="255" spans="1:19" x14ac:dyDescent="0.75">
      <c r="A255" s="1">
        <v>45497</v>
      </c>
      <c r="B255">
        <v>0.14817801131379599</v>
      </c>
      <c r="C255">
        <v>-4.8228197148541403</v>
      </c>
      <c r="D255">
        <v>3.3143038394172701</v>
      </c>
      <c r="E255" t="s">
        <v>20</v>
      </c>
      <c r="F255">
        <v>-4.6746417035403498</v>
      </c>
      <c r="G255">
        <v>3.14041666666667</v>
      </c>
      <c r="H255">
        <v>75.38</v>
      </c>
      <c r="I255">
        <v>3.2046666666666699</v>
      </c>
      <c r="J255">
        <v>0.229132308264616</v>
      </c>
      <c r="K255">
        <v>27.149695739178899</v>
      </c>
      <c r="L255">
        <v>0.48436073462842499</v>
      </c>
      <c r="M255">
        <v>0.44017851431844801</v>
      </c>
      <c r="N255">
        <v>2345.7337118650598</v>
      </c>
      <c r="O255">
        <v>41.848767471895897</v>
      </c>
      <c r="P255">
        <v>38031.423637113898</v>
      </c>
      <c r="Q255">
        <v>8032.4550300314304</v>
      </c>
      <c r="R255">
        <v>0.269184343459836</v>
      </c>
      <c r="S255">
        <v>2162.2111336296698</v>
      </c>
    </row>
    <row r="256" spans="1:19" x14ac:dyDescent="0.75">
      <c r="A256" s="1">
        <v>45498</v>
      </c>
      <c r="B256">
        <v>0.216316796981461</v>
      </c>
      <c r="C256">
        <v>-8.4294609193699497</v>
      </c>
      <c r="D256">
        <v>5.7687941725214804</v>
      </c>
      <c r="E256" t="s">
        <v>20</v>
      </c>
      <c r="F256">
        <v>-8.2131441223884796</v>
      </c>
      <c r="G256">
        <v>3.0858333333333299</v>
      </c>
      <c r="H256">
        <v>75.42</v>
      </c>
      <c r="I256">
        <v>3.1133333333333302</v>
      </c>
      <c r="J256">
        <v>0.22793457859642999</v>
      </c>
      <c r="K256">
        <v>26.2989656366654</v>
      </c>
      <c r="L256">
        <v>0.60956667066603998</v>
      </c>
      <c r="M256">
        <v>0.43937221607396898</v>
      </c>
      <c r="N256">
        <v>2272.2306310078902</v>
      </c>
      <c r="O256">
        <v>52.666560345545797</v>
      </c>
      <c r="P256">
        <v>37961.7594687909</v>
      </c>
      <c r="Q256">
        <v>4606.3754111266499</v>
      </c>
      <c r="R256">
        <v>0.26260068981475199</v>
      </c>
      <c r="S256">
        <v>1209.6373605075701</v>
      </c>
    </row>
    <row r="257" spans="1:19" x14ac:dyDescent="0.75">
      <c r="A257" s="1">
        <v>45499</v>
      </c>
      <c r="B257">
        <v>0.221578076375816</v>
      </c>
      <c r="C257">
        <v>-7.2344375979503202</v>
      </c>
      <c r="D257">
        <v>5.1348751533527901</v>
      </c>
      <c r="E257" t="s">
        <v>20</v>
      </c>
      <c r="F257">
        <v>-7.0128595215744998</v>
      </c>
      <c r="G257">
        <v>3.1262500000000002</v>
      </c>
      <c r="H257">
        <v>75.38</v>
      </c>
      <c r="I257">
        <v>3.09466666666667</v>
      </c>
      <c r="J257">
        <v>0.22214261625493001</v>
      </c>
      <c r="K257">
        <v>24.405786639383699</v>
      </c>
      <c r="L257">
        <v>0.8026068901176</v>
      </c>
      <c r="M257">
        <v>0.43384147330025902</v>
      </c>
      <c r="N257">
        <v>2108.6599656427502</v>
      </c>
      <c r="O257">
        <v>69.345235306160703</v>
      </c>
      <c r="P257">
        <v>37483.903293142401</v>
      </c>
      <c r="Q257">
        <v>5109.9065744699201</v>
      </c>
      <c r="R257">
        <v>0.25323857531815802</v>
      </c>
      <c r="S257">
        <v>1294.0254609276501</v>
      </c>
    </row>
    <row r="258" spans="1:19" x14ac:dyDescent="0.75">
      <c r="A258" s="1">
        <v>45500</v>
      </c>
      <c r="B258">
        <v>0.43652100306259101</v>
      </c>
      <c r="C258">
        <v>-7.9004300361879602</v>
      </c>
      <c r="D258">
        <v>5.7966093957919202</v>
      </c>
      <c r="E258" t="s">
        <v>20</v>
      </c>
      <c r="F258">
        <v>-7.4639090331253701</v>
      </c>
      <c r="G258">
        <v>3.2437499999999999</v>
      </c>
      <c r="H258">
        <v>75.78</v>
      </c>
      <c r="I258">
        <v>3.2186666666666701</v>
      </c>
      <c r="J258">
        <v>0.21183861837420701</v>
      </c>
      <c r="K258">
        <v>21.292356019609802</v>
      </c>
      <c r="L258">
        <v>1.1349401557037799</v>
      </c>
      <c r="M258">
        <v>0.423791093834475</v>
      </c>
      <c r="N258">
        <v>1839.6595600942901</v>
      </c>
      <c r="O258">
        <v>98.058829452806293</v>
      </c>
      <c r="P258">
        <v>36615.5505072987</v>
      </c>
      <c r="Q258">
        <v>4421.70303448701</v>
      </c>
      <c r="R258">
        <v>0.23717382536438</v>
      </c>
      <c r="S258">
        <v>1048.7122233145701</v>
      </c>
    </row>
    <row r="259" spans="1:19" x14ac:dyDescent="0.75">
      <c r="A259" s="1">
        <v>45503</v>
      </c>
      <c r="B259">
        <v>0.474220672100998</v>
      </c>
      <c r="C259">
        <v>-7.4829017893995404</v>
      </c>
      <c r="D259">
        <v>3.48624405779498</v>
      </c>
      <c r="E259" t="s">
        <v>20</v>
      </c>
      <c r="F259">
        <v>-7.0086811172985497</v>
      </c>
      <c r="G259">
        <v>3.11375</v>
      </c>
      <c r="H259">
        <v>76.64</v>
      </c>
      <c r="I259">
        <v>3.1019999999999999</v>
      </c>
      <c r="J259">
        <v>0.32054139259793701</v>
      </c>
      <c r="K259">
        <v>71.039766578892696</v>
      </c>
      <c r="L259">
        <v>2.9277123496285098</v>
      </c>
      <c r="M259">
        <v>0.519547087979499</v>
      </c>
      <c r="N259">
        <v>6137.83583241633</v>
      </c>
      <c r="O259">
        <v>252.95434700790301</v>
      </c>
      <c r="P259">
        <v>44888.868401428699</v>
      </c>
      <c r="Q259">
        <v>9013.1979746920897</v>
      </c>
      <c r="R259">
        <v>0.426572143651886</v>
      </c>
      <c r="S259">
        <v>3844.7791812232499</v>
      </c>
    </row>
    <row r="260" spans="1:19" x14ac:dyDescent="0.75">
      <c r="A260" s="1">
        <v>45505</v>
      </c>
      <c r="B260">
        <v>0.14962747035705701</v>
      </c>
      <c r="C260">
        <v>-6.4928628105155299</v>
      </c>
      <c r="D260">
        <v>4.0149333237171199</v>
      </c>
      <c r="E260" t="s">
        <v>20</v>
      </c>
      <c r="F260">
        <v>-6.3432353401584702</v>
      </c>
      <c r="G260">
        <v>3.0983333333333301</v>
      </c>
      <c r="H260">
        <v>77.14</v>
      </c>
      <c r="I260">
        <v>3.0593333333333299</v>
      </c>
      <c r="J260">
        <v>0.25928397841644202</v>
      </c>
      <c r="K260">
        <v>38.464207576664599</v>
      </c>
      <c r="L260">
        <v>4.7069097391526897</v>
      </c>
      <c r="M260">
        <v>0.46800951002032998</v>
      </c>
      <c r="N260">
        <v>3323.3075346238202</v>
      </c>
      <c r="O260">
        <v>406.67700146279299</v>
      </c>
      <c r="P260">
        <v>40436.021665756503</v>
      </c>
      <c r="Q260">
        <v>7049.9838686795201</v>
      </c>
      <c r="R260">
        <v>0.31697603588242201</v>
      </c>
      <c r="S260">
        <v>2234.6759397290498</v>
      </c>
    </row>
    <row r="261" spans="1:19" x14ac:dyDescent="0.75">
      <c r="A261" s="1">
        <v>45507</v>
      </c>
      <c r="B261">
        <v>0.447017224612412</v>
      </c>
      <c r="C261">
        <v>-10.4766433046806</v>
      </c>
      <c r="D261">
        <v>2.9341666055484801</v>
      </c>
      <c r="E261" t="s">
        <v>20</v>
      </c>
      <c r="F261">
        <v>-10.0296260800682</v>
      </c>
      <c r="G261">
        <v>2.23875</v>
      </c>
      <c r="H261">
        <v>76.319999999999993</v>
      </c>
      <c r="I261">
        <v>2.21133333333333</v>
      </c>
      <c r="J261">
        <v>0.48652382683553302</v>
      </c>
      <c r="K261">
        <v>239.78698894128601</v>
      </c>
      <c r="L261">
        <v>6.8722970774377297</v>
      </c>
      <c r="M261">
        <v>0.63782963355492595</v>
      </c>
      <c r="N261">
        <v>20717.595844527099</v>
      </c>
      <c r="O261">
        <v>593.76646749062002</v>
      </c>
      <c r="P261">
        <v>55108.480339145601</v>
      </c>
      <c r="Q261">
        <v>13147.1526410447</v>
      </c>
      <c r="R261">
        <v>0.77271048877534598</v>
      </c>
      <c r="S261">
        <v>10158.942743265699</v>
      </c>
    </row>
    <row r="262" spans="1:19" x14ac:dyDescent="0.75">
      <c r="A262" s="1">
        <v>45508</v>
      </c>
      <c r="B262">
        <v>0.63878564017478501</v>
      </c>
      <c r="C262">
        <v>-11.3795711796229</v>
      </c>
      <c r="D262">
        <v>3.2572049680901101</v>
      </c>
      <c r="E262" t="s">
        <v>20</v>
      </c>
      <c r="F262">
        <v>-10.740785539448099</v>
      </c>
      <c r="G262">
        <v>2.3729166666666699</v>
      </c>
      <c r="H262">
        <v>77.47</v>
      </c>
      <c r="I262">
        <v>2.3580000000000001</v>
      </c>
      <c r="J262">
        <v>0.47416196499059698</v>
      </c>
      <c r="K262">
        <v>222.795496344508</v>
      </c>
      <c r="L262">
        <v>8.0781580723383595</v>
      </c>
      <c r="M262">
        <v>0.62977233229736296</v>
      </c>
      <c r="N262">
        <v>19249.530884165499</v>
      </c>
      <c r="O262">
        <v>697.952857450034</v>
      </c>
      <c r="P262">
        <v>54412.3295104922</v>
      </c>
      <c r="Q262">
        <v>11693.654845331401</v>
      </c>
      <c r="R262">
        <v>0.74609841383251196</v>
      </c>
      <c r="S262">
        <v>8724.6173320066391</v>
      </c>
    </row>
    <row r="263" spans="1:19" x14ac:dyDescent="0.75">
      <c r="A263" s="1">
        <v>45526</v>
      </c>
      <c r="B263">
        <v>1.9637002982176499</v>
      </c>
      <c r="C263">
        <v>-0.82425753790623102</v>
      </c>
      <c r="D263">
        <v>2.1612540894352201</v>
      </c>
      <c r="E263" t="s">
        <v>20</v>
      </c>
      <c r="F263">
        <v>1.1394427603114201</v>
      </c>
      <c r="G263">
        <v>5.2769565217391303</v>
      </c>
      <c r="H263">
        <v>78.58</v>
      </c>
      <c r="I263">
        <v>4.6192857142857102</v>
      </c>
      <c r="J263">
        <v>0.43796586987113401</v>
      </c>
      <c r="K263">
        <v>175.86249479106499</v>
      </c>
      <c r="L263">
        <v>31.1968222235197</v>
      </c>
      <c r="M263">
        <v>0.605795950994373</v>
      </c>
      <c r="N263">
        <v>15194.519549948</v>
      </c>
      <c r="O263">
        <v>2695.4054401121102</v>
      </c>
      <c r="P263">
        <v>52340.770165913898</v>
      </c>
      <c r="Q263">
        <v>16952.444090326298</v>
      </c>
      <c r="R263">
        <v>0.66283677514374095</v>
      </c>
      <c r="S263">
        <v>11236.7033716365</v>
      </c>
    </row>
    <row r="264" spans="1:19" x14ac:dyDescent="0.75">
      <c r="A264" s="1">
        <v>45527</v>
      </c>
      <c r="B264">
        <v>7.4173033057725199E-2</v>
      </c>
      <c r="C264">
        <v>-5.4864933572820203</v>
      </c>
      <c r="D264">
        <v>1.1847087874370801</v>
      </c>
      <c r="E264" t="s">
        <v>20</v>
      </c>
      <c r="F264">
        <v>-5.4123203242243001</v>
      </c>
      <c r="G264">
        <v>5.2520833333333297</v>
      </c>
      <c r="H264">
        <v>77.22</v>
      </c>
      <c r="I264">
        <v>4.9053333333333304</v>
      </c>
      <c r="J264">
        <v>0.413128786397433</v>
      </c>
      <c r="K264">
        <v>148.76601728518099</v>
      </c>
      <c r="L264">
        <v>33.240777466014698</v>
      </c>
      <c r="M264">
        <v>0.58858008345110802</v>
      </c>
      <c r="N264">
        <v>12853.383893439701</v>
      </c>
      <c r="O264">
        <v>2872.0031730636701</v>
      </c>
      <c r="P264">
        <v>50853.319210175803</v>
      </c>
      <c r="Q264">
        <v>30047.319497082299</v>
      </c>
      <c r="R264">
        <v>0.61180457029096103</v>
      </c>
      <c r="S264">
        <v>18383.087393307698</v>
      </c>
    </row>
    <row r="265" spans="1:19" x14ac:dyDescent="0.75">
      <c r="A265" s="1">
        <v>45528</v>
      </c>
      <c r="B265">
        <v>0.36816859897644499</v>
      </c>
      <c r="C265">
        <v>-10.793782836018901</v>
      </c>
      <c r="D265">
        <v>3.0333174972401702</v>
      </c>
      <c r="E265" t="s">
        <v>20</v>
      </c>
      <c r="F265">
        <v>-10.425614237042501</v>
      </c>
      <c r="G265">
        <v>0.83833333333333304</v>
      </c>
      <c r="H265">
        <v>76.86</v>
      </c>
      <c r="I265">
        <v>0.84066666666666701</v>
      </c>
      <c r="J265">
        <v>0.38942846219025701</v>
      </c>
      <c r="K265">
        <v>124.99059707729501</v>
      </c>
      <c r="L265">
        <v>35.283500544966998</v>
      </c>
      <c r="M265">
        <v>0.57178367064083402</v>
      </c>
      <c r="N265">
        <v>10799.1875874783</v>
      </c>
      <c r="O265">
        <v>3048.4944470851501</v>
      </c>
      <c r="P265">
        <v>49402.109143367998</v>
      </c>
      <c r="Q265">
        <v>11400.546244110999</v>
      </c>
      <c r="R265">
        <v>0.56132954915391098</v>
      </c>
      <c r="S265">
        <v>6399.4634833151504</v>
      </c>
    </row>
    <row r="266" spans="1:19" x14ac:dyDescent="0.75">
      <c r="A266" s="1">
        <v>45529</v>
      </c>
      <c r="B266">
        <v>0.38662774095517199</v>
      </c>
      <c r="C266">
        <v>-10.724709917817099</v>
      </c>
      <c r="D266">
        <v>3.1122583388128402</v>
      </c>
      <c r="E266" t="s">
        <v>20</v>
      </c>
      <c r="F266">
        <v>-10.338082176861899</v>
      </c>
      <c r="G266">
        <v>0.73583333333333301</v>
      </c>
      <c r="H266">
        <v>77.400000000000006</v>
      </c>
      <c r="I266">
        <v>0.74266666666666703</v>
      </c>
      <c r="J266">
        <v>0.369504464008928</v>
      </c>
      <c r="K266">
        <v>107.202510946111</v>
      </c>
      <c r="L266">
        <v>37.2527915556024</v>
      </c>
      <c r="M266">
        <v>0.55722221117960502</v>
      </c>
      <c r="N266">
        <v>9262.2969457439995</v>
      </c>
      <c r="O266">
        <v>3218.6411904040501</v>
      </c>
      <c r="P266">
        <v>48143.999045917801</v>
      </c>
      <c r="Q266">
        <v>10828.4067912555</v>
      </c>
      <c r="R266">
        <v>0.52066315885713199</v>
      </c>
      <c r="S266">
        <v>5637.9524853251096</v>
      </c>
    </row>
    <row r="267" spans="1:19" x14ac:dyDescent="0.75">
      <c r="A267" s="1">
        <v>45530</v>
      </c>
      <c r="B267">
        <v>0.77637443883714696</v>
      </c>
      <c r="C267">
        <v>-9.6300372044411695</v>
      </c>
      <c r="D267">
        <v>2.6024188086793298</v>
      </c>
      <c r="E267" t="s">
        <v>20</v>
      </c>
      <c r="F267">
        <v>-8.8536627656040192</v>
      </c>
      <c r="G267">
        <v>0.93083333333333296</v>
      </c>
      <c r="H267">
        <v>77.650000000000006</v>
      </c>
      <c r="I267">
        <v>1.10933333333333</v>
      </c>
      <c r="J267">
        <v>0.38197200788341001</v>
      </c>
      <c r="K267">
        <v>121.69299034887899</v>
      </c>
      <c r="L267">
        <v>39.1495271388942</v>
      </c>
      <c r="M267">
        <v>0.56567168891156705</v>
      </c>
      <c r="N267">
        <v>10514.2743661432</v>
      </c>
      <c r="O267">
        <v>3382.5191448004598</v>
      </c>
      <c r="P267">
        <v>48874.033921959403</v>
      </c>
      <c r="Q267">
        <v>13146.1637270956</v>
      </c>
      <c r="R267">
        <v>0.563208994688561</v>
      </c>
      <c r="S267">
        <v>7404.0376567487401</v>
      </c>
    </row>
    <row r="268" spans="1:19" x14ac:dyDescent="0.75">
      <c r="A268" s="1">
        <v>45531</v>
      </c>
      <c r="B268">
        <v>1.0152265550187101</v>
      </c>
      <c r="C268">
        <v>-13.201812761592301</v>
      </c>
      <c r="D268">
        <v>2.81041897172376</v>
      </c>
      <c r="E268" t="s">
        <v>20</v>
      </c>
      <c r="F268">
        <v>-12.186586206573599</v>
      </c>
      <c r="G268">
        <v>1.1287499999999999</v>
      </c>
      <c r="H268">
        <v>77.83</v>
      </c>
      <c r="I268">
        <v>1.12733333333333</v>
      </c>
      <c r="J268">
        <v>0.49439713803669999</v>
      </c>
      <c r="K268">
        <v>251.54557432929099</v>
      </c>
      <c r="L268">
        <v>40.980408042796803</v>
      </c>
      <c r="M268">
        <v>0.64285288887986203</v>
      </c>
      <c r="N268">
        <v>21733.537622050801</v>
      </c>
      <c r="O268">
        <v>3540.7072548976498</v>
      </c>
      <c r="P268">
        <v>55542.489599220004</v>
      </c>
      <c r="Q268">
        <v>13834.1446989334</v>
      </c>
      <c r="R268">
        <v>0.79146029545700702</v>
      </c>
      <c r="S268">
        <v>10949.176250812799</v>
      </c>
    </row>
    <row r="269" spans="1:19" x14ac:dyDescent="0.75">
      <c r="A269" s="1">
        <v>45532</v>
      </c>
      <c r="B269">
        <v>0.40240878735464503</v>
      </c>
      <c r="C269">
        <v>-13.1663552315673</v>
      </c>
      <c r="D269">
        <v>2.8030619567794002</v>
      </c>
      <c r="E269" t="s">
        <v>20</v>
      </c>
      <c r="F269">
        <v>-12.7639464442126</v>
      </c>
      <c r="G269">
        <v>0.91083333333333305</v>
      </c>
      <c r="H269">
        <v>78.22</v>
      </c>
      <c r="I269">
        <v>0.91</v>
      </c>
      <c r="J269">
        <v>0.51731252477656497</v>
      </c>
      <c r="K269">
        <v>285.39890261457401</v>
      </c>
      <c r="L269">
        <v>42.753415189263201</v>
      </c>
      <c r="M269">
        <v>0.65750044193163804</v>
      </c>
      <c r="N269">
        <v>24658.4651858992</v>
      </c>
      <c r="O269">
        <v>3693.8950723523399</v>
      </c>
      <c r="P269">
        <v>56808.038182893499</v>
      </c>
      <c r="Q269">
        <v>14186.4958182068</v>
      </c>
      <c r="R269">
        <v>0.83907978155310003</v>
      </c>
      <c r="S269">
        <v>11903.6018121449</v>
      </c>
    </row>
    <row r="270" spans="1:19" x14ac:dyDescent="0.75">
      <c r="A270" s="1">
        <v>45533</v>
      </c>
      <c r="B270">
        <v>0.38666474177444898</v>
      </c>
      <c r="C270">
        <v>-12.727659475003</v>
      </c>
      <c r="D270">
        <v>2.7812399111757502</v>
      </c>
      <c r="E270" t="s">
        <v>20</v>
      </c>
      <c r="F270">
        <v>-12.3409947332285</v>
      </c>
      <c r="G270">
        <v>0.81125000000000003</v>
      </c>
      <c r="H270">
        <v>78.33</v>
      </c>
      <c r="I270">
        <v>0.82799999999999996</v>
      </c>
      <c r="J270">
        <v>0.50149838329979701</v>
      </c>
      <c r="K270">
        <v>260.69107623980801</v>
      </c>
      <c r="L270">
        <v>44.477102434791099</v>
      </c>
      <c r="M270">
        <v>0.64754352464407505</v>
      </c>
      <c r="N270">
        <v>22523.7089871194</v>
      </c>
      <c r="O270">
        <v>3842.8216503659601</v>
      </c>
      <c r="P270">
        <v>55947.760529248102</v>
      </c>
      <c r="Q270">
        <v>14081.285189783401</v>
      </c>
      <c r="R270">
        <v>0.80276358332057796</v>
      </c>
      <c r="S270">
        <v>11303.942956709499</v>
      </c>
    </row>
    <row r="271" spans="1:19" x14ac:dyDescent="0.75">
      <c r="A271" s="1">
        <v>45534</v>
      </c>
      <c r="B271">
        <v>0.381125280610838</v>
      </c>
      <c r="C271">
        <v>-12.7209626627915</v>
      </c>
      <c r="D271">
        <v>2.83264663308967</v>
      </c>
      <c r="E271" t="s">
        <v>20</v>
      </c>
      <c r="F271">
        <v>-12.339837382180599</v>
      </c>
      <c r="G271">
        <v>0.76416666666666699</v>
      </c>
      <c r="H271">
        <v>78.58</v>
      </c>
      <c r="I271">
        <v>0.77066666666666706</v>
      </c>
      <c r="J271">
        <v>0.487040494535534</v>
      </c>
      <c r="K271">
        <v>239.46868366324799</v>
      </c>
      <c r="L271">
        <v>46.1600896239162</v>
      </c>
      <c r="M271">
        <v>0.638288211588524</v>
      </c>
      <c r="N271">
        <v>20690.094268504599</v>
      </c>
      <c r="O271">
        <v>3988.2317435063601</v>
      </c>
      <c r="P271">
        <v>55148.101481248501</v>
      </c>
      <c r="Q271">
        <v>13628.128050256501</v>
      </c>
      <c r="R271">
        <v>0.77031229831914705</v>
      </c>
      <c r="S271">
        <v>10497.914640180699</v>
      </c>
    </row>
    <row r="272" spans="1:19" x14ac:dyDescent="0.75">
      <c r="A272" s="1">
        <v>45535</v>
      </c>
      <c r="B272">
        <v>0.401753994031394</v>
      </c>
      <c r="C272">
        <v>-12.3124761108851</v>
      </c>
      <c r="D272">
        <v>2.8525780855740002</v>
      </c>
      <c r="E272" t="s">
        <v>20</v>
      </c>
      <c r="F272">
        <v>-11.9107221168537</v>
      </c>
      <c r="G272">
        <v>0.71583333333333299</v>
      </c>
      <c r="H272">
        <v>78.510000000000005</v>
      </c>
      <c r="I272">
        <v>0.71933333333333305</v>
      </c>
      <c r="J272">
        <v>0.46651469590818001</v>
      </c>
      <c r="K272">
        <v>211.312561843846</v>
      </c>
      <c r="L272">
        <v>47.812049140209503</v>
      </c>
      <c r="M272">
        <v>0.62490823277767005</v>
      </c>
      <c r="N272">
        <v>18257.405343308299</v>
      </c>
      <c r="O272">
        <v>4130.9610457140998</v>
      </c>
      <c r="P272">
        <v>53992.071311990701</v>
      </c>
      <c r="Q272">
        <v>13249.2253619723</v>
      </c>
      <c r="R272">
        <v>0.72484265043983198</v>
      </c>
      <c r="S272">
        <v>9603.6036276466493</v>
      </c>
    </row>
    <row r="273" spans="1:19" x14ac:dyDescent="0.75">
      <c r="A273" s="1">
        <v>45536</v>
      </c>
      <c r="B273">
        <v>0.41347784059207998</v>
      </c>
      <c r="C273">
        <v>-12.0155511271532</v>
      </c>
      <c r="D273">
        <v>2.8951844045681798</v>
      </c>
      <c r="E273" t="s">
        <v>20</v>
      </c>
      <c r="F273">
        <v>-11.602073286561099</v>
      </c>
      <c r="G273">
        <v>0.72958333333333303</v>
      </c>
      <c r="H273">
        <v>78.510000000000005</v>
      </c>
      <c r="I273">
        <v>0.72733333333333305</v>
      </c>
      <c r="J273">
        <v>0.44801740512572003</v>
      </c>
      <c r="K273">
        <v>187.81624208421999</v>
      </c>
      <c r="L273">
        <v>49.4483435411843</v>
      </c>
      <c r="M273">
        <v>0.61260135733322096</v>
      </c>
      <c r="N273">
        <v>16227.323316076599</v>
      </c>
      <c r="O273">
        <v>4272.3368819583202</v>
      </c>
      <c r="P273">
        <v>52928.757273590301</v>
      </c>
      <c r="Q273">
        <v>12797.1572494841</v>
      </c>
      <c r="R273">
        <v>0.68432169035153501</v>
      </c>
      <c r="S273">
        <v>8757.3722806613896</v>
      </c>
    </row>
    <row r="274" spans="1:19" x14ac:dyDescent="0.75">
      <c r="A274" s="1">
        <v>45537</v>
      </c>
      <c r="B274">
        <v>0.36656761273308502</v>
      </c>
      <c r="C274">
        <v>-11.7019683607971</v>
      </c>
      <c r="D274">
        <v>2.9227902216672699</v>
      </c>
      <c r="E274" t="s">
        <v>20</v>
      </c>
      <c r="F274">
        <v>-11.335400748064</v>
      </c>
      <c r="G274">
        <v>0.65375000000000005</v>
      </c>
      <c r="H274">
        <v>78.69</v>
      </c>
      <c r="I274">
        <v>0.65666666666666695</v>
      </c>
      <c r="J274">
        <v>0.43045363893758098</v>
      </c>
      <c r="K274">
        <v>167.16895852231701</v>
      </c>
      <c r="L274">
        <v>51.077631195653602</v>
      </c>
      <c r="M274">
        <v>0.600672514490322</v>
      </c>
      <c r="N274">
        <v>14443.398016328099</v>
      </c>
      <c r="O274">
        <v>4413.1073353044703</v>
      </c>
      <c r="P274">
        <v>51898.105251963803</v>
      </c>
      <c r="Q274">
        <v>12429.449574267201</v>
      </c>
      <c r="R274">
        <v>0.64653418557470399</v>
      </c>
      <c r="S274">
        <v>8036.0640576407004</v>
      </c>
    </row>
    <row r="275" spans="1:19" x14ac:dyDescent="0.75">
      <c r="A275" s="1">
        <v>45538</v>
      </c>
      <c r="B275">
        <v>0.42248955462450999</v>
      </c>
      <c r="C275">
        <v>-11.563810150705301</v>
      </c>
      <c r="D275">
        <v>2.9911440637766802</v>
      </c>
      <c r="E275" t="s">
        <v>20</v>
      </c>
      <c r="F275">
        <v>-11.1413205960807</v>
      </c>
      <c r="G275">
        <v>0.69874999999999998</v>
      </c>
      <c r="H275">
        <v>78.73</v>
      </c>
      <c r="I275">
        <v>0.69333333333333302</v>
      </c>
      <c r="J275">
        <v>0.41228220107955399</v>
      </c>
      <c r="K275">
        <v>147.43602342823499</v>
      </c>
      <c r="L275">
        <v>52.701341133857397</v>
      </c>
      <c r="M275">
        <v>0.588067973575647</v>
      </c>
      <c r="N275">
        <v>12738.472424199501</v>
      </c>
      <c r="O275">
        <v>4553.3958739652799</v>
      </c>
      <c r="P275">
        <v>50809.072916935897</v>
      </c>
      <c r="Q275">
        <v>11890.551001060199</v>
      </c>
      <c r="R275">
        <v>0.60810908907577399</v>
      </c>
      <c r="S275">
        <v>7230.7521378637703</v>
      </c>
    </row>
    <row r="276" spans="1:19" x14ac:dyDescent="0.75">
      <c r="A276" s="1">
        <v>45539</v>
      </c>
      <c r="B276">
        <v>0.33920022881962097</v>
      </c>
      <c r="C276">
        <v>-11.3180113734842</v>
      </c>
      <c r="D276">
        <v>3.10249757991365</v>
      </c>
      <c r="E276" t="s">
        <v>20</v>
      </c>
      <c r="F276">
        <v>-10.978811144664601</v>
      </c>
      <c r="G276">
        <v>0.70874999999999999</v>
      </c>
      <c r="H276">
        <v>78.12</v>
      </c>
      <c r="I276">
        <v>0.72266666666666701</v>
      </c>
      <c r="J276">
        <v>0.40269449251019701</v>
      </c>
      <c r="K276">
        <v>137.845752580767</v>
      </c>
      <c r="L276">
        <v>54.321974861425701</v>
      </c>
      <c r="M276">
        <v>0.58127258948706095</v>
      </c>
      <c r="N276">
        <v>11909.8730229782</v>
      </c>
      <c r="O276">
        <v>4693.4186280271797</v>
      </c>
      <c r="P276">
        <v>50221.951731681998</v>
      </c>
      <c r="Q276">
        <v>11331.311405295601</v>
      </c>
      <c r="R276">
        <v>0.58889498376070804</v>
      </c>
      <c r="S276">
        <v>6672.9524460090697</v>
      </c>
    </row>
    <row r="277" spans="1:19" x14ac:dyDescent="0.75">
      <c r="A277" s="1">
        <v>45540</v>
      </c>
      <c r="B277">
        <v>0.38608270774896802</v>
      </c>
      <c r="C277">
        <v>-11.123965565110399</v>
      </c>
      <c r="D277">
        <v>2.9377614769217701</v>
      </c>
      <c r="E277" t="s">
        <v>20</v>
      </c>
      <c r="F277">
        <v>-10.7378828573615</v>
      </c>
      <c r="G277">
        <v>1.105</v>
      </c>
      <c r="H277">
        <v>77.430000000000007</v>
      </c>
      <c r="I277">
        <v>1.1379999999999999</v>
      </c>
      <c r="J277">
        <v>0.42523999214665098</v>
      </c>
      <c r="K277">
        <v>161.51371580667299</v>
      </c>
      <c r="L277">
        <v>55.9381825572232</v>
      </c>
      <c r="M277">
        <v>0.59705541348426105</v>
      </c>
      <c r="N277">
        <v>13954.785045696501</v>
      </c>
      <c r="O277">
        <v>4833.0589729440799</v>
      </c>
      <c r="P277">
        <v>51585.587725040197</v>
      </c>
      <c r="Q277">
        <v>12291.6416772422</v>
      </c>
      <c r="R277">
        <v>0.63615166295141001</v>
      </c>
      <c r="S277">
        <v>7819.3482933804798</v>
      </c>
    </row>
    <row r="278" spans="1:19" x14ac:dyDescent="0.75">
      <c r="A278" s="1">
        <v>45541</v>
      </c>
      <c r="B278">
        <v>0.40346021347646399</v>
      </c>
      <c r="C278">
        <v>-10.735023864769699</v>
      </c>
      <c r="D278">
        <v>2.9592285919815802</v>
      </c>
      <c r="E278" t="s">
        <v>20</v>
      </c>
      <c r="F278">
        <v>-10.3315636512932</v>
      </c>
      <c r="G278">
        <v>1.0362499999999999</v>
      </c>
      <c r="H278">
        <v>78.08</v>
      </c>
      <c r="I278">
        <v>1.0973333333333299</v>
      </c>
      <c r="J278">
        <v>0.40624364733578</v>
      </c>
      <c r="K278">
        <v>141.48532587626201</v>
      </c>
      <c r="L278">
        <v>57.550157409931501</v>
      </c>
      <c r="M278">
        <v>0.58377113307878503</v>
      </c>
      <c r="N278">
        <v>12224.3321557091</v>
      </c>
      <c r="O278">
        <v>4972.3336002180804</v>
      </c>
      <c r="P278">
        <v>50437.825898007002</v>
      </c>
      <c r="Q278">
        <v>11930.9735734078</v>
      </c>
      <c r="R278">
        <v>0.596598560248503</v>
      </c>
      <c r="S278">
        <v>7118.0016562580104</v>
      </c>
    </row>
    <row r="279" spans="1:19" x14ac:dyDescent="0.75">
      <c r="A279" s="1">
        <v>45542</v>
      </c>
      <c r="B279">
        <v>0.38222079460432601</v>
      </c>
      <c r="C279">
        <v>-11.2637255728315</v>
      </c>
      <c r="D279">
        <v>2.9836340800803902</v>
      </c>
      <c r="E279" t="s">
        <v>20</v>
      </c>
      <c r="F279">
        <v>-10.8815047782272</v>
      </c>
      <c r="G279">
        <v>1.1770833333333299</v>
      </c>
      <c r="H279">
        <v>77.680000000000007</v>
      </c>
      <c r="I279">
        <v>1.2206666666666699</v>
      </c>
      <c r="J279">
        <v>0.43137542108417498</v>
      </c>
      <c r="K279">
        <v>168.26216275935701</v>
      </c>
      <c r="L279">
        <v>59.159437680220698</v>
      </c>
      <c r="M279">
        <v>0.60129716090260898</v>
      </c>
      <c r="N279">
        <v>14537.850862408501</v>
      </c>
      <c r="O279">
        <v>5111.3754155710703</v>
      </c>
      <c r="P279">
        <v>51952.074701985402</v>
      </c>
      <c r="Q279">
        <v>12188.643551896301</v>
      </c>
      <c r="R279">
        <v>0.64869704158638597</v>
      </c>
      <c r="S279">
        <v>7906.7370130660902</v>
      </c>
    </row>
    <row r="280" spans="1:19" x14ac:dyDescent="0.75">
      <c r="A280" s="1">
        <v>45543</v>
      </c>
      <c r="B280">
        <v>0.39583976266878201</v>
      </c>
      <c r="C280">
        <v>-11.530020010787901</v>
      </c>
      <c r="D280">
        <v>2.9838649177427601</v>
      </c>
      <c r="E280" t="s">
        <v>20</v>
      </c>
      <c r="F280">
        <v>-11.134180248119099</v>
      </c>
      <c r="G280">
        <v>1.20875</v>
      </c>
      <c r="H280">
        <v>77.47</v>
      </c>
      <c r="I280">
        <v>1.24</v>
      </c>
      <c r="J280">
        <v>0.44373728292911102</v>
      </c>
      <c r="K280">
        <v>182.56286668802099</v>
      </c>
      <c r="L280">
        <v>60.764427711082902</v>
      </c>
      <c r="M280">
        <v>0.60972806151984604</v>
      </c>
      <c r="N280">
        <v>15773.431681845101</v>
      </c>
      <c r="O280">
        <v>5250.0465542375596</v>
      </c>
      <c r="P280">
        <v>52680.5045153147</v>
      </c>
      <c r="Q280">
        <v>12358.586657675</v>
      </c>
      <c r="R280">
        <v>0.67476157584114504</v>
      </c>
      <c r="S280">
        <v>8339.0994083021396</v>
      </c>
    </row>
    <row r="281" spans="1:19" x14ac:dyDescent="0.75">
      <c r="A281" s="1">
        <v>45544</v>
      </c>
      <c r="B281">
        <v>0.43463326284567499</v>
      </c>
      <c r="C281">
        <v>-11.7359861705835</v>
      </c>
      <c r="D281">
        <v>2.979062567353</v>
      </c>
      <c r="E281" t="s">
        <v>20</v>
      </c>
      <c r="F281">
        <v>-11.301352907737799</v>
      </c>
      <c r="G281">
        <v>1.1950000000000001</v>
      </c>
      <c r="H281">
        <v>77.319999999999993</v>
      </c>
      <c r="I281">
        <v>1.2206666666666699</v>
      </c>
      <c r="J281">
        <v>0.44586853719162001</v>
      </c>
      <c r="K281">
        <v>185.10132367946099</v>
      </c>
      <c r="L281">
        <v>62.361805680258101</v>
      </c>
      <c r="M281">
        <v>0.61117016149516001</v>
      </c>
      <c r="N281">
        <v>15992.754365905501</v>
      </c>
      <c r="O281">
        <v>5388.0600107743003</v>
      </c>
      <c r="P281">
        <v>52805.101953181897</v>
      </c>
      <c r="Q281">
        <v>12407.7861849242</v>
      </c>
      <c r="R281">
        <v>0.67926705913178598</v>
      </c>
      <c r="S281">
        <v>8428.2004321694603</v>
      </c>
    </row>
    <row r="282" spans="1:19" x14ac:dyDescent="0.75">
      <c r="A282" s="1">
        <v>45545</v>
      </c>
      <c r="B282">
        <v>0.39636472227786201</v>
      </c>
      <c r="C282">
        <v>-11.819336015645201</v>
      </c>
      <c r="D282">
        <v>2.96573841413761</v>
      </c>
      <c r="E282" t="s">
        <v>20</v>
      </c>
      <c r="F282">
        <v>-11.422971293367301</v>
      </c>
      <c r="G282">
        <v>1.0066666666666699</v>
      </c>
      <c r="H282">
        <v>76.930000000000007</v>
      </c>
      <c r="I282">
        <v>1.02</v>
      </c>
      <c r="J282">
        <v>0.43962449061261799</v>
      </c>
      <c r="K282">
        <v>177.70078420093699</v>
      </c>
      <c r="L282">
        <v>63.9446025118826</v>
      </c>
      <c r="M282">
        <v>0.60693938190999097</v>
      </c>
      <c r="N282">
        <v>15353.347754961</v>
      </c>
      <c r="O282">
        <v>5524.8136570266597</v>
      </c>
      <c r="P282">
        <v>52439.562597023199</v>
      </c>
      <c r="Q282">
        <v>12377.252708105099</v>
      </c>
      <c r="R282">
        <v>0.665981473811602</v>
      </c>
      <c r="S282">
        <v>8243.0210002825097</v>
      </c>
    </row>
    <row r="283" spans="1:19" x14ac:dyDescent="0.75">
      <c r="A283" s="1">
        <v>45546</v>
      </c>
      <c r="B283">
        <v>1.40783827599873</v>
      </c>
      <c r="C283">
        <v>-12.516433936745299</v>
      </c>
      <c r="D283">
        <v>2.8608468753406799</v>
      </c>
      <c r="E283" t="s">
        <v>20</v>
      </c>
      <c r="F283">
        <v>-11.1085956607466</v>
      </c>
      <c r="G283">
        <v>1.175</v>
      </c>
      <c r="H283">
        <v>76.64</v>
      </c>
      <c r="I283">
        <v>1.1566666666666701</v>
      </c>
      <c r="J283">
        <v>0.45885861998996702</v>
      </c>
      <c r="K283">
        <v>204.48782355919201</v>
      </c>
      <c r="L283">
        <v>65.504835554923304</v>
      </c>
      <c r="M283">
        <v>0.61942561792247497</v>
      </c>
      <c r="N283">
        <v>17667.747955514202</v>
      </c>
      <c r="O283">
        <v>5659.6177919453803</v>
      </c>
      <c r="P283">
        <v>53518.373388501801</v>
      </c>
      <c r="Q283">
        <v>13095.025006359399</v>
      </c>
      <c r="R283">
        <v>0.71944797609362598</v>
      </c>
      <c r="S283">
        <v>9421.1892377206805</v>
      </c>
    </row>
    <row r="284" spans="1:19" x14ac:dyDescent="0.75">
      <c r="A284" s="1">
        <v>45547</v>
      </c>
      <c r="B284">
        <v>1.3710960572581601</v>
      </c>
      <c r="C284">
        <v>-10.482574517850599</v>
      </c>
      <c r="D284">
        <v>2.0020434365819</v>
      </c>
      <c r="E284" t="s">
        <v>20</v>
      </c>
      <c r="F284">
        <v>-9.1114784605924601</v>
      </c>
      <c r="G284">
        <v>1.5345833333333301</v>
      </c>
      <c r="H284">
        <v>76.349999999999994</v>
      </c>
      <c r="I284">
        <v>1.704</v>
      </c>
      <c r="J284">
        <v>0.53636464621414104</v>
      </c>
      <c r="K284">
        <v>324.71691784343398</v>
      </c>
      <c r="L284">
        <v>67.035476130242699</v>
      </c>
      <c r="M284">
        <v>0.66862106688356804</v>
      </c>
      <c r="N284">
        <v>28055.541701672701</v>
      </c>
      <c r="O284">
        <v>5791.8651376529697</v>
      </c>
      <c r="P284">
        <v>57768.860178740302</v>
      </c>
      <c r="Q284">
        <v>20198.463922520299</v>
      </c>
      <c r="R284">
        <v>0.90545050589457998</v>
      </c>
      <c r="S284">
        <v>18288.709376939401</v>
      </c>
    </row>
    <row r="285" spans="1:19" x14ac:dyDescent="0.75">
      <c r="A285" s="1">
        <v>45548</v>
      </c>
      <c r="B285">
        <v>0.51983692513379098</v>
      </c>
      <c r="C285">
        <v>-14.7676617449379</v>
      </c>
      <c r="D285">
        <v>2.4774505311187198</v>
      </c>
      <c r="E285" t="s">
        <v>20</v>
      </c>
      <c r="F285">
        <v>-14.2478248198041</v>
      </c>
      <c r="G285">
        <v>1.0720833333333299</v>
      </c>
      <c r="H285">
        <v>75.52</v>
      </c>
      <c r="I285">
        <v>1.0733333333333299</v>
      </c>
      <c r="J285">
        <v>0.64511168043315104</v>
      </c>
      <c r="K285">
        <v>542.85999668934699</v>
      </c>
      <c r="L285">
        <v>68.530839686054804</v>
      </c>
      <c r="M285">
        <v>0.73289296216095201</v>
      </c>
      <c r="N285">
        <v>46903.103713959499</v>
      </c>
      <c r="O285">
        <v>5921.0645488751297</v>
      </c>
      <c r="P285">
        <v>63321.951930706302</v>
      </c>
      <c r="Q285">
        <v>17891.524288672201</v>
      </c>
      <c r="R285">
        <v>1.14818635947826</v>
      </c>
      <c r="S285">
        <v>20542.804138527299</v>
      </c>
    </row>
    <row r="286" spans="1:19" x14ac:dyDescent="0.75">
      <c r="A286" s="1">
        <v>45549</v>
      </c>
      <c r="B286">
        <v>0.52252508465901903</v>
      </c>
      <c r="C286">
        <v>-15.4402370900689</v>
      </c>
      <c r="D286">
        <v>2.4236771903351602</v>
      </c>
      <c r="E286" t="s">
        <v>20</v>
      </c>
      <c r="F286">
        <v>-14.9177120054099</v>
      </c>
      <c r="G286">
        <v>0.78749999999999998</v>
      </c>
      <c r="H286">
        <v>75.849999999999994</v>
      </c>
      <c r="I286">
        <v>0.79666666666666697</v>
      </c>
      <c r="J286">
        <v>0.682481794509043</v>
      </c>
      <c r="K286">
        <v>638.96058174643395</v>
      </c>
      <c r="L286">
        <v>69.986748047530696</v>
      </c>
      <c r="M286">
        <v>0.75350297530619204</v>
      </c>
      <c r="N286">
        <v>55206.194262891899</v>
      </c>
      <c r="O286">
        <v>6046.8550313066498</v>
      </c>
      <c r="P286">
        <v>65102.657066455002</v>
      </c>
      <c r="Q286">
        <v>18802.7762642007</v>
      </c>
      <c r="R286">
        <v>1.24250465486418</v>
      </c>
      <c r="S286">
        <v>23362.537032639</v>
      </c>
    </row>
    <row r="287" spans="1:19" x14ac:dyDescent="0.75">
      <c r="A287" s="1">
        <v>45550</v>
      </c>
      <c r="B287">
        <v>0.36924817974783902</v>
      </c>
      <c r="C287">
        <v>-15.1356965410846</v>
      </c>
      <c r="D287">
        <v>2.4031340325742501</v>
      </c>
      <c r="E287" t="s">
        <v>20</v>
      </c>
      <c r="F287">
        <v>-14.766448361336799</v>
      </c>
      <c r="G287">
        <v>0.68416666666666703</v>
      </c>
      <c r="H287">
        <v>76.349999999999994</v>
      </c>
      <c r="I287">
        <v>0.704666666666667</v>
      </c>
      <c r="J287">
        <v>0.68177137642153995</v>
      </c>
      <c r="K287">
        <v>637.09571226608796</v>
      </c>
      <c r="L287">
        <v>71.400032322509404</v>
      </c>
      <c r="M287">
        <v>0.75311349910331105</v>
      </c>
      <c r="N287">
        <v>55045.069539789998</v>
      </c>
      <c r="O287">
        <v>6168.96279266481</v>
      </c>
      <c r="P287">
        <v>65069.006322526096</v>
      </c>
      <c r="Q287">
        <v>18953.7095344519</v>
      </c>
      <c r="R287">
        <v>1.2408105753896701</v>
      </c>
      <c r="S287">
        <v>23517.9632332119</v>
      </c>
    </row>
    <row r="288" spans="1:19" x14ac:dyDescent="0.75">
      <c r="A288" s="1">
        <v>45551</v>
      </c>
      <c r="B288">
        <v>0.40719739125277499</v>
      </c>
      <c r="C288">
        <v>-15.271157049028499</v>
      </c>
      <c r="D288">
        <v>2.4707346223397302</v>
      </c>
      <c r="E288" t="s">
        <v>20</v>
      </c>
      <c r="F288">
        <v>-14.8639596577757</v>
      </c>
      <c r="G288">
        <v>0.58583333333333298</v>
      </c>
      <c r="H288">
        <v>76.14</v>
      </c>
      <c r="I288">
        <v>0.58799999999999997</v>
      </c>
      <c r="J288">
        <v>0.65597908998848198</v>
      </c>
      <c r="K288">
        <v>569.69348357246599</v>
      </c>
      <c r="L288">
        <v>72.768209115081603</v>
      </c>
      <c r="M288">
        <v>0.73895093394037203</v>
      </c>
      <c r="N288">
        <v>49221.516980660999</v>
      </c>
      <c r="O288">
        <v>6287.1732675430503</v>
      </c>
      <c r="P288">
        <v>63845.360692448099</v>
      </c>
      <c r="Q288">
        <v>18088.447088012901</v>
      </c>
      <c r="R288">
        <v>1.1752645957302299</v>
      </c>
      <c r="S288">
        <v>21258.711454281201</v>
      </c>
    </row>
    <row r="289" spans="1:19" x14ac:dyDescent="0.75">
      <c r="A289" s="1">
        <v>45552</v>
      </c>
      <c r="B289">
        <v>0.401753603254701</v>
      </c>
      <c r="C289">
        <v>-14.8107607686183</v>
      </c>
      <c r="D289">
        <v>2.4973658028653301</v>
      </c>
      <c r="E289" t="s">
        <v>20</v>
      </c>
      <c r="F289">
        <v>-14.409007165363599</v>
      </c>
      <c r="G289">
        <v>0.46791666666666698</v>
      </c>
      <c r="H289">
        <v>75.2</v>
      </c>
      <c r="I289">
        <v>0.46437499999999998</v>
      </c>
      <c r="J289">
        <v>0.62386643106619599</v>
      </c>
      <c r="K289">
        <v>492.437062961366</v>
      </c>
      <c r="L289">
        <v>74.089355114617007</v>
      </c>
      <c r="M289">
        <v>0.72092296271824396</v>
      </c>
      <c r="N289">
        <v>42546.562239862003</v>
      </c>
      <c r="O289">
        <v>6401.3202819029002</v>
      </c>
      <c r="P289">
        <v>62287.743978856299</v>
      </c>
      <c r="Q289">
        <v>17458.964455737201</v>
      </c>
      <c r="R289">
        <v>1.09488941144843</v>
      </c>
      <c r="S289">
        <v>19115.6353174412</v>
      </c>
    </row>
    <row r="290" spans="1:19" x14ac:dyDescent="0.75">
      <c r="A290" s="1">
        <v>45553</v>
      </c>
      <c r="B290">
        <v>0.46486207988147399</v>
      </c>
      <c r="C290">
        <v>-13.955866530013999</v>
      </c>
      <c r="D290">
        <v>2.5130045397093501</v>
      </c>
      <c r="E290" t="s">
        <v>20</v>
      </c>
      <c r="F290">
        <v>-13.4910044501326</v>
      </c>
      <c r="G290">
        <v>0.48166666666666702</v>
      </c>
      <c r="H290">
        <v>75.849999999999994</v>
      </c>
      <c r="I290">
        <v>0.51875000000000004</v>
      </c>
      <c r="J290">
        <v>0.58861560298878202</v>
      </c>
      <c r="K290">
        <v>415.59225540082298</v>
      </c>
      <c r="L290">
        <v>75.3616314863513</v>
      </c>
      <c r="M290">
        <v>0.70060659994817898</v>
      </c>
      <c r="N290">
        <v>35907.170866631102</v>
      </c>
      <c r="O290">
        <v>6511.2449604207504</v>
      </c>
      <c r="P290">
        <v>60532.410235522701</v>
      </c>
      <c r="Q290">
        <v>16861.365148893299</v>
      </c>
      <c r="R290">
        <v>1.0077700595038199</v>
      </c>
      <c r="S290">
        <v>16992.378959415801</v>
      </c>
    </row>
    <row r="291" spans="1:19" x14ac:dyDescent="0.75">
      <c r="A291" s="1">
        <v>45554</v>
      </c>
      <c r="B291">
        <v>0.30158169507525801</v>
      </c>
      <c r="C291">
        <v>-13.9322738569434</v>
      </c>
      <c r="D291">
        <v>2.6207929484644299</v>
      </c>
      <c r="E291" t="s">
        <v>20</v>
      </c>
      <c r="F291">
        <v>-13.630692161868099</v>
      </c>
      <c r="G291">
        <v>0.76875000000000004</v>
      </c>
      <c r="H291">
        <v>75.489999999999995</v>
      </c>
      <c r="I291">
        <v>0.73624999999999996</v>
      </c>
      <c r="J291">
        <v>0.58308197449728305</v>
      </c>
      <c r="K291">
        <v>404.16941785798798</v>
      </c>
      <c r="L291">
        <v>76.582842943959605</v>
      </c>
      <c r="M291">
        <v>0.69737155520471705</v>
      </c>
      <c r="N291">
        <v>34920.237702930201</v>
      </c>
      <c r="O291">
        <v>6616.75763035811</v>
      </c>
      <c r="P291">
        <v>60252.902369687501</v>
      </c>
      <c r="Q291">
        <v>16093.233036014401</v>
      </c>
      <c r="R291">
        <v>0.99396159405561202</v>
      </c>
      <c r="S291">
        <v>15996.0555619853</v>
      </c>
    </row>
    <row r="292" spans="1:19" x14ac:dyDescent="0.75">
      <c r="A292" s="1">
        <v>45555</v>
      </c>
      <c r="B292">
        <v>0.350848221179135</v>
      </c>
      <c r="C292">
        <v>-13.8549380650927</v>
      </c>
      <c r="D292">
        <v>2.6298219264209202</v>
      </c>
      <c r="E292" t="s">
        <v>20</v>
      </c>
      <c r="F292">
        <v>-13.504089843913601</v>
      </c>
      <c r="G292">
        <v>0.50541666666666696</v>
      </c>
      <c r="H292">
        <v>76.209999999999994</v>
      </c>
      <c r="I292">
        <v>0.51437500000000003</v>
      </c>
      <c r="J292">
        <v>0.55725152510911102</v>
      </c>
      <c r="K292">
        <v>354.55768381091701</v>
      </c>
      <c r="L292">
        <v>77.750990495701402</v>
      </c>
      <c r="M292">
        <v>0.68197603370904203</v>
      </c>
      <c r="N292">
        <v>30633.7838812632</v>
      </c>
      <c r="O292">
        <v>6717.6855788286002</v>
      </c>
      <c r="P292">
        <v>58922.729312461197</v>
      </c>
      <c r="Q292">
        <v>15683.917646415201</v>
      </c>
      <c r="R292">
        <v>0.932967516764732</v>
      </c>
      <c r="S292">
        <v>14632.5856997186</v>
      </c>
    </row>
    <row r="293" spans="1:19" x14ac:dyDescent="0.75">
      <c r="A293" s="1">
        <v>45556</v>
      </c>
      <c r="B293">
        <v>0.34457207446014199</v>
      </c>
      <c r="C293">
        <v>-13.0215366651921</v>
      </c>
      <c r="D293">
        <v>2.6799224077481498</v>
      </c>
      <c r="E293" t="s">
        <v>20</v>
      </c>
      <c r="F293">
        <v>-12.676964590732</v>
      </c>
      <c r="G293">
        <v>0.58041666666666702</v>
      </c>
      <c r="H293">
        <v>76.03</v>
      </c>
      <c r="I293">
        <v>0.58875</v>
      </c>
      <c r="J293">
        <v>0.52759890898569695</v>
      </c>
      <c r="K293">
        <v>302.34671832027499</v>
      </c>
      <c r="L293">
        <v>78.863432582522094</v>
      </c>
      <c r="M293">
        <v>0.66388635020966702</v>
      </c>
      <c r="N293">
        <v>26122.756462871701</v>
      </c>
      <c r="O293">
        <v>6813.8005751299097</v>
      </c>
      <c r="P293">
        <v>57359.780658115204</v>
      </c>
      <c r="Q293">
        <v>14982.466038790701</v>
      </c>
      <c r="R293">
        <v>0.86319244557153296</v>
      </c>
      <c r="S293">
        <v>12932.7515007161</v>
      </c>
    </row>
    <row r="294" spans="1:19" x14ac:dyDescent="0.75">
      <c r="A294" s="1">
        <v>45557</v>
      </c>
      <c r="B294">
        <v>0.22756032537163801</v>
      </c>
      <c r="C294">
        <v>-10.200668232361901</v>
      </c>
      <c r="D294">
        <v>2.3966808854514801</v>
      </c>
      <c r="E294" t="s">
        <v>20</v>
      </c>
      <c r="F294">
        <v>-9.97310790699024</v>
      </c>
      <c r="G294">
        <v>0.70250000000000001</v>
      </c>
      <c r="H294">
        <v>75.16</v>
      </c>
      <c r="I294">
        <v>0.71687500000000004</v>
      </c>
      <c r="J294">
        <v>0.49886513939694499</v>
      </c>
      <c r="K294">
        <v>256.918799237207</v>
      </c>
      <c r="L294">
        <v>79.917335525562393</v>
      </c>
      <c r="M294">
        <v>0.64584776529725196</v>
      </c>
      <c r="N294">
        <v>22197.784254094699</v>
      </c>
      <c r="O294">
        <v>6904.8577894085902</v>
      </c>
      <c r="P294">
        <v>55801.246921682497</v>
      </c>
      <c r="Q294">
        <v>16297.903105202</v>
      </c>
      <c r="R294">
        <v>0.79741163067493803</v>
      </c>
      <c r="S294">
        <v>12996.1374917012</v>
      </c>
    </row>
    <row r="295" spans="1:19" x14ac:dyDescent="0.75">
      <c r="A295" s="1">
        <v>45558</v>
      </c>
      <c r="B295">
        <v>1.1920090747577401</v>
      </c>
      <c r="C295">
        <v>-0.28327503731246301</v>
      </c>
      <c r="D295">
        <v>2.9270793904467398</v>
      </c>
      <c r="E295" t="s">
        <v>20</v>
      </c>
      <c r="F295">
        <v>0.90873403744527703</v>
      </c>
      <c r="G295">
        <v>5.9758333333333304</v>
      </c>
      <c r="H295">
        <v>74.34</v>
      </c>
      <c r="I295">
        <v>5.38</v>
      </c>
      <c r="J295">
        <v>0.47378033543945902</v>
      </c>
      <c r="K295">
        <v>221.04702999049201</v>
      </c>
      <c r="L295">
        <v>80.910193617669194</v>
      </c>
      <c r="M295">
        <v>0.62967402956018403</v>
      </c>
      <c r="N295">
        <v>19098.463391178499</v>
      </c>
      <c r="O295">
        <v>6990.6407285666201</v>
      </c>
      <c r="P295">
        <v>54403.836153999902</v>
      </c>
      <c r="Q295">
        <v>13010.472292652001</v>
      </c>
      <c r="R295">
        <v>0.74095506557516</v>
      </c>
      <c r="S295">
        <v>9640.1753507657595</v>
      </c>
    </row>
    <row r="296" spans="1:19" x14ac:dyDescent="0.75">
      <c r="A296" s="1">
        <v>45559</v>
      </c>
      <c r="B296">
        <v>0.422028439421271</v>
      </c>
      <c r="C296">
        <v>-0.33393226027015299</v>
      </c>
      <c r="D296">
        <v>3.7070212433085499</v>
      </c>
      <c r="E296" t="s">
        <v>20</v>
      </c>
      <c r="F296">
        <v>8.8096179151118004E-2</v>
      </c>
      <c r="G296">
        <v>8.5345833333333303</v>
      </c>
      <c r="H296">
        <v>75.13</v>
      </c>
      <c r="I296">
        <v>8.4837500000000006</v>
      </c>
      <c r="J296">
        <v>0.45487499459847502</v>
      </c>
      <c r="K296">
        <v>196.31701173769699</v>
      </c>
      <c r="L296">
        <v>81.840377721493397</v>
      </c>
      <c r="M296">
        <v>0.61719336862970597</v>
      </c>
      <c r="N296">
        <v>16961.789814136999</v>
      </c>
      <c r="O296">
        <v>7071.0086351370301</v>
      </c>
      <c r="P296">
        <v>53325.507049606596</v>
      </c>
      <c r="Q296">
        <v>10069.501220718401</v>
      </c>
      <c r="R296">
        <v>0.69926955489491105</v>
      </c>
      <c r="S296">
        <v>7041.2956366255503</v>
      </c>
    </row>
    <row r="297" spans="1:19" x14ac:dyDescent="0.75">
      <c r="A297" s="1">
        <v>45560</v>
      </c>
      <c r="B297">
        <v>0.38149248672868102</v>
      </c>
      <c r="C297">
        <v>-0.37625688420109998</v>
      </c>
      <c r="D297">
        <v>3.6435616648387201</v>
      </c>
      <c r="E297" t="s">
        <v>20</v>
      </c>
      <c r="F297">
        <v>5.2356025275805398E-3</v>
      </c>
      <c r="G297">
        <v>8.4991666666666692</v>
      </c>
      <c r="H297">
        <v>75.7</v>
      </c>
      <c r="I297">
        <v>8.4649999999999999</v>
      </c>
      <c r="J297">
        <v>0.44049343174444</v>
      </c>
      <c r="K297">
        <v>178.680198438779</v>
      </c>
      <c r="L297">
        <v>82.699454589200997</v>
      </c>
      <c r="M297">
        <v>0.60753587326674596</v>
      </c>
      <c r="N297">
        <v>15437.969145110501</v>
      </c>
      <c r="O297">
        <v>7145.2328765069697</v>
      </c>
      <c r="P297">
        <v>52491.099450246897</v>
      </c>
      <c r="Q297">
        <v>10084.5746539051</v>
      </c>
      <c r="R297">
        <v>0.667674918783842</v>
      </c>
      <c r="S297">
        <v>6733.2175630156798</v>
      </c>
    </row>
    <row r="298" spans="1:19" x14ac:dyDescent="0.75">
      <c r="A298" s="1">
        <v>45561</v>
      </c>
      <c r="B298">
        <v>2.86426150945237</v>
      </c>
      <c r="C298">
        <v>-7.5076162886421596</v>
      </c>
      <c r="D298">
        <v>1.2225328663541599</v>
      </c>
      <c r="E298" t="s">
        <v>20</v>
      </c>
      <c r="F298">
        <v>-4.6433547791897896</v>
      </c>
      <c r="G298">
        <v>7.4841666666666704</v>
      </c>
      <c r="H298">
        <v>75.67</v>
      </c>
      <c r="I298">
        <v>7.0212500000000002</v>
      </c>
      <c r="J298">
        <v>0.44595073432571097</v>
      </c>
      <c r="K298">
        <v>185.409261849046</v>
      </c>
      <c r="L298">
        <v>83.431551473897599</v>
      </c>
      <c r="M298">
        <v>0.61119527542820895</v>
      </c>
      <c r="N298">
        <v>16019.3602237576</v>
      </c>
      <c r="O298">
        <v>7208.4860473447497</v>
      </c>
      <c r="P298">
        <v>52807.2717969972</v>
      </c>
      <c r="Q298">
        <v>30236.479750548999</v>
      </c>
      <c r="R298">
        <v>0.68024373875324595</v>
      </c>
      <c r="S298">
        <v>20568.1760322503</v>
      </c>
    </row>
    <row r="299" spans="1:19" x14ac:dyDescent="0.75">
      <c r="A299" s="1">
        <v>45562</v>
      </c>
      <c r="B299">
        <v>0.41282011413587999</v>
      </c>
      <c r="C299">
        <v>-13.2165287596106</v>
      </c>
      <c r="D299">
        <v>2.8563076226317698</v>
      </c>
      <c r="E299" t="s">
        <v>20</v>
      </c>
      <c r="F299">
        <v>-12.8037086454747</v>
      </c>
      <c r="G299">
        <v>1.40458333333333</v>
      </c>
      <c r="H299">
        <v>76.39</v>
      </c>
      <c r="I299">
        <v>1.6031249999999999</v>
      </c>
      <c r="J299">
        <v>0.50005406222933702</v>
      </c>
      <c r="K299">
        <v>258.89002894131897</v>
      </c>
      <c r="L299">
        <v>84.020438399990198</v>
      </c>
      <c r="M299">
        <v>0.64658099162455696</v>
      </c>
      <c r="N299">
        <v>22368.098500529901</v>
      </c>
      <c r="O299">
        <v>7259.36587775915</v>
      </c>
      <c r="P299">
        <v>55864.5976763617</v>
      </c>
      <c r="Q299">
        <v>13690.8286991239</v>
      </c>
      <c r="R299">
        <v>0.80071033011042703</v>
      </c>
      <c r="S299">
        <v>10962.387967160799</v>
      </c>
    </row>
    <row r="300" spans="1:19" x14ac:dyDescent="0.75">
      <c r="A300" s="1">
        <v>45563</v>
      </c>
      <c r="B300">
        <v>0.36341015396160498</v>
      </c>
      <c r="C300">
        <v>-13.147846848430801</v>
      </c>
      <c r="D300">
        <v>2.7992034156454801</v>
      </c>
      <c r="E300" t="s">
        <v>20</v>
      </c>
      <c r="F300">
        <v>-12.7844366944692</v>
      </c>
      <c r="G300">
        <v>0.65208333333333302</v>
      </c>
      <c r="H300">
        <v>76.14</v>
      </c>
      <c r="I300">
        <v>0.60375000000000001</v>
      </c>
      <c r="J300">
        <v>0.495677064838978</v>
      </c>
      <c r="K300">
        <v>251.87985804072201</v>
      </c>
      <c r="L300">
        <v>84.461859762961694</v>
      </c>
      <c r="M300">
        <v>0.64384772918386302</v>
      </c>
      <c r="N300">
        <v>21762.419734718402</v>
      </c>
      <c r="O300">
        <v>7297.50468351989</v>
      </c>
      <c r="P300">
        <v>55628.443801485802</v>
      </c>
      <c r="Q300">
        <v>13911.068571649599</v>
      </c>
      <c r="R300">
        <v>0.78924428746100395</v>
      </c>
      <c r="S300">
        <v>10979.2314026528</v>
      </c>
    </row>
    <row r="301" spans="1:19" x14ac:dyDescent="0.75">
      <c r="A301" s="1">
        <v>45565</v>
      </c>
      <c r="B301">
        <v>4.3491537170819798</v>
      </c>
      <c r="C301">
        <v>-10.967923784562</v>
      </c>
      <c r="D301">
        <v>1.4916448002651901</v>
      </c>
      <c r="E301" t="s">
        <v>20</v>
      </c>
      <c r="F301">
        <v>-6.6187700674799901</v>
      </c>
      <c r="G301">
        <v>6.5833333333333304</v>
      </c>
      <c r="H301">
        <v>76.06</v>
      </c>
      <c r="I301">
        <v>5.7243750000000002</v>
      </c>
      <c r="J301">
        <v>0.48583982925541602</v>
      </c>
      <c r="K301">
        <v>237.87249903588199</v>
      </c>
      <c r="L301">
        <v>84.840033346903795</v>
      </c>
      <c r="M301">
        <v>0.63750032460986295</v>
      </c>
      <c r="N301">
        <v>20552.1839167002</v>
      </c>
      <c r="O301">
        <v>7330.17888117249</v>
      </c>
      <c r="P301">
        <v>55080.028046292202</v>
      </c>
      <c r="Q301">
        <v>25847.989833471001</v>
      </c>
      <c r="R301">
        <v>0.76801678116109995</v>
      </c>
      <c r="S301">
        <v>19851.689951387201</v>
      </c>
    </row>
    <row r="302" spans="1:19" x14ac:dyDescent="0.75">
      <c r="A302" s="1">
        <v>45566</v>
      </c>
      <c r="B302">
        <v>0.214658801155128</v>
      </c>
      <c r="C302">
        <v>-10.900645213656301</v>
      </c>
      <c r="D302">
        <v>2.42182110167305</v>
      </c>
      <c r="E302" t="s">
        <v>20</v>
      </c>
      <c r="F302">
        <v>-10.685986412501199</v>
      </c>
      <c r="G302">
        <v>0.48708333333333298</v>
      </c>
      <c r="H302">
        <v>76.319999999999993</v>
      </c>
      <c r="I302">
        <v>0.59875</v>
      </c>
      <c r="J302">
        <v>0.496983412148642</v>
      </c>
      <c r="K302">
        <v>254.09168445311201</v>
      </c>
      <c r="L302">
        <v>84.743502308561403</v>
      </c>
      <c r="M302">
        <v>0.644650432758065</v>
      </c>
      <c r="N302">
        <v>21953.521536748802</v>
      </c>
      <c r="O302">
        <v>7321.8385994597102</v>
      </c>
      <c r="P302">
        <v>55697.797390296801</v>
      </c>
      <c r="Q302">
        <v>16098.818424810001</v>
      </c>
      <c r="R302">
        <v>0.79309329867537304</v>
      </c>
      <c r="S302">
        <v>12767.8650093084</v>
      </c>
    </row>
    <row r="303" spans="1:19" x14ac:dyDescent="0.75">
      <c r="A303" s="1">
        <v>45568</v>
      </c>
      <c r="B303">
        <v>0.40289523923922199</v>
      </c>
      <c r="C303">
        <v>-0.34058595932844798</v>
      </c>
      <c r="D303">
        <v>3.7170011489795902</v>
      </c>
      <c r="E303" t="s">
        <v>20</v>
      </c>
      <c r="F303">
        <v>6.23092799107735E-2</v>
      </c>
      <c r="G303">
        <v>8.4375</v>
      </c>
      <c r="H303">
        <v>76.319999999999993</v>
      </c>
      <c r="I303">
        <v>8.3849999999999998</v>
      </c>
      <c r="J303">
        <v>0.45364497319903702</v>
      </c>
      <c r="K303">
        <v>194.68021879035001</v>
      </c>
      <c r="L303">
        <v>83.914508887769699</v>
      </c>
      <c r="M303">
        <v>0.61638559528693704</v>
      </c>
      <c r="N303">
        <v>16820.3709034862</v>
      </c>
      <c r="O303">
        <v>7250.2135679032999</v>
      </c>
      <c r="P303">
        <v>53255.715432791301</v>
      </c>
      <c r="Q303">
        <v>10029.321840050499</v>
      </c>
      <c r="R303">
        <v>0.696230816277285</v>
      </c>
      <c r="S303">
        <v>6982.7229314059796</v>
      </c>
    </row>
    <row r="304" spans="1:19" x14ac:dyDescent="0.75">
      <c r="A304" s="1">
        <v>45569</v>
      </c>
      <c r="B304">
        <v>5.4640320894794397E-2</v>
      </c>
      <c r="C304">
        <v>-6.0503739009123603</v>
      </c>
      <c r="D304">
        <v>1.24075093669387</v>
      </c>
      <c r="E304" t="s">
        <v>20</v>
      </c>
      <c r="F304">
        <v>-5.9957335800175597</v>
      </c>
      <c r="G304">
        <v>5.0654166666666702</v>
      </c>
      <c r="H304">
        <v>76.14</v>
      </c>
      <c r="I304">
        <v>4.9529411764705902</v>
      </c>
      <c r="J304">
        <v>0.42756115791951899</v>
      </c>
      <c r="K304">
        <v>164.58582373578801</v>
      </c>
      <c r="L304">
        <v>83.164579826135807</v>
      </c>
      <c r="M304">
        <v>0.59857302250004896</v>
      </c>
      <c r="N304">
        <v>14220.2151707721</v>
      </c>
      <c r="O304">
        <v>7185.4196969781397</v>
      </c>
      <c r="P304">
        <v>51716.7091440043</v>
      </c>
      <c r="Q304">
        <v>29177.246883461499</v>
      </c>
      <c r="R304">
        <v>0.64309782598131604</v>
      </c>
      <c r="S304">
        <v>18763.824038874202</v>
      </c>
    </row>
    <row r="305" spans="1:19" x14ac:dyDescent="0.75">
      <c r="A305" s="1">
        <v>45570</v>
      </c>
      <c r="B305">
        <v>0.41313280376596601</v>
      </c>
      <c r="C305">
        <v>-11.9511758289926</v>
      </c>
      <c r="D305">
        <v>2.9827056903325899</v>
      </c>
      <c r="E305" t="s">
        <v>20</v>
      </c>
      <c r="F305">
        <v>-11.5380430252266</v>
      </c>
      <c r="G305">
        <v>0.78083333333333305</v>
      </c>
      <c r="H305">
        <v>76.39</v>
      </c>
      <c r="I305">
        <v>0.76</v>
      </c>
      <c r="J305">
        <v>0.42388080382221399</v>
      </c>
      <c r="K305">
        <v>159.75668689158201</v>
      </c>
      <c r="L305">
        <v>82.183216676218393</v>
      </c>
      <c r="M305">
        <v>0.59615960224137599</v>
      </c>
      <c r="N305">
        <v>13802.9777474327</v>
      </c>
      <c r="O305">
        <v>7100.6299208252703</v>
      </c>
      <c r="P305">
        <v>51508.189633654903</v>
      </c>
      <c r="Q305">
        <v>12088.263639426599</v>
      </c>
      <c r="R305">
        <v>0.63219746879012395</v>
      </c>
      <c r="S305">
        <v>7642.1696749132097</v>
      </c>
    </row>
    <row r="306" spans="1:19" x14ac:dyDescent="0.75">
      <c r="A306" s="1">
        <v>45571</v>
      </c>
      <c r="B306">
        <v>0.15473974553880099</v>
      </c>
      <c r="C306">
        <v>-9.3126103502593196</v>
      </c>
      <c r="D306">
        <v>2.1637798512412001</v>
      </c>
      <c r="E306" t="s">
        <v>20</v>
      </c>
      <c r="F306">
        <v>-9.1578706047205092</v>
      </c>
      <c r="G306">
        <v>1.1612499999999999</v>
      </c>
      <c r="H306">
        <v>76.06</v>
      </c>
      <c r="I306">
        <v>1.0964705882352901</v>
      </c>
      <c r="J306">
        <v>0.49745311005773502</v>
      </c>
      <c r="K306">
        <v>259.972630436337</v>
      </c>
      <c r="L306">
        <v>80.966715852628298</v>
      </c>
      <c r="M306">
        <v>0.644310704981505</v>
      </c>
      <c r="N306">
        <v>22461.635269699502</v>
      </c>
      <c r="O306">
        <v>6995.5242496670899</v>
      </c>
      <c r="P306">
        <v>55668.444910402002</v>
      </c>
      <c r="Q306">
        <v>18009.184906185499</v>
      </c>
      <c r="R306">
        <v>0.81111070081931602</v>
      </c>
      <c r="S306">
        <v>14607.4425904408</v>
      </c>
    </row>
    <row r="307" spans="1:19" x14ac:dyDescent="0.75">
      <c r="A307" s="1">
        <v>45572</v>
      </c>
      <c r="B307">
        <v>0.42063731530972198</v>
      </c>
      <c r="C307">
        <v>-13.533718614990001</v>
      </c>
      <c r="D307">
        <v>2.7645069217638101</v>
      </c>
      <c r="E307" t="s">
        <v>20</v>
      </c>
      <c r="F307">
        <v>-13.113081299680299</v>
      </c>
      <c r="G307">
        <v>0.96583333333333299</v>
      </c>
      <c r="H307">
        <v>74.59</v>
      </c>
      <c r="I307">
        <v>0.97588235294117698</v>
      </c>
      <c r="J307">
        <v>0.53889514369937896</v>
      </c>
      <c r="K307">
        <v>321.26159318030699</v>
      </c>
      <c r="L307">
        <v>79.517272789463405</v>
      </c>
      <c r="M307">
        <v>0.67086827380075797</v>
      </c>
      <c r="N307">
        <v>27757.0016507785</v>
      </c>
      <c r="O307">
        <v>6870.2923690096404</v>
      </c>
      <c r="P307">
        <v>57963.018856385497</v>
      </c>
      <c r="Q307">
        <v>14676.7992802068</v>
      </c>
      <c r="R307">
        <v>0.88862245779313798</v>
      </c>
      <c r="S307">
        <v>13042.133448913901</v>
      </c>
    </row>
    <row r="308" spans="1:19" x14ac:dyDescent="0.75">
      <c r="A308" s="1">
        <v>45573</v>
      </c>
      <c r="B308">
        <v>0.40237418732595398</v>
      </c>
      <c r="C308">
        <v>-13.3392193433932</v>
      </c>
      <c r="D308">
        <v>2.73254304361225</v>
      </c>
      <c r="E308" t="s">
        <v>20</v>
      </c>
      <c r="F308">
        <v>-12.9368451560672</v>
      </c>
      <c r="G308">
        <v>0.78208333333333302</v>
      </c>
      <c r="H308">
        <v>73.83</v>
      </c>
      <c r="I308">
        <v>0.77823529411764703</v>
      </c>
      <c r="J308">
        <v>0.52868508540047399</v>
      </c>
      <c r="K308">
        <v>304.01132236916902</v>
      </c>
      <c r="L308">
        <v>77.859651920140095</v>
      </c>
      <c r="M308">
        <v>0.66457289520993301</v>
      </c>
      <c r="N308">
        <v>26266.578252696199</v>
      </c>
      <c r="O308">
        <v>6727.0739259001002</v>
      </c>
      <c r="P308">
        <v>57419.098146138203</v>
      </c>
      <c r="Q308">
        <v>14709.143849080499</v>
      </c>
      <c r="R308">
        <v>0.86526686944784503</v>
      </c>
      <c r="S308">
        <v>12727.334850551901</v>
      </c>
    </row>
    <row r="309" spans="1:19" x14ac:dyDescent="0.75">
      <c r="A309" s="1">
        <v>45574</v>
      </c>
      <c r="B309">
        <v>1.13925172255592</v>
      </c>
      <c r="C309">
        <v>-13.4583932409332</v>
      </c>
      <c r="D309">
        <v>2.68926318490848</v>
      </c>
      <c r="E309" t="s">
        <v>20</v>
      </c>
      <c r="F309">
        <v>-12.3191415183773</v>
      </c>
      <c r="G309">
        <v>1.16875</v>
      </c>
      <c r="H309">
        <v>74.12</v>
      </c>
      <c r="I309">
        <v>1.05117647058824</v>
      </c>
      <c r="J309">
        <v>0.56117937387389905</v>
      </c>
      <c r="K309">
        <v>367.56517187237398</v>
      </c>
      <c r="L309">
        <v>76.020858325962607</v>
      </c>
      <c r="M309">
        <v>0.68386160739255597</v>
      </c>
      <c r="N309">
        <v>31757.630849773101</v>
      </c>
      <c r="O309">
        <v>6568.2021593631698</v>
      </c>
      <c r="P309">
        <v>59085.642878716797</v>
      </c>
      <c r="Q309">
        <v>15379.658728533601</v>
      </c>
      <c r="R309">
        <v>0.95777705971361105</v>
      </c>
      <c r="S309">
        <v>14730.284316413699</v>
      </c>
    </row>
    <row r="310" spans="1:19" x14ac:dyDescent="0.75">
      <c r="A310" s="1">
        <v>45575</v>
      </c>
      <c r="B310">
        <v>0.49278683829982201</v>
      </c>
      <c r="C310">
        <v>-16.3247845738445</v>
      </c>
      <c r="D310">
        <v>2.4069170717137598</v>
      </c>
      <c r="E310" t="s">
        <v>20</v>
      </c>
      <c r="F310">
        <v>-15.8319977355447</v>
      </c>
      <c r="G310">
        <v>1.02958333333333</v>
      </c>
      <c r="H310">
        <v>72.86</v>
      </c>
      <c r="I310">
        <v>1.1100000000000001</v>
      </c>
      <c r="J310">
        <v>0.698662887477289</v>
      </c>
      <c r="K310">
        <v>685.62358111956598</v>
      </c>
      <c r="L310">
        <v>74.022340276053697</v>
      </c>
      <c r="M310">
        <v>0.76215621012149304</v>
      </c>
      <c r="N310">
        <v>59237.877408730499</v>
      </c>
      <c r="O310">
        <v>6395.5301998510404</v>
      </c>
      <c r="P310">
        <v>65850.296554497007</v>
      </c>
      <c r="Q310">
        <v>19151.140739272501</v>
      </c>
      <c r="R310">
        <v>1.2875795757967301</v>
      </c>
      <c r="S310">
        <v>24658.617669095998</v>
      </c>
    </row>
    <row r="311" spans="1:19" x14ac:dyDescent="0.75">
      <c r="A311" s="1">
        <v>45576</v>
      </c>
      <c r="B311">
        <v>0.402416091494601</v>
      </c>
      <c r="C311">
        <v>-16.142941463133099</v>
      </c>
      <c r="D311">
        <v>2.3365290438991599</v>
      </c>
      <c r="E311" t="s">
        <v>20</v>
      </c>
      <c r="F311">
        <v>-15.740525371638499</v>
      </c>
      <c r="G311">
        <v>0.45541666666666702</v>
      </c>
      <c r="H311">
        <v>71.959999999999994</v>
      </c>
      <c r="I311">
        <v>0.46470588235294102</v>
      </c>
      <c r="J311">
        <v>0.72314295537681905</v>
      </c>
      <c r="K311">
        <v>756.08606388736803</v>
      </c>
      <c r="L311">
        <v>71.880523614146497</v>
      </c>
      <c r="M311">
        <v>0.77525952000263199</v>
      </c>
      <c r="N311">
        <v>65325.835919868601</v>
      </c>
      <c r="O311">
        <v>6210.4772402622602</v>
      </c>
      <c r="P311">
        <v>66982.422528227398</v>
      </c>
      <c r="Q311">
        <v>20067.242858455498</v>
      </c>
      <c r="R311">
        <v>1.34865220096523</v>
      </c>
      <c r="S311">
        <v>27063.7312483598</v>
      </c>
    </row>
    <row r="312" spans="1:19" x14ac:dyDescent="0.75">
      <c r="A312" s="1">
        <v>45577</v>
      </c>
      <c r="B312">
        <v>0.41922864499867202</v>
      </c>
      <c r="C312">
        <v>-16.080717221206001</v>
      </c>
      <c r="D312">
        <v>2.3721648290327102</v>
      </c>
      <c r="E312" t="s">
        <v>20</v>
      </c>
      <c r="F312">
        <v>-15.661488576207301</v>
      </c>
      <c r="G312">
        <v>0.36416666666666703</v>
      </c>
      <c r="H312">
        <v>70.38</v>
      </c>
      <c r="I312">
        <v>0.35352941176470598</v>
      </c>
      <c r="J312">
        <v>0.70581697375515895</v>
      </c>
      <c r="K312">
        <v>704.97571784357604</v>
      </c>
      <c r="L312">
        <v>69.610106373532204</v>
      </c>
      <c r="M312">
        <v>0.76604836366526796</v>
      </c>
      <c r="N312">
        <v>60909.902021684997</v>
      </c>
      <c r="O312">
        <v>6014.3131906731896</v>
      </c>
      <c r="P312">
        <v>66186.578620679094</v>
      </c>
      <c r="Q312">
        <v>19530.938351095701</v>
      </c>
      <c r="R312">
        <v>1.3038447149988801</v>
      </c>
      <c r="S312">
        <v>25465.310748045002</v>
      </c>
    </row>
    <row r="313" spans="1:19" x14ac:dyDescent="0.75">
      <c r="A313" s="1">
        <v>45578</v>
      </c>
      <c r="B313">
        <v>0.36388755855119898</v>
      </c>
      <c r="C313">
        <v>-15.1269765837891</v>
      </c>
      <c r="D313">
        <v>2.3689793159597099</v>
      </c>
      <c r="E313" t="s">
        <v>20</v>
      </c>
      <c r="F313">
        <v>-14.7630890252379</v>
      </c>
      <c r="G313">
        <v>0.26624999999999999</v>
      </c>
      <c r="H313">
        <v>70.34</v>
      </c>
      <c r="I313">
        <v>0.26176470588235301</v>
      </c>
      <c r="J313">
        <v>0.67124427203399795</v>
      </c>
      <c r="K313">
        <v>609.29434387953199</v>
      </c>
      <c r="L313">
        <v>67.222785312389306</v>
      </c>
      <c r="M313">
        <v>0.74734957007312297</v>
      </c>
      <c r="N313">
        <v>52643.031311191597</v>
      </c>
      <c r="O313">
        <v>5808.0486509904304</v>
      </c>
      <c r="P313">
        <v>64571.002854317798</v>
      </c>
      <c r="Q313">
        <v>19079.821294138801</v>
      </c>
      <c r="R313">
        <v>1.2145706012831301</v>
      </c>
      <c r="S313">
        <v>23173.790021596898</v>
      </c>
    </row>
    <row r="314" spans="1:19" x14ac:dyDescent="0.75">
      <c r="A314" s="1">
        <v>45579</v>
      </c>
      <c r="B314">
        <v>0.37699910814583398</v>
      </c>
      <c r="C314">
        <v>-14.680367668038301</v>
      </c>
      <c r="D314">
        <v>2.4762118906464199</v>
      </c>
      <c r="E314" t="s">
        <v>20</v>
      </c>
      <c r="F314">
        <v>-14.3033685598924</v>
      </c>
      <c r="G314">
        <v>0.401666666666667</v>
      </c>
      <c r="H314">
        <v>69.98</v>
      </c>
      <c r="I314">
        <v>0.39882352941176502</v>
      </c>
      <c r="J314">
        <v>0.63357449972475599</v>
      </c>
      <c r="K314">
        <v>515.04527373386202</v>
      </c>
      <c r="L314">
        <v>64.737135747729994</v>
      </c>
      <c r="M314">
        <v>0.72641999278774105</v>
      </c>
      <c r="N314">
        <v>44499.911650605602</v>
      </c>
      <c r="O314">
        <v>5593.28852860387</v>
      </c>
      <c r="P314">
        <v>62762.687376860798</v>
      </c>
      <c r="Q314">
        <v>17742.375492887899</v>
      </c>
      <c r="R314">
        <v>1.11907689310655</v>
      </c>
      <c r="S314">
        <v>19855.082442910702</v>
      </c>
    </row>
    <row r="315" spans="1:19" x14ac:dyDescent="0.75">
      <c r="A315" s="1">
        <v>45580</v>
      </c>
      <c r="B315">
        <v>0.39333780429008602</v>
      </c>
      <c r="C315">
        <v>-13.7351165288677</v>
      </c>
      <c r="D315">
        <v>2.5373482238579701</v>
      </c>
      <c r="E315" t="s">
        <v>20</v>
      </c>
      <c r="F315">
        <v>-13.341778724577599</v>
      </c>
      <c r="G315">
        <v>0.60499999999999998</v>
      </c>
      <c r="H315">
        <v>70.63</v>
      </c>
      <c r="I315">
        <v>0.58117647058823496</v>
      </c>
      <c r="J315">
        <v>0.59581665905756098</v>
      </c>
      <c r="K315">
        <v>430.81438817520501</v>
      </c>
      <c r="L315">
        <v>62.170805049613698</v>
      </c>
      <c r="M315">
        <v>0.70479007295060903</v>
      </c>
      <c r="N315">
        <v>37222.3631383377</v>
      </c>
      <c r="O315">
        <v>5371.5575562866197</v>
      </c>
      <c r="P315">
        <v>60893.862302932597</v>
      </c>
      <c r="Q315">
        <v>16799.311663750101</v>
      </c>
      <c r="R315">
        <v>1.02593011677743</v>
      </c>
      <c r="S315">
        <v>17234.919776971499</v>
      </c>
    </row>
    <row r="316" spans="1:19" x14ac:dyDescent="0.75">
      <c r="A316" s="1">
        <v>45581</v>
      </c>
      <c r="B316">
        <v>0.36521463639429702</v>
      </c>
      <c r="C316">
        <v>-12.8586834789844</v>
      </c>
      <c r="D316">
        <v>2.6191821831798801</v>
      </c>
      <c r="E316" t="s">
        <v>20</v>
      </c>
      <c r="F316">
        <v>-12.493468842590101</v>
      </c>
      <c r="G316">
        <v>0.831666666666667</v>
      </c>
      <c r="H316">
        <v>69.91</v>
      </c>
      <c r="I316">
        <v>0.82352941176470595</v>
      </c>
      <c r="J316">
        <v>0.56026052733923704</v>
      </c>
      <c r="K316">
        <v>360.00818263274198</v>
      </c>
      <c r="L316">
        <v>59.536024712403702</v>
      </c>
      <c r="M316">
        <v>0.68379728693466402</v>
      </c>
      <c r="N316">
        <v>31104.706979468901</v>
      </c>
      <c r="O316">
        <v>5143.9125351516795</v>
      </c>
      <c r="P316">
        <v>59080.085591155002</v>
      </c>
      <c r="Q316">
        <v>15789.6843447519</v>
      </c>
      <c r="R316">
        <v>0.93971243306416197</v>
      </c>
      <c r="S316">
        <v>14837.7626929219</v>
      </c>
    </row>
    <row r="317" spans="1:19" x14ac:dyDescent="0.75">
      <c r="A317" s="1">
        <v>45582</v>
      </c>
      <c r="B317">
        <v>0.349613806537103</v>
      </c>
      <c r="C317">
        <v>-12.3907603379233</v>
      </c>
      <c r="D317">
        <v>2.75535956299283</v>
      </c>
      <c r="E317" t="s">
        <v>20</v>
      </c>
      <c r="F317">
        <v>-12.0411465313862</v>
      </c>
      <c r="G317">
        <v>1.10666666666667</v>
      </c>
      <c r="H317">
        <v>65.05</v>
      </c>
      <c r="I317">
        <v>1.1023529411764701</v>
      </c>
      <c r="J317">
        <v>0.52837978175956402</v>
      </c>
      <c r="K317">
        <v>303.60241791425398</v>
      </c>
      <c r="L317">
        <v>56.840730298299498</v>
      </c>
      <c r="M317">
        <v>0.66437414019325403</v>
      </c>
      <c r="N317">
        <v>26231.248907791502</v>
      </c>
      <c r="O317">
        <v>4911.0390977730704</v>
      </c>
      <c r="P317">
        <v>57401.925712697099</v>
      </c>
      <c r="Q317">
        <v>14582.9780398039</v>
      </c>
      <c r="R317">
        <v>0.86486100302955604</v>
      </c>
      <c r="S317">
        <v>12612.249014662801</v>
      </c>
    </row>
    <row r="318" spans="1:19" x14ac:dyDescent="0.75">
      <c r="A318" s="1">
        <v>45583</v>
      </c>
      <c r="B318">
        <v>0.35651019980484799</v>
      </c>
      <c r="C318">
        <v>-11.840111368706101</v>
      </c>
      <c r="D318">
        <v>2.82224848862846</v>
      </c>
      <c r="E318" t="s">
        <v>20</v>
      </c>
      <c r="F318">
        <v>-11.483601168901201</v>
      </c>
      <c r="G318">
        <v>1.27833333333333</v>
      </c>
      <c r="H318">
        <v>62.92</v>
      </c>
      <c r="I318">
        <v>1.26529411764706</v>
      </c>
      <c r="J318">
        <v>0.49836021414467102</v>
      </c>
      <c r="K318">
        <v>256.07662664008802</v>
      </c>
      <c r="L318">
        <v>54.088845410519497</v>
      </c>
      <c r="M318">
        <v>0.64553580636219898</v>
      </c>
      <c r="N318">
        <v>22125.020541703601</v>
      </c>
      <c r="O318">
        <v>4673.2762434688902</v>
      </c>
      <c r="P318">
        <v>55774.293669694001</v>
      </c>
      <c r="Q318">
        <v>13833.652751023001</v>
      </c>
      <c r="R318">
        <v>0.79598748539219899</v>
      </c>
      <c r="S318">
        <v>11011.4144670757</v>
      </c>
    </row>
    <row r="319" spans="1:19" x14ac:dyDescent="0.75">
      <c r="A319" s="1">
        <v>45584</v>
      </c>
      <c r="B319">
        <v>0.367438684870046</v>
      </c>
      <c r="C319">
        <v>-11.407339310137001</v>
      </c>
      <c r="D319">
        <v>2.8742258513387799</v>
      </c>
      <c r="E319" t="s">
        <v>20</v>
      </c>
      <c r="F319">
        <v>-11.039900625267</v>
      </c>
      <c r="G319">
        <v>1.3487499999999999</v>
      </c>
      <c r="H319">
        <v>64.510000000000005</v>
      </c>
      <c r="I319">
        <v>1.3388235294117601</v>
      </c>
      <c r="J319">
        <v>0.47258554138320402</v>
      </c>
      <c r="K319">
        <v>219.357839421118</v>
      </c>
      <c r="L319">
        <v>51.281596793558201</v>
      </c>
      <c r="M319">
        <v>0.62890167778579498</v>
      </c>
      <c r="N319">
        <v>18952.517325984601</v>
      </c>
      <c r="O319">
        <v>4430.7299629634299</v>
      </c>
      <c r="P319">
        <v>54337.104960692697</v>
      </c>
      <c r="Q319">
        <v>13233.4671803081</v>
      </c>
      <c r="R319">
        <v>0.73805712325910799</v>
      </c>
      <c r="S319">
        <v>9767.0547178420202</v>
      </c>
    </row>
    <row r="320" spans="1:19" x14ac:dyDescent="0.75">
      <c r="A320" s="1">
        <v>45585</v>
      </c>
      <c r="B320">
        <v>0.37853310261930101</v>
      </c>
      <c r="C320">
        <v>-11.332220038190799</v>
      </c>
      <c r="D320">
        <v>2.9837511863515398</v>
      </c>
      <c r="E320" t="s">
        <v>20</v>
      </c>
      <c r="F320">
        <v>-10.953686935571501</v>
      </c>
      <c r="G320">
        <v>1.3687499999999999</v>
      </c>
      <c r="H320">
        <v>65.19</v>
      </c>
      <c r="I320">
        <v>1.3564705882352901</v>
      </c>
      <c r="J320">
        <v>0.45015159500016</v>
      </c>
      <c r="K320">
        <v>190.40200895270601</v>
      </c>
      <c r="L320">
        <v>48.431103841020303</v>
      </c>
      <c r="M320">
        <v>0.61403912825396201</v>
      </c>
      <c r="N320">
        <v>16450.7335735138</v>
      </c>
      <c r="O320">
        <v>4184.4473718641502</v>
      </c>
      <c r="P320">
        <v>53052.980681142297</v>
      </c>
      <c r="Q320">
        <v>12446.442131862201</v>
      </c>
      <c r="R320">
        <v>0.68883734888367198</v>
      </c>
      <c r="S320">
        <v>8573.5742011459897</v>
      </c>
    </row>
    <row r="321" spans="1:19" x14ac:dyDescent="0.75">
      <c r="A321" s="1">
        <v>45586</v>
      </c>
      <c r="B321">
        <v>0.37391898259672401</v>
      </c>
      <c r="C321">
        <v>-11.145655995452101</v>
      </c>
      <c r="D321">
        <v>3.0531742539278199</v>
      </c>
      <c r="E321" t="s">
        <v>20</v>
      </c>
      <c r="F321">
        <v>-10.771737012855301</v>
      </c>
      <c r="G321">
        <v>1.3758333333333299</v>
      </c>
      <c r="H321">
        <v>66.13</v>
      </c>
      <c r="I321">
        <v>1.3588235294117601</v>
      </c>
      <c r="J321">
        <v>0.43112589406996998</v>
      </c>
      <c r="K321">
        <v>167.90916654489399</v>
      </c>
      <c r="L321">
        <v>45.594936066705898</v>
      </c>
      <c r="M321">
        <v>0.60113711478822496</v>
      </c>
      <c r="N321">
        <v>14507.351989478801</v>
      </c>
      <c r="O321">
        <v>3939.40247616339</v>
      </c>
      <c r="P321">
        <v>51938.246717702699</v>
      </c>
      <c r="Q321">
        <v>11907.860370439001</v>
      </c>
      <c r="R321">
        <v>0.64788325484160403</v>
      </c>
      <c r="S321">
        <v>7714.9033349993897</v>
      </c>
    </row>
    <row r="322" spans="1:19" x14ac:dyDescent="0.75">
      <c r="A322" s="1">
        <v>45587</v>
      </c>
      <c r="B322">
        <v>0.35557718139236799</v>
      </c>
      <c r="C322">
        <v>-10.6111754313023</v>
      </c>
      <c r="D322">
        <v>2.9795205369079198</v>
      </c>
      <c r="E322" t="s">
        <v>20</v>
      </c>
      <c r="F322">
        <v>-10.2555982499099</v>
      </c>
      <c r="G322">
        <v>1.2524999999999999</v>
      </c>
      <c r="H322">
        <v>66.56</v>
      </c>
      <c r="I322">
        <v>1.24470588235294</v>
      </c>
      <c r="J322">
        <v>0.41521487739945201</v>
      </c>
      <c r="K322">
        <v>150.46799761527299</v>
      </c>
      <c r="L322">
        <v>42.7918286670645</v>
      </c>
      <c r="M322">
        <v>0.59012861796170302</v>
      </c>
      <c r="N322">
        <v>13000.4349939596</v>
      </c>
      <c r="O322">
        <v>3697.2139968343699</v>
      </c>
      <c r="P322">
        <v>50987.1125918912</v>
      </c>
      <c r="Q322">
        <v>11978.765835714999</v>
      </c>
      <c r="R322">
        <v>0.61407944334208497</v>
      </c>
      <c r="S322">
        <v>7355.9138563210599</v>
      </c>
    </row>
    <row r="323" spans="1:19" x14ac:dyDescent="0.75">
      <c r="A323" s="1">
        <v>45588</v>
      </c>
      <c r="B323">
        <v>0.38085810219685501</v>
      </c>
      <c r="C323">
        <v>-10.3861642790772</v>
      </c>
      <c r="D323">
        <v>3.0434937407875302</v>
      </c>
      <c r="E323" t="s">
        <v>20</v>
      </c>
      <c r="F323">
        <v>-10.0053061768803</v>
      </c>
      <c r="G323">
        <v>1.3062499999999999</v>
      </c>
      <c r="H323">
        <v>68.040000000000006</v>
      </c>
      <c r="I323">
        <v>1.29882352941176</v>
      </c>
      <c r="J323">
        <v>0.40146153549882901</v>
      </c>
      <c r="K323">
        <v>136.424820004465</v>
      </c>
      <c r="L323">
        <v>40.035882731432203</v>
      </c>
      <c r="M323">
        <v>0.58043199848844296</v>
      </c>
      <c r="N323">
        <v>11787.1044483858</v>
      </c>
      <c r="O323">
        <v>3459.1002679957501</v>
      </c>
      <c r="P323">
        <v>50149.324669401503</v>
      </c>
      <c r="Q323">
        <v>11534.286007599099</v>
      </c>
      <c r="R323">
        <v>0.58546117710200896</v>
      </c>
      <c r="S323">
        <v>6752.8766630401997</v>
      </c>
    </row>
    <row r="324" spans="1:19" x14ac:dyDescent="0.75">
      <c r="A324" s="1">
        <v>45589</v>
      </c>
      <c r="B324">
        <v>0.36470996967177999</v>
      </c>
      <c r="C324">
        <v>-10.2280213420197</v>
      </c>
      <c r="D324">
        <v>3.1218243704016402</v>
      </c>
      <c r="E324" t="s">
        <v>20</v>
      </c>
      <c r="F324">
        <v>-9.8633113723479404</v>
      </c>
      <c r="G324">
        <v>1.39041666666667</v>
      </c>
      <c r="H324">
        <v>67.89</v>
      </c>
      <c r="I324">
        <v>1.3794117647058799</v>
      </c>
      <c r="J324">
        <v>0.386742377272634</v>
      </c>
      <c r="K324">
        <v>122.404261980475</v>
      </c>
      <c r="L324">
        <v>37.3489245080603</v>
      </c>
      <c r="M324">
        <v>0.56986039880609896</v>
      </c>
      <c r="N324">
        <v>10575.728235113</v>
      </c>
      <c r="O324">
        <v>3226.9470774964102</v>
      </c>
      <c r="P324">
        <v>49235.938456846998</v>
      </c>
      <c r="Q324">
        <v>11040.069148848001</v>
      </c>
      <c r="R324">
        <v>0.55540054243277204</v>
      </c>
      <c r="S324">
        <v>6131.66039376547</v>
      </c>
    </row>
    <row r="325" spans="1:19" x14ac:dyDescent="0.75">
      <c r="A325" s="1">
        <v>45590</v>
      </c>
      <c r="B325">
        <v>0.31561064813856998</v>
      </c>
      <c r="C325">
        <v>-9.0707826147297599</v>
      </c>
      <c r="D325">
        <v>2.9546802552595501</v>
      </c>
      <c r="E325" t="s">
        <v>20</v>
      </c>
      <c r="F325">
        <v>-8.75517196659119</v>
      </c>
      <c r="G325">
        <v>1.35625</v>
      </c>
      <c r="H325">
        <v>67.53</v>
      </c>
      <c r="I325">
        <v>1.3835294117647099</v>
      </c>
      <c r="J325">
        <v>0.37002135752523302</v>
      </c>
      <c r="K325">
        <v>107.698437411738</v>
      </c>
      <c r="L325">
        <v>34.753321140993798</v>
      </c>
      <c r="M325">
        <v>0.55759156457348502</v>
      </c>
      <c r="N325">
        <v>9305.1449923741693</v>
      </c>
      <c r="O325">
        <v>3002.68694658186</v>
      </c>
      <c r="P325">
        <v>48175.911179149101</v>
      </c>
      <c r="Q325">
        <v>11413.464372456099</v>
      </c>
      <c r="R325">
        <v>0.52199508652995497</v>
      </c>
      <c r="S325">
        <v>5957.77232270678</v>
      </c>
    </row>
    <row r="326" spans="1:19" x14ac:dyDescent="0.75">
      <c r="A326" s="1">
        <v>45591</v>
      </c>
      <c r="B326">
        <v>0.33000033564985798</v>
      </c>
      <c r="C326">
        <v>-9.0192571923743703</v>
      </c>
      <c r="D326">
        <v>3.19875443458707</v>
      </c>
      <c r="E326" t="s">
        <v>20</v>
      </c>
      <c r="F326">
        <v>-8.6892568567245103</v>
      </c>
      <c r="G326">
        <v>1.7112499999999999</v>
      </c>
      <c r="H326">
        <v>67.709999999999994</v>
      </c>
      <c r="I326">
        <v>1.71647058823529</v>
      </c>
      <c r="J326">
        <v>0.35126844268840102</v>
      </c>
      <c r="K326">
        <v>92.506752455189002</v>
      </c>
      <c r="L326">
        <v>32.268576668726801</v>
      </c>
      <c r="M326">
        <v>0.54352755735497804</v>
      </c>
      <c r="N326">
        <v>7992.5834121283297</v>
      </c>
      <c r="O326">
        <v>2788.005024178</v>
      </c>
      <c r="P326">
        <v>46960.780955470102</v>
      </c>
      <c r="Q326">
        <v>10276.670917088601</v>
      </c>
      <c r="R326">
        <v>0.484521141172088</v>
      </c>
      <c r="S326">
        <v>4979.2643201977598</v>
      </c>
    </row>
    <row r="327" spans="1:19" x14ac:dyDescent="0.75">
      <c r="A327" s="1">
        <v>45592</v>
      </c>
      <c r="B327">
        <v>0.35195850316311</v>
      </c>
      <c r="C327">
        <v>-8.8199934983966308</v>
      </c>
      <c r="D327">
        <v>3.3001986924097002</v>
      </c>
      <c r="E327" t="s">
        <v>20</v>
      </c>
      <c r="F327">
        <v>-8.4680349952335199</v>
      </c>
      <c r="G327">
        <v>1.835</v>
      </c>
      <c r="H327">
        <v>67.78</v>
      </c>
      <c r="I327">
        <v>1.8235294117647101</v>
      </c>
      <c r="J327">
        <v>0.336760648521297</v>
      </c>
      <c r="K327">
        <v>81.848228954073903</v>
      </c>
      <c r="L327">
        <v>29.910539174038199</v>
      </c>
      <c r="M327">
        <v>0.53236152108141799</v>
      </c>
      <c r="N327">
        <v>7071.6869816319804</v>
      </c>
      <c r="O327">
        <v>2584.2705846368999</v>
      </c>
      <c r="P327">
        <v>45996.035421434499</v>
      </c>
      <c r="Q327">
        <v>9756.1473704768796</v>
      </c>
      <c r="R327">
        <v>0.45654258344737603</v>
      </c>
      <c r="S327">
        <v>4454.0967250108397</v>
      </c>
    </row>
    <row r="328" spans="1:19" x14ac:dyDescent="0.75">
      <c r="A328" s="1">
        <v>45593</v>
      </c>
      <c r="B328">
        <v>0.379153350358298</v>
      </c>
      <c r="C328">
        <v>-8.6546170671159803</v>
      </c>
      <c r="D328">
        <v>3.3193883986060602</v>
      </c>
      <c r="E328" t="s">
        <v>20</v>
      </c>
      <c r="F328">
        <v>-8.2754637167576792</v>
      </c>
      <c r="G328">
        <v>1.8712500000000001</v>
      </c>
      <c r="H328">
        <v>68.069999999999993</v>
      </c>
      <c r="I328">
        <v>1.8647058823529401</v>
      </c>
      <c r="J328">
        <v>0.32499178028659098</v>
      </c>
      <c r="K328">
        <v>73.749513566027304</v>
      </c>
      <c r="L328">
        <v>27.6933163956475</v>
      </c>
      <c r="M328">
        <v>0.52314504594538302</v>
      </c>
      <c r="N328">
        <v>6371.9579721047603</v>
      </c>
      <c r="O328">
        <v>2392.7025365839499</v>
      </c>
      <c r="P328">
        <v>45199.731969681103</v>
      </c>
      <c r="Q328">
        <v>9531.8198955155494</v>
      </c>
      <c r="R328">
        <v>0.433775147595171</v>
      </c>
      <c r="S328">
        <v>4134.6665820278404</v>
      </c>
    </row>
    <row r="329" spans="1:19" x14ac:dyDescent="0.75">
      <c r="A329" s="1">
        <v>45594</v>
      </c>
      <c r="B329">
        <v>0.42798738037491901</v>
      </c>
      <c r="C329">
        <v>-8.6739297330686504</v>
      </c>
      <c r="D329">
        <v>3.3380461413106102</v>
      </c>
      <c r="E329" t="s">
        <v>20</v>
      </c>
      <c r="F329">
        <v>-8.2459423526937297</v>
      </c>
      <c r="G329">
        <v>1.9212499999999999</v>
      </c>
      <c r="H329">
        <v>67.930000000000007</v>
      </c>
      <c r="I329">
        <v>1.93055555555556</v>
      </c>
      <c r="J329">
        <v>0.323383064947948</v>
      </c>
      <c r="K329">
        <v>72.726991226030904</v>
      </c>
      <c r="L329">
        <v>25.6299788324791</v>
      </c>
      <c r="M329">
        <v>0.52185879189697304</v>
      </c>
      <c r="N329">
        <v>6283.6120419290701</v>
      </c>
      <c r="O329">
        <v>2214.4301711262001</v>
      </c>
      <c r="P329">
        <v>45088.599619898501</v>
      </c>
      <c r="Q329">
        <v>9455.2377042747503</v>
      </c>
      <c r="R329">
        <v>0.43094847025591498</v>
      </c>
      <c r="S329">
        <v>4074.7202245632502</v>
      </c>
    </row>
    <row r="330" spans="1:19" x14ac:dyDescent="0.75">
      <c r="A330" s="1">
        <v>45595</v>
      </c>
      <c r="B330">
        <v>0.36074119420638001</v>
      </c>
      <c r="C330">
        <v>-8.5295892659400305</v>
      </c>
      <c r="D330">
        <v>3.2904074819426499</v>
      </c>
      <c r="E330" t="s">
        <v>20</v>
      </c>
      <c r="F330">
        <v>-8.1688480717336507</v>
      </c>
      <c r="G330">
        <v>1.895</v>
      </c>
      <c r="H330">
        <v>68.319999999999993</v>
      </c>
      <c r="I330">
        <v>1.8855555555555601</v>
      </c>
      <c r="J330">
        <v>0.32541744401670603</v>
      </c>
      <c r="K330">
        <v>74.063241407267995</v>
      </c>
      <c r="L330">
        <v>23.729648493420498</v>
      </c>
      <c r="M330">
        <v>0.52347166340505702</v>
      </c>
      <c r="N330">
        <v>6399.0640575879597</v>
      </c>
      <c r="O330">
        <v>2050.2416298315302</v>
      </c>
      <c r="P330">
        <v>45227.951718196899</v>
      </c>
      <c r="Q330">
        <v>9621.7767484670694</v>
      </c>
      <c r="R330">
        <v>0.43477914904325199</v>
      </c>
      <c r="S330">
        <v>4183.3479069826599</v>
      </c>
    </row>
    <row r="331" spans="1:19" x14ac:dyDescent="0.75">
      <c r="A331" s="1">
        <v>45596</v>
      </c>
      <c r="B331">
        <v>0.362396093045947</v>
      </c>
      <c r="C331">
        <v>-8.2535257347751703</v>
      </c>
      <c r="D331">
        <v>3.2785616248196399</v>
      </c>
      <c r="E331" t="s">
        <v>20</v>
      </c>
      <c r="F331">
        <v>-7.8911296417292203</v>
      </c>
      <c r="G331">
        <v>1.83</v>
      </c>
      <c r="H331">
        <v>68.5</v>
      </c>
      <c r="I331">
        <v>1.8261111111111099</v>
      </c>
      <c r="J331">
        <v>0.31353995814052199</v>
      </c>
      <c r="K331">
        <v>66.4664435533751</v>
      </c>
      <c r="L331">
        <v>21.999308474784701</v>
      </c>
      <c r="M331">
        <v>0.51398702555220699</v>
      </c>
      <c r="N331">
        <v>5742.7007230116096</v>
      </c>
      <c r="O331">
        <v>1900.7402522213999</v>
      </c>
      <c r="P331">
        <v>44408.479007710703</v>
      </c>
      <c r="Q331">
        <v>9481.5772471891705</v>
      </c>
      <c r="R331">
        <v>0.41243678143153201</v>
      </c>
      <c r="S331">
        <v>3910.5512027251498</v>
      </c>
    </row>
    <row r="332" spans="1:19" x14ac:dyDescent="0.75">
      <c r="A332" s="1">
        <v>45598</v>
      </c>
      <c r="B332">
        <v>0.122805662181232</v>
      </c>
      <c r="C332">
        <v>-11.205956901370101</v>
      </c>
      <c r="D332">
        <v>5.0314869514362801</v>
      </c>
      <c r="E332" t="s">
        <v>20</v>
      </c>
      <c r="F332">
        <v>-11.083151239188799</v>
      </c>
      <c r="G332">
        <v>1.89208333333333</v>
      </c>
      <c r="H332">
        <v>68.47</v>
      </c>
      <c r="I332">
        <v>1.8883333333333301</v>
      </c>
      <c r="J332">
        <v>0.28989653964156398</v>
      </c>
      <c r="K332">
        <v>52.889169717592097</v>
      </c>
      <c r="L332">
        <v>19.037157741367899</v>
      </c>
      <c r="M332">
        <v>0.49455360359353001</v>
      </c>
      <c r="N332">
        <v>4569.6242635999597</v>
      </c>
      <c r="O332">
        <v>1644.8104288541799</v>
      </c>
      <c r="P332">
        <v>42729.431350480998</v>
      </c>
      <c r="Q332">
        <v>5944.6843913206303</v>
      </c>
      <c r="R332">
        <v>0.36890143715929602</v>
      </c>
      <c r="S332">
        <v>2193.0026154166198</v>
      </c>
    </row>
    <row r="333" spans="1:19" x14ac:dyDescent="0.75">
      <c r="A333" s="1">
        <v>45599</v>
      </c>
      <c r="B333">
        <v>0.11659087672528699</v>
      </c>
      <c r="C333">
        <v>-10.4149227042014</v>
      </c>
      <c r="D333">
        <v>4.8370239409328901</v>
      </c>
      <c r="E333" t="s">
        <v>20</v>
      </c>
      <c r="F333">
        <v>-10.298331827476201</v>
      </c>
      <c r="G333">
        <v>1.91041666666667</v>
      </c>
      <c r="H333">
        <v>68.790000000000006</v>
      </c>
      <c r="I333">
        <v>1.91055555555556</v>
      </c>
      <c r="J333">
        <v>0.28042919116141302</v>
      </c>
      <c r="K333">
        <v>48.038917058554297</v>
      </c>
      <c r="L333">
        <v>17.762961238740399</v>
      </c>
      <c r="M333">
        <v>0.48653414751516699</v>
      </c>
      <c r="N333">
        <v>4150.5624338590897</v>
      </c>
      <c r="O333">
        <v>1534.7198510271701</v>
      </c>
      <c r="P333">
        <v>42036.550345310403</v>
      </c>
      <c r="Q333">
        <v>6083.4069876532703</v>
      </c>
      <c r="R333">
        <v>0.35209240942936199</v>
      </c>
      <c r="S333">
        <v>2141.9214238222498</v>
      </c>
    </row>
    <row r="334" spans="1:19" x14ac:dyDescent="0.75">
      <c r="A334" s="1">
        <v>45600</v>
      </c>
      <c r="B334">
        <v>0.14048528972631699</v>
      </c>
      <c r="C334">
        <v>-11.1294603203451</v>
      </c>
      <c r="D334">
        <v>5.2976504787538703</v>
      </c>
      <c r="E334" t="s">
        <v>20</v>
      </c>
      <c r="F334">
        <v>-10.9889750306188</v>
      </c>
      <c r="G334">
        <v>1.88333333333333</v>
      </c>
      <c r="H334">
        <v>69.510000000000005</v>
      </c>
      <c r="I334">
        <v>1.885</v>
      </c>
      <c r="J334">
        <v>0.27150493088864902</v>
      </c>
      <c r="K334">
        <v>43.701823262365103</v>
      </c>
      <c r="L334">
        <v>16.6014233141257</v>
      </c>
      <c r="M334">
        <v>0.47886787505615602</v>
      </c>
      <c r="N334">
        <v>3775.83752986834</v>
      </c>
      <c r="O334">
        <v>1434.3629743404599</v>
      </c>
      <c r="P334">
        <v>41374.184404851898</v>
      </c>
      <c r="Q334">
        <v>5466.9384474395902</v>
      </c>
      <c r="R334">
        <v>0.33612911472968499</v>
      </c>
      <c r="S334">
        <v>1837.59718061955</v>
      </c>
    </row>
    <row r="335" spans="1:19" x14ac:dyDescent="0.75">
      <c r="A335" s="1">
        <v>45601</v>
      </c>
      <c r="B335">
        <v>0.13766690286323999</v>
      </c>
      <c r="C335">
        <v>-11.612552294649101</v>
      </c>
      <c r="D335">
        <v>5.6260979532191202</v>
      </c>
      <c r="E335" t="s">
        <v>20</v>
      </c>
      <c r="F335">
        <v>-11.4748853917859</v>
      </c>
      <c r="G335">
        <v>1.8616666666666699</v>
      </c>
      <c r="H335">
        <v>69.8</v>
      </c>
      <c r="I335">
        <v>1.85666666666667</v>
      </c>
      <c r="J335">
        <v>0.26595368872556002</v>
      </c>
      <c r="K335">
        <v>41.161279861159301</v>
      </c>
      <c r="L335">
        <v>15.5412128368189</v>
      </c>
      <c r="M335">
        <v>0.47402272568410497</v>
      </c>
      <c r="N335">
        <v>3556.3345800041602</v>
      </c>
      <c r="O335">
        <v>1342.7607891011601</v>
      </c>
      <c r="P335">
        <v>40955.563499106604</v>
      </c>
      <c r="Q335">
        <v>5095.6977087416299</v>
      </c>
      <c r="R335">
        <v>0.32650037821616801</v>
      </c>
      <c r="S335">
        <v>1663.7472291793999</v>
      </c>
    </row>
    <row r="336" spans="1:19" x14ac:dyDescent="0.75">
      <c r="A336" s="1">
        <v>45602</v>
      </c>
      <c r="B336">
        <v>0.19916675942172701</v>
      </c>
      <c r="C336">
        <v>-11.3887013507922</v>
      </c>
      <c r="D336">
        <v>5.4870915562322198</v>
      </c>
      <c r="E336" t="s">
        <v>20</v>
      </c>
      <c r="F336">
        <v>-11.189534591370499</v>
      </c>
      <c r="G336">
        <v>1.8058333333333301</v>
      </c>
      <c r="H336">
        <v>70.52</v>
      </c>
      <c r="I336">
        <v>1.81111111111111</v>
      </c>
      <c r="J336">
        <v>0.26203464679656702</v>
      </c>
      <c r="K336">
        <v>39.420968677669599</v>
      </c>
      <c r="L336">
        <v>14.5724310049689</v>
      </c>
      <c r="M336">
        <v>0.47057457056220803</v>
      </c>
      <c r="N336">
        <v>3405.9716937506601</v>
      </c>
      <c r="O336">
        <v>1259.0580388293099</v>
      </c>
      <c r="P336">
        <v>40657.642896574798</v>
      </c>
      <c r="Q336">
        <v>5186.7824212404803</v>
      </c>
      <c r="R336">
        <v>0.31969814678326203</v>
      </c>
      <c r="S336">
        <v>1658.2047278385801</v>
      </c>
    </row>
    <row r="337" spans="1:19" x14ac:dyDescent="0.75">
      <c r="A337" s="1">
        <v>45603</v>
      </c>
      <c r="B337">
        <v>0.13250273456197501</v>
      </c>
      <c r="C337">
        <v>-11.624818302141501</v>
      </c>
      <c r="D337">
        <v>5.5736044104426004</v>
      </c>
      <c r="E337" t="s">
        <v>20</v>
      </c>
      <c r="F337">
        <v>-11.492315567579499</v>
      </c>
      <c r="G337">
        <v>1.73708333333333</v>
      </c>
      <c r="H337">
        <v>71.31</v>
      </c>
      <c r="I337">
        <v>1.7361111111111101</v>
      </c>
      <c r="J337">
        <v>0.26383711252271003</v>
      </c>
      <c r="K337">
        <v>40.198463762381003</v>
      </c>
      <c r="L337">
        <v>13.6865502315201</v>
      </c>
      <c r="M337">
        <v>0.47217252328321202</v>
      </c>
      <c r="N337">
        <v>3473.1472690697101</v>
      </c>
      <c r="O337">
        <v>1182.5179400033401</v>
      </c>
      <c r="P337">
        <v>40795.706011669499</v>
      </c>
      <c r="Q337">
        <v>5123.6133936353299</v>
      </c>
      <c r="R337">
        <v>0.32268060308556501</v>
      </c>
      <c r="S337">
        <v>1653.2906598355301</v>
      </c>
    </row>
    <row r="338" spans="1:19" x14ac:dyDescent="0.75">
      <c r="A338" s="1">
        <v>45604</v>
      </c>
      <c r="B338">
        <v>0.13841636566370799</v>
      </c>
      <c r="C338">
        <v>-11.5903220951294</v>
      </c>
      <c r="D338">
        <v>5.6200049835423203</v>
      </c>
      <c r="E338" t="s">
        <v>20</v>
      </c>
      <c r="F338">
        <v>-11.4519057294657</v>
      </c>
      <c r="G338">
        <v>1.6812499999999999</v>
      </c>
      <c r="H338">
        <v>71.819999999999993</v>
      </c>
      <c r="I338">
        <v>1.6738888888888901</v>
      </c>
      <c r="J338">
        <v>0.259113712924396</v>
      </c>
      <c r="K338">
        <v>38.136999583153603</v>
      </c>
      <c r="L338">
        <v>12.868536648234</v>
      </c>
      <c r="M338">
        <v>0.46799776796255499</v>
      </c>
      <c r="N338">
        <v>3295.0367639844699</v>
      </c>
      <c r="O338">
        <v>1111.84156640742</v>
      </c>
      <c r="P338">
        <v>40435.007151964703</v>
      </c>
      <c r="Q338">
        <v>5036.3843251496201</v>
      </c>
      <c r="R338">
        <v>0.31449398443115101</v>
      </c>
      <c r="S338">
        <v>1583.9125735429</v>
      </c>
    </row>
    <row r="339" spans="1:19" x14ac:dyDescent="0.75">
      <c r="A339" s="1">
        <v>45605</v>
      </c>
      <c r="B339">
        <v>0.113637678121543</v>
      </c>
      <c r="C339">
        <v>-11.1656802561234</v>
      </c>
      <c r="D339">
        <v>5.5476597720218601</v>
      </c>
      <c r="E339" t="s">
        <v>20</v>
      </c>
      <c r="F339">
        <v>-11.052042578001799</v>
      </c>
      <c r="G339">
        <v>1.68333333333333</v>
      </c>
      <c r="H339">
        <v>71.099999999999994</v>
      </c>
      <c r="I339">
        <v>1.68444444444444</v>
      </c>
      <c r="J339">
        <v>0.25400574816301202</v>
      </c>
      <c r="K339">
        <v>36.000702808806501</v>
      </c>
      <c r="L339">
        <v>12.103558135790299</v>
      </c>
      <c r="M339">
        <v>0.46343157360708798</v>
      </c>
      <c r="N339">
        <v>3110.4607226808798</v>
      </c>
      <c r="O339">
        <v>1045.74742293228</v>
      </c>
      <c r="P339">
        <v>40040.487959652397</v>
      </c>
      <c r="Q339">
        <v>5052.2819934110103</v>
      </c>
      <c r="R339">
        <v>0.30583121873593</v>
      </c>
      <c r="S339">
        <v>1545.1455594424799</v>
      </c>
    </row>
    <row r="340" spans="1:19" x14ac:dyDescent="0.75">
      <c r="A340" s="1">
        <v>45606</v>
      </c>
      <c r="B340">
        <v>0.24121739574048201</v>
      </c>
      <c r="C340">
        <v>-11.003779095828801</v>
      </c>
      <c r="D340">
        <v>5.2830287965592797</v>
      </c>
      <c r="E340" t="s">
        <v>20</v>
      </c>
      <c r="F340">
        <v>-10.7625617000883</v>
      </c>
      <c r="G340">
        <v>1.73875</v>
      </c>
      <c r="H340">
        <v>71.239999999999995</v>
      </c>
      <c r="I340">
        <v>1.74444444444444</v>
      </c>
      <c r="J340">
        <v>0.258529526149961</v>
      </c>
      <c r="K340">
        <v>37.959390088409997</v>
      </c>
      <c r="L340">
        <v>11.3821142370202</v>
      </c>
      <c r="M340">
        <v>0.467438586139236</v>
      </c>
      <c r="N340">
        <v>3279.69130363862</v>
      </c>
      <c r="O340">
        <v>983.41467007854703</v>
      </c>
      <c r="P340">
        <v>40386.693842430002</v>
      </c>
      <c r="Q340">
        <v>5351.2268773005899</v>
      </c>
      <c r="R340">
        <v>0.31411199123302003</v>
      </c>
      <c r="S340">
        <v>1680.8845299685399</v>
      </c>
    </row>
    <row r="341" spans="1:19" x14ac:dyDescent="0.75">
      <c r="A341" s="1">
        <v>45607</v>
      </c>
      <c r="B341">
        <v>0.103002323662651</v>
      </c>
      <c r="C341">
        <v>-9.5610411600041001</v>
      </c>
      <c r="D341">
        <v>4.65016432410685</v>
      </c>
      <c r="E341" t="s">
        <v>20</v>
      </c>
      <c r="F341">
        <v>-9.4580388363414496</v>
      </c>
      <c r="G341">
        <v>1.6995833333333299</v>
      </c>
      <c r="H341">
        <v>70.84</v>
      </c>
      <c r="I341">
        <v>1.7183333333333299</v>
      </c>
      <c r="J341">
        <v>0.26028795769712798</v>
      </c>
      <c r="K341">
        <v>38.669940605551901</v>
      </c>
      <c r="L341">
        <v>10.706408905211299</v>
      </c>
      <c r="M341">
        <v>0.46902445596749798</v>
      </c>
      <c r="N341">
        <v>3341.0828683196901</v>
      </c>
      <c r="O341">
        <v>925.03372941025395</v>
      </c>
      <c r="P341">
        <v>40523.712995591799</v>
      </c>
      <c r="Q341">
        <v>6100.1283223174196</v>
      </c>
      <c r="R341">
        <v>0.31675533686495499</v>
      </c>
      <c r="S341">
        <v>1932.2482016551101</v>
      </c>
    </row>
    <row r="342" spans="1:19" x14ac:dyDescent="0.75">
      <c r="A342" s="1">
        <v>45608</v>
      </c>
      <c r="B342">
        <v>0.101972246682198</v>
      </c>
      <c r="C342">
        <v>-9.8779494699937693</v>
      </c>
      <c r="D342">
        <v>5.1171919499537797</v>
      </c>
      <c r="E342" t="s">
        <v>20</v>
      </c>
      <c r="F342">
        <v>-9.7759772233115694</v>
      </c>
      <c r="G342">
        <v>1.77958333333333</v>
      </c>
      <c r="H342">
        <v>71.099999999999994</v>
      </c>
      <c r="I342">
        <v>1.77444444444444</v>
      </c>
      <c r="J342">
        <v>0.24883026432719499</v>
      </c>
      <c r="K342">
        <v>33.935861512017098</v>
      </c>
      <c r="L342">
        <v>10.0780215827532</v>
      </c>
      <c r="M342">
        <v>0.458746396719792</v>
      </c>
      <c r="N342">
        <v>2932.0584346382798</v>
      </c>
      <c r="O342">
        <v>870.74106474987298</v>
      </c>
      <c r="P342">
        <v>39635.688676589998</v>
      </c>
      <c r="Q342">
        <v>5421.9154460023001</v>
      </c>
      <c r="R342">
        <v>0.29729185572273797</v>
      </c>
      <c r="S342">
        <v>1611.8913045137999</v>
      </c>
    </row>
    <row r="343" spans="1:19" x14ac:dyDescent="0.75">
      <c r="A343" s="1">
        <v>45609</v>
      </c>
      <c r="B343">
        <v>0.108073456768874</v>
      </c>
      <c r="C343">
        <v>-10.1079681885632</v>
      </c>
      <c r="D343">
        <v>5.4456129196044802</v>
      </c>
      <c r="E343" t="s">
        <v>20</v>
      </c>
      <c r="F343">
        <v>-9.9998947317943401</v>
      </c>
      <c r="G343">
        <v>1.8912500000000001</v>
      </c>
      <c r="H343">
        <v>70.92</v>
      </c>
      <c r="I343">
        <v>1.8916666666666699</v>
      </c>
      <c r="J343">
        <v>0.24227797849535099</v>
      </c>
      <c r="K343">
        <v>31.368504191493798</v>
      </c>
      <c r="L343">
        <v>9.4977726591403293</v>
      </c>
      <c r="M343">
        <v>0.45278568157946802</v>
      </c>
      <c r="N343">
        <v>2710.2387621450598</v>
      </c>
      <c r="O343">
        <v>820.60755774972404</v>
      </c>
      <c r="P343">
        <v>39120.682888465999</v>
      </c>
      <c r="Q343">
        <v>5028.7228317937797</v>
      </c>
      <c r="R343">
        <v>0.28594807929631999</v>
      </c>
      <c r="S343">
        <v>1437.9536350649801</v>
      </c>
    </row>
    <row r="344" spans="1:19" x14ac:dyDescent="0.75">
      <c r="A344" s="1">
        <v>45610</v>
      </c>
      <c r="B344">
        <v>0.118389730985304</v>
      </c>
      <c r="C344">
        <v>-9.9754588767980792</v>
      </c>
      <c r="D344">
        <v>5.5122745266035702</v>
      </c>
      <c r="E344" t="s">
        <v>20</v>
      </c>
      <c r="F344">
        <v>-9.8570691458127797</v>
      </c>
      <c r="G344">
        <v>1.93875</v>
      </c>
      <c r="H344">
        <v>69.12</v>
      </c>
      <c r="I344">
        <v>1.94</v>
      </c>
      <c r="J344">
        <v>0.23689993743623899</v>
      </c>
      <c r="K344">
        <v>29.395821962902801</v>
      </c>
      <c r="L344">
        <v>8.9616115220200303</v>
      </c>
      <c r="M344">
        <v>0.44780702985954801</v>
      </c>
      <c r="N344">
        <v>2539.7990175947998</v>
      </c>
      <c r="O344">
        <v>774.28323550253003</v>
      </c>
      <c r="P344">
        <v>38690.527379865001</v>
      </c>
      <c r="Q344">
        <v>4913.2838060213799</v>
      </c>
      <c r="R344">
        <v>0.27709568017334002</v>
      </c>
      <c r="S344">
        <v>1361.4497181141501</v>
      </c>
    </row>
    <row r="345" spans="1:19" x14ac:dyDescent="0.75">
      <c r="A345" s="1">
        <v>45611</v>
      </c>
      <c r="B345">
        <v>9.3555865790034401E-2</v>
      </c>
      <c r="C345">
        <v>-8.2852056579155207</v>
      </c>
      <c r="D345">
        <v>4.8230002718438199</v>
      </c>
      <c r="E345" t="s">
        <v>20</v>
      </c>
      <c r="F345">
        <v>-8.1916497921254798</v>
      </c>
      <c r="G345">
        <v>2.1124999999999998</v>
      </c>
      <c r="H345">
        <v>69.87</v>
      </c>
      <c r="I345">
        <v>2.1094444444444398</v>
      </c>
      <c r="J345">
        <v>0.23403478019077201</v>
      </c>
      <c r="K345">
        <v>28.375008436093101</v>
      </c>
      <c r="L345">
        <v>8.46204650658267</v>
      </c>
      <c r="M345">
        <v>0.44513400938469799</v>
      </c>
      <c r="N345">
        <v>2451.6007288784499</v>
      </c>
      <c r="O345">
        <v>731.12081816874297</v>
      </c>
      <c r="P345">
        <v>38459.578410838003</v>
      </c>
      <c r="Q345">
        <v>5581.9413995791601</v>
      </c>
      <c r="R345">
        <v>0.27237347979370402</v>
      </c>
      <c r="S345">
        <v>1520.3728030079101</v>
      </c>
    </row>
    <row r="346" spans="1:19" x14ac:dyDescent="0.75">
      <c r="A346" s="1">
        <v>45612</v>
      </c>
      <c r="B346">
        <v>8.3018780757070199E-2</v>
      </c>
      <c r="C346">
        <v>-9.9209769094518094</v>
      </c>
      <c r="D346">
        <v>6.1396245520745998</v>
      </c>
      <c r="E346" t="s">
        <v>20</v>
      </c>
      <c r="F346">
        <v>-9.8379581286947406</v>
      </c>
      <c r="G346">
        <v>2.3149999999999999</v>
      </c>
      <c r="H346">
        <v>64.47</v>
      </c>
      <c r="I346">
        <v>2.3077777777777801</v>
      </c>
      <c r="J346">
        <v>0.2250635501271</v>
      </c>
      <c r="K346">
        <v>25.327289370279502</v>
      </c>
      <c r="L346">
        <v>7.99678099382258</v>
      </c>
      <c r="M346">
        <v>0.4366567455889</v>
      </c>
      <c r="N346">
        <v>2188.2778015921499</v>
      </c>
      <c r="O346">
        <v>690.92187786627096</v>
      </c>
      <c r="P346">
        <v>37727.142818881002</v>
      </c>
      <c r="Q346">
        <v>4301.4030824234997</v>
      </c>
      <c r="R346">
        <v>0.25771718179095299</v>
      </c>
      <c r="S346">
        <v>1108.5454801491001</v>
      </c>
    </row>
    <row r="347" spans="1:19" x14ac:dyDescent="0.75">
      <c r="A347" s="1">
        <v>45613</v>
      </c>
      <c r="B347">
        <v>8.4034564482724006E-2</v>
      </c>
      <c r="C347">
        <v>-10.5132651278892</v>
      </c>
      <c r="D347">
        <v>6.7490965203666402</v>
      </c>
      <c r="E347" t="s">
        <v>20</v>
      </c>
      <c r="F347">
        <v>-10.429230563406501</v>
      </c>
      <c r="G347">
        <v>2.3712499999999999</v>
      </c>
      <c r="H347">
        <v>64.36</v>
      </c>
      <c r="I347">
        <v>2.3716666666666701</v>
      </c>
      <c r="J347">
        <v>0.217022909045818</v>
      </c>
      <c r="K347">
        <v>22.770511688923801</v>
      </c>
      <c r="L347">
        <v>7.5618586511061201</v>
      </c>
      <c r="M347">
        <v>0.428924355942223</v>
      </c>
      <c r="N347">
        <v>1967.3722099230199</v>
      </c>
      <c r="O347">
        <v>653.34458745556901</v>
      </c>
      <c r="P347">
        <v>37059.064353408103</v>
      </c>
      <c r="Q347">
        <v>3843.6767008892002</v>
      </c>
      <c r="R347">
        <v>0.24461692448052499</v>
      </c>
      <c r="S347">
        <v>940.22837326896695</v>
      </c>
    </row>
    <row r="348" spans="1:19" x14ac:dyDescent="0.75">
      <c r="A348" s="1">
        <v>45614</v>
      </c>
      <c r="B348">
        <v>0.111040021603318</v>
      </c>
      <c r="C348">
        <v>-10.1510428654961</v>
      </c>
      <c r="D348">
        <v>6.6445837992928398</v>
      </c>
      <c r="E348" t="s">
        <v>20</v>
      </c>
      <c r="F348">
        <v>-10.0400028438928</v>
      </c>
      <c r="G348">
        <v>2.42875</v>
      </c>
      <c r="H348">
        <v>64.400000000000006</v>
      </c>
      <c r="I348">
        <v>2.4266666666666699</v>
      </c>
      <c r="J348">
        <v>0.21442489248614899</v>
      </c>
      <c r="K348">
        <v>21.9941913398834</v>
      </c>
      <c r="L348">
        <v>7.1538447940054004</v>
      </c>
      <c r="M348">
        <v>0.42638456001125902</v>
      </c>
      <c r="N348">
        <v>1900.2981317659301</v>
      </c>
      <c r="O348">
        <v>618.09219020206694</v>
      </c>
      <c r="P348">
        <v>36839.625984972801</v>
      </c>
      <c r="Q348">
        <v>3881.0163237350398</v>
      </c>
      <c r="R348">
        <v>0.240564383094342</v>
      </c>
      <c r="S348">
        <v>933.63429769839297</v>
      </c>
    </row>
    <row r="349" spans="1:19" x14ac:dyDescent="0.75">
      <c r="A349" s="1">
        <v>45615</v>
      </c>
      <c r="B349">
        <v>0.107382058842801</v>
      </c>
      <c r="C349">
        <v>-10.2116795557214</v>
      </c>
      <c r="D349">
        <v>6.7425310264396199</v>
      </c>
      <c r="E349" t="s">
        <v>20</v>
      </c>
      <c r="F349">
        <v>-10.104297496878599</v>
      </c>
      <c r="G349">
        <v>2.395</v>
      </c>
      <c r="H349">
        <v>64.44</v>
      </c>
      <c r="I349">
        <v>2.39333333333333</v>
      </c>
      <c r="J349">
        <v>0.21011834978215499</v>
      </c>
      <c r="K349">
        <v>20.728617673997299</v>
      </c>
      <c r="L349">
        <v>6.7717523999500102</v>
      </c>
      <c r="M349">
        <v>0.42215554991353799</v>
      </c>
      <c r="N349">
        <v>1790.9525670333601</v>
      </c>
      <c r="O349">
        <v>585.07940735568104</v>
      </c>
      <c r="P349">
        <v>36474.239512529697</v>
      </c>
      <c r="Q349">
        <v>3786.7037702387702</v>
      </c>
      <c r="R349">
        <v>0.233686625282681</v>
      </c>
      <c r="S349">
        <v>884.90202501230306</v>
      </c>
    </row>
    <row r="350" spans="1:19" x14ac:dyDescent="0.75">
      <c r="A350" s="1">
        <v>45616</v>
      </c>
      <c r="B350">
        <v>0.113610009645607</v>
      </c>
      <c r="C350">
        <v>-10.602643878022601</v>
      </c>
      <c r="D350">
        <v>6.9356518860860898</v>
      </c>
      <c r="E350" t="s">
        <v>20</v>
      </c>
      <c r="F350">
        <v>-10.489033868377</v>
      </c>
      <c r="G350">
        <v>2.2875000000000001</v>
      </c>
      <c r="H350">
        <v>67.349999999999994</v>
      </c>
      <c r="I350">
        <v>2.2933333333333299</v>
      </c>
      <c r="J350">
        <v>0.210042023871927</v>
      </c>
      <c r="K350">
        <v>20.7030332022204</v>
      </c>
      <c r="L350">
        <v>6.4158864527390698</v>
      </c>
      <c r="M350">
        <v>0.42208353319756597</v>
      </c>
      <c r="N350">
        <v>1788.7420686718399</v>
      </c>
      <c r="O350">
        <v>554.33258951665596</v>
      </c>
      <c r="P350">
        <v>36468.017268269701</v>
      </c>
      <c r="Q350">
        <v>3680.63629880283</v>
      </c>
      <c r="R350">
        <v>0.233522846083664</v>
      </c>
      <c r="S350">
        <v>859.51266389528098</v>
      </c>
    </row>
    <row r="351" spans="1:19" x14ac:dyDescent="0.75">
      <c r="A351" s="1">
        <v>45617</v>
      </c>
      <c r="B351">
        <v>5.3487898932066902E-2</v>
      </c>
      <c r="C351">
        <v>-5.0648315394263097</v>
      </c>
      <c r="D351">
        <v>3.8479323688137499</v>
      </c>
      <c r="E351" t="s">
        <v>20</v>
      </c>
      <c r="F351">
        <v>-5.0113436404942497</v>
      </c>
      <c r="G351">
        <v>2.7641666666666702</v>
      </c>
      <c r="H351">
        <v>66.67</v>
      </c>
      <c r="I351">
        <v>2.7749999999999999</v>
      </c>
      <c r="J351">
        <v>0.20790489838555501</v>
      </c>
      <c r="K351">
        <v>20.0951265201825</v>
      </c>
      <c r="L351">
        <v>6.0871203688506101</v>
      </c>
      <c r="M351">
        <v>0.419966714900464</v>
      </c>
      <c r="N351">
        <v>1736.21893134377</v>
      </c>
      <c r="O351">
        <v>525.92719986869304</v>
      </c>
      <c r="P351">
        <v>36285.124167400099</v>
      </c>
      <c r="Q351">
        <v>6600.8402650305197</v>
      </c>
      <c r="R351">
        <v>0.230150091586039</v>
      </c>
      <c r="S351">
        <v>1519.1839915415901</v>
      </c>
    </row>
    <row r="352" spans="1:19" x14ac:dyDescent="0.75">
      <c r="A352" s="1">
        <v>45618</v>
      </c>
      <c r="B352">
        <v>3.8812449868268602E-2</v>
      </c>
      <c r="C352">
        <v>-2.10397759081724</v>
      </c>
      <c r="D352">
        <v>2.1242203624786802</v>
      </c>
      <c r="E352" t="s">
        <v>20</v>
      </c>
      <c r="F352">
        <v>-2.0651651409489702</v>
      </c>
      <c r="G352">
        <v>3.5437500000000002</v>
      </c>
      <c r="H352">
        <v>54.86</v>
      </c>
      <c r="I352">
        <v>3.58388888888889</v>
      </c>
      <c r="J352">
        <v>0.18724196474367</v>
      </c>
      <c r="K352">
        <v>15.150771774911</v>
      </c>
      <c r="L352">
        <v>5.7851792335531096</v>
      </c>
      <c r="M352">
        <v>0.39847417800317497</v>
      </c>
      <c r="N352">
        <v>1309.0266813523101</v>
      </c>
      <c r="O352">
        <v>499.839485778989</v>
      </c>
      <c r="P352">
        <v>34428.1689794743</v>
      </c>
      <c r="Q352">
        <v>11345.206321961299</v>
      </c>
      <c r="R352">
        <v>0.20306327361367801</v>
      </c>
      <c r="S352">
        <v>2303.79473556005</v>
      </c>
    </row>
    <row r="353" spans="1:19" x14ac:dyDescent="0.75">
      <c r="A353" s="1">
        <v>45619</v>
      </c>
      <c r="B353">
        <v>3.2589772180888599E-2</v>
      </c>
      <c r="C353">
        <v>-4.13924163897497</v>
      </c>
      <c r="D353">
        <v>4.6653565383710003</v>
      </c>
      <c r="E353" t="s">
        <v>20</v>
      </c>
      <c r="F353">
        <v>-4.1066518667940803</v>
      </c>
      <c r="G353">
        <v>4.0858333333333299</v>
      </c>
      <c r="H353">
        <v>47.98</v>
      </c>
      <c r="I353">
        <v>4.1416666666666702</v>
      </c>
      <c r="J353">
        <v>0.16275812248594199</v>
      </c>
      <c r="K353">
        <v>9.8572801615745007</v>
      </c>
      <c r="L353">
        <v>5.5082906803152198</v>
      </c>
      <c r="M353">
        <v>0.37232604055816299</v>
      </c>
      <c r="N353">
        <v>851.669005960037</v>
      </c>
      <c r="O353">
        <v>475.91631477923499</v>
      </c>
      <c r="P353">
        <v>32168.969904225301</v>
      </c>
      <c r="Q353">
        <v>4826.7005421241302</v>
      </c>
      <c r="R353">
        <v>0.16266383865682599</v>
      </c>
      <c r="S353">
        <v>785.12963822889606</v>
      </c>
    </row>
    <row r="354" spans="1:19" x14ac:dyDescent="0.75">
      <c r="A354" s="1">
        <v>45620</v>
      </c>
      <c r="B354">
        <v>2.3482568494553799E-2</v>
      </c>
      <c r="C354">
        <v>-2.5123084599171799</v>
      </c>
      <c r="D354">
        <v>3.1353836424568899</v>
      </c>
      <c r="E354" t="s">
        <v>20</v>
      </c>
      <c r="F354">
        <v>-2.48882589142262</v>
      </c>
      <c r="G354">
        <v>4.3670833333333299</v>
      </c>
      <c r="H354">
        <v>50</v>
      </c>
      <c r="I354">
        <v>4.5136842105263204</v>
      </c>
      <c r="J354">
        <v>0.16006910195638599</v>
      </c>
      <c r="K354">
        <v>9.3904528083303909</v>
      </c>
      <c r="L354">
        <v>5.2568111859014399</v>
      </c>
      <c r="M354">
        <v>0.36928860793631801</v>
      </c>
      <c r="N354">
        <v>811.33512263974603</v>
      </c>
      <c r="O354">
        <v>454.188486461884</v>
      </c>
      <c r="P354">
        <v>31906.535725697799</v>
      </c>
      <c r="Q354">
        <v>7123.3946320161003</v>
      </c>
      <c r="R354">
        <v>0.15885947232046699</v>
      </c>
      <c r="S354">
        <v>1131.6187123725199</v>
      </c>
    </row>
    <row r="355" spans="1:19" x14ac:dyDescent="0.75">
      <c r="A355" s="1">
        <v>45621</v>
      </c>
      <c r="B355">
        <v>3.29020908889847E-2</v>
      </c>
      <c r="C355">
        <v>-2.9967155055845098</v>
      </c>
      <c r="D355">
        <v>3.4767718254212401</v>
      </c>
      <c r="E355" t="s">
        <v>20</v>
      </c>
      <c r="F355">
        <v>-2.9638134146955202</v>
      </c>
      <c r="G355">
        <v>4.53541666666667</v>
      </c>
      <c r="H355">
        <v>51.4</v>
      </c>
      <c r="I355">
        <v>4.4921052631579004</v>
      </c>
      <c r="J355">
        <v>0.156869284950691</v>
      </c>
      <c r="K355">
        <v>8.8579100107110502</v>
      </c>
      <c r="L355">
        <v>5.0314297958332199</v>
      </c>
      <c r="M355">
        <v>0.36563326489042902</v>
      </c>
      <c r="N355">
        <v>765.32342492543501</v>
      </c>
      <c r="O355">
        <v>434.71553435999101</v>
      </c>
      <c r="P355">
        <v>31590.714086533098</v>
      </c>
      <c r="Q355">
        <v>6360.3540787132097</v>
      </c>
      <c r="R355">
        <v>0.154435680640996</v>
      </c>
      <c r="S355">
        <v>982.26561126381102</v>
      </c>
    </row>
    <row r="356" spans="1:19" x14ac:dyDescent="0.75">
      <c r="A356" s="1">
        <v>45624</v>
      </c>
      <c r="B356">
        <v>2.78735478674608E-2</v>
      </c>
      <c r="C356">
        <v>-0.17797250970869599</v>
      </c>
      <c r="D356">
        <v>3.8285183251751498</v>
      </c>
      <c r="E356" t="s">
        <v>20</v>
      </c>
      <c r="F356">
        <v>-0.150098961841235</v>
      </c>
      <c r="G356">
        <v>9.2774999999999999</v>
      </c>
      <c r="H356">
        <v>63.03</v>
      </c>
      <c r="I356">
        <v>9.4121052631578905</v>
      </c>
      <c r="J356">
        <v>0.14480098429893901</v>
      </c>
      <c r="K356">
        <v>7.0204878452917496</v>
      </c>
      <c r="L356">
        <v>4.49885499023764</v>
      </c>
      <c r="M356">
        <v>0.351510684673909</v>
      </c>
      <c r="N356">
        <v>606.57014983320698</v>
      </c>
      <c r="O356">
        <v>388.70107115653201</v>
      </c>
      <c r="P356">
        <v>30370.5231558257</v>
      </c>
      <c r="Q356">
        <v>5552.8965525077901</v>
      </c>
      <c r="R356">
        <v>0.137929527094583</v>
      </c>
      <c r="S356">
        <v>765.90839549254099</v>
      </c>
    </row>
    <row r="357" spans="1:19" x14ac:dyDescent="0.75">
      <c r="A357" s="1">
        <v>45636</v>
      </c>
      <c r="B357">
        <v>0.25839148375295301</v>
      </c>
      <c r="C357">
        <v>-5.3048814459167204</v>
      </c>
      <c r="D357">
        <v>6.6640809595812502</v>
      </c>
      <c r="E357" t="s">
        <v>20</v>
      </c>
      <c r="F357">
        <v>-5.0464899621637702</v>
      </c>
      <c r="G357">
        <v>3.61375</v>
      </c>
      <c r="H357">
        <v>61.05</v>
      </c>
      <c r="I357">
        <v>3.5594736842105301</v>
      </c>
      <c r="J357">
        <v>0.12328882006248899</v>
      </c>
      <c r="K357">
        <v>4.3921889064458197</v>
      </c>
      <c r="L357">
        <v>3.8180778020329198</v>
      </c>
      <c r="M357">
        <v>0.32479323843131103</v>
      </c>
      <c r="N357">
        <v>379.48512151691898</v>
      </c>
      <c r="O357">
        <v>329.88192209564397</v>
      </c>
      <c r="P357">
        <v>28062.135800465301</v>
      </c>
      <c r="Q357">
        <v>2947.6675297714301</v>
      </c>
      <c r="R357">
        <v>0.109685781783754</v>
      </c>
      <c r="S357">
        <v>323.31721744156602</v>
      </c>
    </row>
    <row r="358" spans="1:19" x14ac:dyDescent="0.75">
      <c r="A358" s="1">
        <v>45637</v>
      </c>
      <c r="B358">
        <v>6.3856144349725405E-2</v>
      </c>
      <c r="C358">
        <v>-3.28636707619324</v>
      </c>
      <c r="D358">
        <v>3.2392583869327498</v>
      </c>
      <c r="E358" t="s">
        <v>20</v>
      </c>
      <c r="F358">
        <v>-3.2225109318435101</v>
      </c>
      <c r="G358">
        <v>3.2558333333333298</v>
      </c>
      <c r="H358">
        <v>62.89</v>
      </c>
      <c r="I358">
        <v>3.1994736842105298</v>
      </c>
      <c r="J358">
        <v>0.15261558326147001</v>
      </c>
      <c r="K358">
        <v>8.5085582831481492</v>
      </c>
      <c r="L358">
        <v>3.7981853331144202</v>
      </c>
      <c r="M358">
        <v>0.36005898985660001</v>
      </c>
      <c r="N358">
        <v>735.13943566399996</v>
      </c>
      <c r="O358">
        <v>328.16321278108597</v>
      </c>
      <c r="P358">
        <v>31109.096723610201</v>
      </c>
      <c r="Q358">
        <v>6722.6399086820402</v>
      </c>
      <c r="R358">
        <v>0.15484009837260401</v>
      </c>
      <c r="S358">
        <v>1040.9342247839199</v>
      </c>
    </row>
    <row r="359" spans="1:19" x14ac:dyDescent="0.75">
      <c r="A359" s="1">
        <v>45638</v>
      </c>
      <c r="B359">
        <v>0.15329463342202901</v>
      </c>
      <c r="C359">
        <v>-6.6733276864398396</v>
      </c>
      <c r="D359">
        <v>7.3845883506255401</v>
      </c>
      <c r="E359" t="s">
        <v>20</v>
      </c>
      <c r="F359">
        <v>-6.5200330530178103</v>
      </c>
      <c r="G359">
        <v>3.57833333333333</v>
      </c>
      <c r="H359">
        <v>58.24</v>
      </c>
      <c r="I359">
        <v>3.5284210526315798</v>
      </c>
      <c r="J359">
        <v>0.15157050541373801</v>
      </c>
      <c r="K359">
        <v>8.0234833333248208</v>
      </c>
      <c r="L359">
        <v>3.7796059142718401</v>
      </c>
      <c r="M359">
        <v>0.35948987551464701</v>
      </c>
      <c r="N359">
        <v>693.22895999926504</v>
      </c>
      <c r="O359">
        <v>326.55795099308699</v>
      </c>
      <c r="P359">
        <v>31059.925244465499</v>
      </c>
      <c r="Q359">
        <v>2944.2328588680398</v>
      </c>
      <c r="R359">
        <v>0.147252132315349</v>
      </c>
      <c r="S359">
        <v>433.54456650123399</v>
      </c>
    </row>
    <row r="360" spans="1:19" x14ac:dyDescent="0.75">
      <c r="A360" s="1">
        <v>45661</v>
      </c>
      <c r="B360">
        <v>0.34824518882865502</v>
      </c>
      <c r="C360">
        <v>-5.41191953592649</v>
      </c>
      <c r="D360">
        <v>7.3738443934128304</v>
      </c>
      <c r="E360" t="s">
        <v>20</v>
      </c>
      <c r="F360">
        <v>-5.0636743470978303</v>
      </c>
      <c r="G360">
        <v>3.8691666666666702</v>
      </c>
      <c r="H360">
        <v>56.19</v>
      </c>
      <c r="I360">
        <v>3.7694736842105301</v>
      </c>
      <c r="J360">
        <v>0.12068199666702401</v>
      </c>
      <c r="K360">
        <v>4.1273478273065898</v>
      </c>
      <c r="L360">
        <v>3.0902755309466201</v>
      </c>
      <c r="M360">
        <v>0.32139756789996099</v>
      </c>
      <c r="N360">
        <v>356.60285227928898</v>
      </c>
      <c r="O360">
        <v>266.99980587378798</v>
      </c>
      <c r="P360">
        <v>27768.7498665567</v>
      </c>
      <c r="Q360">
        <v>2636.0910089117201</v>
      </c>
      <c r="R360">
        <v>0.106410870786249</v>
      </c>
      <c r="S360">
        <v>280.50873973009698</v>
      </c>
    </row>
    <row r="361" spans="1:19" x14ac:dyDescent="0.75">
      <c r="A361" s="1">
        <v>45662</v>
      </c>
      <c r="B361">
        <v>0.42441197849844903</v>
      </c>
      <c r="C361">
        <v>-5.5989121671780504</v>
      </c>
      <c r="D361">
        <v>7.5935026805198502</v>
      </c>
      <c r="E361" t="s">
        <v>20</v>
      </c>
      <c r="F361">
        <v>-5.1745001886796</v>
      </c>
      <c r="G361">
        <v>3.95333333333333</v>
      </c>
      <c r="H361">
        <v>54.28</v>
      </c>
      <c r="I361">
        <v>3.8547368421052601</v>
      </c>
      <c r="J361">
        <v>0.117267879990306</v>
      </c>
      <c r="K361">
        <v>3.79596857920883</v>
      </c>
      <c r="L361">
        <v>3.0652226000930001</v>
      </c>
      <c r="M361">
        <v>0.31689595065822401</v>
      </c>
      <c r="N361">
        <v>327.97168524364298</v>
      </c>
      <c r="O361">
        <v>264.83523264803603</v>
      </c>
      <c r="P361">
        <v>27379.810136870499</v>
      </c>
      <c r="Q361">
        <v>2523.98239681628</v>
      </c>
      <c r="R361">
        <v>0.10214728909236399</v>
      </c>
      <c r="S361">
        <v>257.81795955163102</v>
      </c>
    </row>
    <row r="362" spans="1:19" x14ac:dyDescent="0.75">
      <c r="A362" s="1">
        <v>45663</v>
      </c>
      <c r="B362">
        <v>0.35891163969316298</v>
      </c>
      <c r="C362">
        <v>-5.1221399509359902</v>
      </c>
      <c r="D362">
        <v>6.6656459580186898</v>
      </c>
      <c r="E362" t="s">
        <v>20</v>
      </c>
      <c r="F362">
        <v>-4.7632283112428304</v>
      </c>
      <c r="G362">
        <v>3.6587499999999999</v>
      </c>
      <c r="H362">
        <v>56.95</v>
      </c>
      <c r="I362">
        <v>3.5647368421052601</v>
      </c>
      <c r="J362">
        <v>0.11881201186644801</v>
      </c>
      <c r="K362">
        <v>3.9543936654294298</v>
      </c>
      <c r="L362">
        <v>3.0412581365456202</v>
      </c>
      <c r="M362">
        <v>0.31890102199987902</v>
      </c>
      <c r="N362">
        <v>341.65961269310299</v>
      </c>
      <c r="O362">
        <v>262.76470299754197</v>
      </c>
      <c r="P362">
        <v>27553.0483007896</v>
      </c>
      <c r="Q362">
        <v>2893.51308665749</v>
      </c>
      <c r="R362">
        <v>0.104367105928513</v>
      </c>
      <c r="S362">
        <v>301.98758682072003</v>
      </c>
    </row>
    <row r="363" spans="1:19" x14ac:dyDescent="0.75">
      <c r="A363" s="1">
        <v>45664</v>
      </c>
      <c r="B363">
        <v>0.41097480580727602</v>
      </c>
      <c r="C363">
        <v>-4.6412868648400698</v>
      </c>
      <c r="D363">
        <v>6.4292215975958804</v>
      </c>
      <c r="E363" t="s">
        <v>20</v>
      </c>
      <c r="F363">
        <v>-4.2303120590327898</v>
      </c>
      <c r="G363">
        <v>4.1124999999999998</v>
      </c>
      <c r="H363">
        <v>57.09</v>
      </c>
      <c r="I363">
        <v>3.99684210526316</v>
      </c>
      <c r="J363">
        <v>0.12064383371191</v>
      </c>
      <c r="K363">
        <v>4.1235728059125698</v>
      </c>
      <c r="L363">
        <v>3.0190255012807898</v>
      </c>
      <c r="M363">
        <v>0.32134749704815102</v>
      </c>
      <c r="N363">
        <v>356.27669043084597</v>
      </c>
      <c r="O363">
        <v>260.84380331066001</v>
      </c>
      <c r="P363">
        <v>27764.423744960299</v>
      </c>
      <c r="Q363">
        <v>3022.93152078312</v>
      </c>
      <c r="R363">
        <v>0.106363743966732</v>
      </c>
      <c r="S363">
        <v>321.53031430553898</v>
      </c>
    </row>
    <row r="364" spans="1:19" x14ac:dyDescent="0.75">
      <c r="A364" s="1">
        <v>45665</v>
      </c>
      <c r="B364">
        <v>0.51044638932845998</v>
      </c>
      <c r="C364">
        <v>-5.4973082818658803</v>
      </c>
      <c r="D364">
        <v>7.7844972185453596</v>
      </c>
      <c r="E364" t="s">
        <v>20</v>
      </c>
      <c r="F364">
        <v>-4.9868618925374202</v>
      </c>
      <c r="G364">
        <v>4.4012500000000001</v>
      </c>
      <c r="H364">
        <v>52.02</v>
      </c>
      <c r="I364">
        <v>4.2578947368420996</v>
      </c>
      <c r="J364">
        <v>0.11902044031360801</v>
      </c>
      <c r="K364">
        <v>3.9633626978108101</v>
      </c>
      <c r="L364">
        <v>3.0016220458998899</v>
      </c>
      <c r="M364">
        <v>0.31921653122166499</v>
      </c>
      <c r="N364">
        <v>342.43453709085401</v>
      </c>
      <c r="O364">
        <v>259.34014476575101</v>
      </c>
      <c r="P364">
        <v>27580.308297551899</v>
      </c>
      <c r="Q364">
        <v>2480.0851315473801</v>
      </c>
      <c r="R364">
        <v>0.104317432857215</v>
      </c>
      <c r="S364">
        <v>258.716114190371</v>
      </c>
    </row>
    <row r="365" spans="1:19" x14ac:dyDescent="0.75">
      <c r="A365" s="1">
        <v>45666</v>
      </c>
      <c r="B365">
        <v>0.44369382519482098</v>
      </c>
      <c r="C365">
        <v>-4.3848316362285402</v>
      </c>
      <c r="D365">
        <v>6.5248926172545501</v>
      </c>
      <c r="E365" t="s">
        <v>20</v>
      </c>
      <c r="F365">
        <v>-3.9411378110337201</v>
      </c>
      <c r="G365">
        <v>4.4495833333333303</v>
      </c>
      <c r="H365">
        <v>52.3</v>
      </c>
      <c r="I365">
        <v>4.3394736842105299</v>
      </c>
      <c r="J365">
        <v>0.116049601038597</v>
      </c>
      <c r="K365">
        <v>3.6827743871588599</v>
      </c>
      <c r="L365">
        <v>2.9926641254692301</v>
      </c>
      <c r="M365">
        <v>0.31527099385544599</v>
      </c>
      <c r="N365">
        <v>318.191707050525</v>
      </c>
      <c r="O365">
        <v>258.56618044054102</v>
      </c>
      <c r="P365">
        <v>27239.4138691105</v>
      </c>
      <c r="Q365">
        <v>2922.2840630288201</v>
      </c>
      <c r="R365">
        <v>0.100657802867297</v>
      </c>
      <c r="S365">
        <v>294.15069313859902</v>
      </c>
    </row>
    <row r="366" spans="1:19" x14ac:dyDescent="0.75">
      <c r="A366" s="1">
        <v>45667</v>
      </c>
      <c r="B366">
        <v>0.51423361904549003</v>
      </c>
      <c r="C366">
        <v>-4.5651518280439198</v>
      </c>
      <c r="D366">
        <v>6.56631454973071</v>
      </c>
      <c r="E366" t="s">
        <v>20</v>
      </c>
      <c r="F366">
        <v>-4.0509182089984304</v>
      </c>
      <c r="G366">
        <v>4.5345833333333303</v>
      </c>
      <c r="H366">
        <v>50.5</v>
      </c>
      <c r="I366">
        <v>4.4031578947368404</v>
      </c>
      <c r="J366">
        <v>0.113031791972675</v>
      </c>
      <c r="K366">
        <v>3.4104629775440101</v>
      </c>
      <c r="L366">
        <v>2.9955190222131098</v>
      </c>
      <c r="M366">
        <v>0.31121401408111099</v>
      </c>
      <c r="N366">
        <v>294.66400125980198</v>
      </c>
      <c r="O366">
        <v>258.81284351921198</v>
      </c>
      <c r="P366">
        <v>26888.890816608</v>
      </c>
      <c r="Q366">
        <v>2866.4821688137899</v>
      </c>
      <c r="R366">
        <v>9.69512876187551E-2</v>
      </c>
      <c r="S366">
        <v>277.90913720269799</v>
      </c>
    </row>
    <row r="367" spans="1:19" x14ac:dyDescent="0.75">
      <c r="A367" s="1">
        <v>45668</v>
      </c>
      <c r="B367">
        <v>0.29550541662254598</v>
      </c>
      <c r="C367">
        <v>-3.4588966840020698</v>
      </c>
      <c r="D367">
        <v>4.6760814028049102</v>
      </c>
      <c r="E367" t="s">
        <v>20</v>
      </c>
      <c r="F367">
        <v>-3.1633912673795201</v>
      </c>
      <c r="G367">
        <v>4.165</v>
      </c>
      <c r="H367">
        <v>58.46</v>
      </c>
      <c r="I367">
        <v>4.1610526315789498</v>
      </c>
      <c r="J367">
        <v>0.12361173737499</v>
      </c>
      <c r="K367">
        <v>4.4307307107178797</v>
      </c>
      <c r="L367">
        <v>3.0155295398466202</v>
      </c>
      <c r="M367">
        <v>0.32519479615402602</v>
      </c>
      <c r="N367">
        <v>382.81513340602498</v>
      </c>
      <c r="O367">
        <v>260.54175224274798</v>
      </c>
      <c r="P367">
        <v>28096.830387707902</v>
      </c>
      <c r="Q367">
        <v>4206.03911206463</v>
      </c>
      <c r="R367">
        <v>0.11022295694413201</v>
      </c>
      <c r="S367">
        <v>463.60206795443401</v>
      </c>
    </row>
    <row r="368" spans="1:19" x14ac:dyDescent="0.75">
      <c r="A368" s="1">
        <v>45669</v>
      </c>
      <c r="B368">
        <v>0.51424125763292405</v>
      </c>
      <c r="C368">
        <v>-4.43700057035407</v>
      </c>
      <c r="D368">
        <v>6.5094954303361998</v>
      </c>
      <c r="E368" t="s">
        <v>20</v>
      </c>
      <c r="F368">
        <v>-3.9227593127211402</v>
      </c>
      <c r="G368">
        <v>4.6720833333333296</v>
      </c>
      <c r="H368">
        <v>52.52</v>
      </c>
      <c r="I368">
        <v>4.5515789473684203</v>
      </c>
      <c r="J368">
        <v>0.116645530260758</v>
      </c>
      <c r="K368">
        <v>3.7381194729250402</v>
      </c>
      <c r="L368">
        <v>3.0579122896100901</v>
      </c>
      <c r="M368">
        <v>0.31606599100690203</v>
      </c>
      <c r="N368">
        <v>322.97352246072302</v>
      </c>
      <c r="O368">
        <v>264.20362182231202</v>
      </c>
      <c r="P368">
        <v>27308.101622996299</v>
      </c>
      <c r="Q368">
        <v>2936.5826185256501</v>
      </c>
      <c r="R368">
        <v>0.101392844734378</v>
      </c>
      <c r="S368">
        <v>297.748465489843</v>
      </c>
    </row>
    <row r="369" spans="1:19" x14ac:dyDescent="0.75">
      <c r="A369" s="1">
        <v>45670</v>
      </c>
      <c r="B369">
        <v>0.351186654094998</v>
      </c>
      <c r="C369">
        <v>-3.6340994095580399</v>
      </c>
      <c r="D369">
        <v>5.1428966957964803</v>
      </c>
      <c r="E369" t="s">
        <v>20</v>
      </c>
      <c r="F369">
        <v>-3.2829127554630402</v>
      </c>
      <c r="G369">
        <v>4.4275000000000002</v>
      </c>
      <c r="H369">
        <v>54.18</v>
      </c>
      <c r="I369">
        <v>4.4184210526315804</v>
      </c>
      <c r="J369">
        <v>0.117297236109624</v>
      </c>
      <c r="K369">
        <v>3.8225147170671998</v>
      </c>
      <c r="L369">
        <v>3.1266890876488498</v>
      </c>
      <c r="M369">
        <v>0.31684864385373301</v>
      </c>
      <c r="N369">
        <v>330.26527155460599</v>
      </c>
      <c r="O369">
        <v>270.14593717286101</v>
      </c>
      <c r="P369">
        <v>27375.722828962502</v>
      </c>
      <c r="Q369">
        <v>3726.11139475862</v>
      </c>
      <c r="R369">
        <v>0.102851240617041</v>
      </c>
      <c r="S369">
        <v>383.235179628217</v>
      </c>
    </row>
    <row r="370" spans="1:19" x14ac:dyDescent="0.75">
      <c r="A370" s="1">
        <v>45671</v>
      </c>
      <c r="B370">
        <v>0.44336930148072101</v>
      </c>
      <c r="C370">
        <v>-4.4068837841491399</v>
      </c>
      <c r="D370">
        <v>6.2361184886859897</v>
      </c>
      <c r="E370" t="s">
        <v>20</v>
      </c>
      <c r="F370">
        <v>-3.9635144826684199</v>
      </c>
      <c r="G370">
        <v>4.47291666666667</v>
      </c>
      <c r="H370">
        <v>54.86</v>
      </c>
      <c r="I370">
        <v>4.3747368421052597</v>
      </c>
      <c r="J370">
        <v>0.12226429149828</v>
      </c>
      <c r="K370">
        <v>4.2916147918302503</v>
      </c>
      <c r="L370">
        <v>3.22494691973555</v>
      </c>
      <c r="M370">
        <v>0.32344699119553399</v>
      </c>
      <c r="N370">
        <v>370.79551801413402</v>
      </c>
      <c r="O370">
        <v>278.63541386515101</v>
      </c>
      <c r="P370">
        <v>27945.8200392941</v>
      </c>
      <c r="Q370">
        <v>3136.8990282973</v>
      </c>
      <c r="R370">
        <v>0.10852204833711</v>
      </c>
      <c r="S370">
        <v>340.42270797751399</v>
      </c>
    </row>
    <row r="371" spans="1:19" x14ac:dyDescent="0.75">
      <c r="A371" s="1">
        <v>45672</v>
      </c>
      <c r="B371">
        <v>0.51971188964470105</v>
      </c>
      <c r="C371">
        <v>-4.1676218049241198</v>
      </c>
      <c r="D371">
        <v>6.2563406064504097</v>
      </c>
      <c r="E371" t="s">
        <v>20</v>
      </c>
      <c r="F371">
        <v>-3.6479099152794201</v>
      </c>
      <c r="G371">
        <v>4.7483333333333304</v>
      </c>
      <c r="H371">
        <v>53.89</v>
      </c>
      <c r="I371">
        <v>4.6084210526315799</v>
      </c>
      <c r="J371">
        <v>0.116710113723258</v>
      </c>
      <c r="K371">
        <v>3.7444172100009099</v>
      </c>
      <c r="L371">
        <v>3.3565607194762501</v>
      </c>
      <c r="M371">
        <v>0.31615097854660701</v>
      </c>
      <c r="N371">
        <v>323.51764694407899</v>
      </c>
      <c r="O371">
        <v>290.00684616274799</v>
      </c>
      <c r="P371">
        <v>27315.444546426901</v>
      </c>
      <c r="Q371">
        <v>3056.2292536926202</v>
      </c>
      <c r="R371">
        <v>0.10148017560171201</v>
      </c>
      <c r="S371">
        <v>310.146681343816</v>
      </c>
    </row>
    <row r="372" spans="1:19" x14ac:dyDescent="0.75">
      <c r="A372" s="1">
        <v>45673</v>
      </c>
      <c r="B372">
        <v>0.51621201334385003</v>
      </c>
      <c r="C372">
        <v>-4.6750046681188699</v>
      </c>
      <c r="D372">
        <v>7.1481352049002203</v>
      </c>
      <c r="E372" t="s">
        <v>20</v>
      </c>
      <c r="F372">
        <v>-4.15879265477502</v>
      </c>
      <c r="G372">
        <v>4.6929166666666697</v>
      </c>
      <c r="H372">
        <v>53.2</v>
      </c>
      <c r="I372">
        <v>4.5605263157894704</v>
      </c>
      <c r="J372">
        <v>0.11429410510336201</v>
      </c>
      <c r="K372">
        <v>3.5224261728927599</v>
      </c>
      <c r="L372">
        <v>3.5237305889632302</v>
      </c>
      <c r="M372">
        <v>0.31291870722444998</v>
      </c>
      <c r="N372">
        <v>304.33762133793402</v>
      </c>
      <c r="O372">
        <v>304.45032288642301</v>
      </c>
      <c r="P372">
        <v>27036.176304192501</v>
      </c>
      <c r="Q372">
        <v>2647.588898425</v>
      </c>
      <c r="R372">
        <v>9.8488730725999493E-2</v>
      </c>
      <c r="S372">
        <v>260.757670090126</v>
      </c>
    </row>
    <row r="373" spans="1:19" x14ac:dyDescent="0.75">
      <c r="A373" s="1">
        <v>45674</v>
      </c>
      <c r="B373">
        <v>0.57274015659810296</v>
      </c>
      <c r="C373">
        <v>-5.0011855042448197</v>
      </c>
      <c r="D373">
        <v>7.7451191386470501</v>
      </c>
      <c r="E373" t="s">
        <v>20</v>
      </c>
      <c r="F373">
        <v>-4.4284453476467203</v>
      </c>
      <c r="G373">
        <v>4.8020833333333304</v>
      </c>
      <c r="H373">
        <v>53.71</v>
      </c>
      <c r="I373">
        <v>4.6468421052631603</v>
      </c>
      <c r="J373">
        <v>0.11336645173290399</v>
      </c>
      <c r="K373">
        <v>3.4427245830510098</v>
      </c>
      <c r="L373">
        <v>3.7259389386307999</v>
      </c>
      <c r="M373">
        <v>0.31165549860625003</v>
      </c>
      <c r="N373">
        <v>297.45140397560698</v>
      </c>
      <c r="O373">
        <v>321.921124297701</v>
      </c>
      <c r="P373">
        <v>26927.03507958</v>
      </c>
      <c r="Q373">
        <v>2433.6519836928701</v>
      </c>
      <c r="R373">
        <v>9.7441269436942299E-2</v>
      </c>
      <c r="S373">
        <v>237.138138658766</v>
      </c>
    </row>
    <row r="374" spans="1:19" x14ac:dyDescent="0.75">
      <c r="A374" s="1">
        <v>45675</v>
      </c>
      <c r="B374">
        <v>0.64690994019294001</v>
      </c>
      <c r="C374">
        <v>-3.5340693829018899</v>
      </c>
      <c r="D374">
        <v>4.6574703299935001</v>
      </c>
      <c r="E374" t="s">
        <v>20</v>
      </c>
      <c r="F374">
        <v>-2.88715944270895</v>
      </c>
      <c r="G374">
        <v>4.6275000000000004</v>
      </c>
      <c r="H374">
        <v>54.36</v>
      </c>
      <c r="I374">
        <v>4.46315789473684</v>
      </c>
      <c r="J374">
        <v>0.113627721194836</v>
      </c>
      <c r="K374">
        <v>3.5686383876941998</v>
      </c>
      <c r="L374">
        <v>3.96387178743782</v>
      </c>
      <c r="M374">
        <v>0.31168563340177302</v>
      </c>
      <c r="N374">
        <v>308.33035669677901</v>
      </c>
      <c r="O374">
        <v>342.47852243462802</v>
      </c>
      <c r="P374">
        <v>26929.638725913199</v>
      </c>
      <c r="Q374">
        <v>4047.42183471205</v>
      </c>
      <c r="R374">
        <v>0.10076308630464</v>
      </c>
      <c r="S374">
        <v>407.83071564237503</v>
      </c>
    </row>
    <row r="375" spans="1:19" x14ac:dyDescent="0.75">
      <c r="A375" s="1">
        <v>45677</v>
      </c>
      <c r="B375">
        <v>0.37821358159060398</v>
      </c>
      <c r="C375">
        <v>-7.9778882703807001</v>
      </c>
      <c r="D375">
        <v>3.25640145203189</v>
      </c>
      <c r="E375" t="s">
        <v>20</v>
      </c>
      <c r="F375">
        <v>-7.5996746887900999</v>
      </c>
      <c r="G375">
        <v>3.4829166666666702</v>
      </c>
      <c r="H375">
        <v>57.2</v>
      </c>
      <c r="I375">
        <v>3.4294736842105298</v>
      </c>
      <c r="J375">
        <v>0.39487108671186999</v>
      </c>
      <c r="K375">
        <v>130.051240448806</v>
      </c>
      <c r="L375">
        <v>4.5481659082860704</v>
      </c>
      <c r="M375">
        <v>0.57571775380553003</v>
      </c>
      <c r="N375">
        <v>11236.4271747769</v>
      </c>
      <c r="O375">
        <v>392.96153447591598</v>
      </c>
      <c r="P375">
        <v>49742.013928797802</v>
      </c>
      <c r="Q375">
        <v>10692.6035573508</v>
      </c>
      <c r="R375">
        <v>0.57207048501178703</v>
      </c>
      <c r="S375">
        <v>6116.9229030924198</v>
      </c>
    </row>
    <row r="376" spans="1:19" x14ac:dyDescent="0.75">
      <c r="A376" s="1">
        <v>45678</v>
      </c>
      <c r="B376">
        <v>0.22718776408684599</v>
      </c>
      <c r="C376">
        <v>-5.1755045858549797</v>
      </c>
      <c r="D376">
        <v>2.8310604204719301</v>
      </c>
      <c r="E376" t="s">
        <v>20</v>
      </c>
      <c r="F376">
        <v>-4.9483168217681399</v>
      </c>
      <c r="G376">
        <v>3.9895833333333299</v>
      </c>
      <c r="H376">
        <v>51.91</v>
      </c>
      <c r="I376">
        <v>4.0147368421052603</v>
      </c>
      <c r="J376">
        <v>0.37087539478109299</v>
      </c>
      <c r="K376">
        <v>108.546234221676</v>
      </c>
      <c r="L376">
        <v>4.8931327010268797</v>
      </c>
      <c r="M376">
        <v>0.55819706036724004</v>
      </c>
      <c r="N376">
        <v>9378.3946367528406</v>
      </c>
      <c r="O376">
        <v>422.76666536872199</v>
      </c>
      <c r="P376">
        <v>48228.226015729502</v>
      </c>
      <c r="Q376">
        <v>11924.774888902901</v>
      </c>
      <c r="R376">
        <v>0.52432334475440201</v>
      </c>
      <c r="S376">
        <v>6252.4378551928903</v>
      </c>
    </row>
    <row r="377" spans="1:19" x14ac:dyDescent="0.75">
      <c r="A377" s="1">
        <v>45679</v>
      </c>
      <c r="B377">
        <v>0.29729324705702698</v>
      </c>
      <c r="C377">
        <v>-8.0122473016400502</v>
      </c>
      <c r="D377">
        <v>2.9533634981766501</v>
      </c>
      <c r="E377" t="s">
        <v>20</v>
      </c>
      <c r="F377">
        <v>-7.7149540545830204</v>
      </c>
      <c r="G377">
        <v>5.2625000000000002</v>
      </c>
      <c r="H377">
        <v>49.53</v>
      </c>
      <c r="I377">
        <v>5.32944444444444</v>
      </c>
      <c r="J377">
        <v>0.469142068587168</v>
      </c>
      <c r="K377">
        <v>215.42960130288199</v>
      </c>
      <c r="L377">
        <v>5.2719726653344097</v>
      </c>
      <c r="M377">
        <v>0.62654580403072901</v>
      </c>
      <c r="N377">
        <v>18613.117552569001</v>
      </c>
      <c r="O377">
        <v>455.49843828489298</v>
      </c>
      <c r="P377">
        <v>54133.557468255</v>
      </c>
      <c r="Q377">
        <v>12830.621849011601</v>
      </c>
      <c r="R377">
        <v>0.73290582496480305</v>
      </c>
      <c r="S377">
        <v>9403.6374910612503</v>
      </c>
    </row>
    <row r="378" spans="1:19" x14ac:dyDescent="0.75">
      <c r="A378" s="1">
        <v>45680</v>
      </c>
      <c r="B378">
        <v>0.451670944914143</v>
      </c>
      <c r="C378">
        <v>-8.4169711075277895</v>
      </c>
      <c r="D378">
        <v>3.2197207698774202</v>
      </c>
      <c r="E378" t="s">
        <v>20</v>
      </c>
      <c r="F378">
        <v>-7.9653001626136497</v>
      </c>
      <c r="G378">
        <v>4.5750000000000002</v>
      </c>
      <c r="H378">
        <v>46.62</v>
      </c>
      <c r="I378">
        <v>4.5344444444444401</v>
      </c>
      <c r="J378">
        <v>0.45932831789905998</v>
      </c>
      <c r="K378">
        <v>201.869173524015</v>
      </c>
      <c r="L378">
        <v>5.6836525071482802</v>
      </c>
      <c r="M378">
        <v>0.62017038508270494</v>
      </c>
      <c r="N378">
        <v>17441.496592474901</v>
      </c>
      <c r="O378">
        <v>491.067576617611</v>
      </c>
      <c r="P378">
        <v>53582.721271145703</v>
      </c>
      <c r="Q378">
        <v>11649.4278760794</v>
      </c>
      <c r="R378">
        <v>0.70865647657600805</v>
      </c>
      <c r="S378">
        <v>8255.4425127887898</v>
      </c>
    </row>
    <row r="379" spans="1:19" x14ac:dyDescent="0.75">
      <c r="A379" s="1">
        <v>45681</v>
      </c>
      <c r="B379">
        <v>0.377241911232787</v>
      </c>
      <c r="C379">
        <v>-8.2169769829592791</v>
      </c>
      <c r="D379">
        <v>3.2818890867279098</v>
      </c>
      <c r="E379" t="s">
        <v>20</v>
      </c>
      <c r="F379">
        <v>-7.8397350717265004</v>
      </c>
      <c r="G379">
        <v>4.4195833333333301</v>
      </c>
      <c r="H379">
        <v>47.55</v>
      </c>
      <c r="I379">
        <v>4.3927777777777797</v>
      </c>
      <c r="J379">
        <v>0.43189796000804098</v>
      </c>
      <c r="K379">
        <v>168.86985933854999</v>
      </c>
      <c r="L379">
        <v>6.1270483206019799</v>
      </c>
      <c r="M379">
        <v>0.60165294513376699</v>
      </c>
      <c r="N379">
        <v>14590.3558468507</v>
      </c>
      <c r="O379">
        <v>529.37697490001096</v>
      </c>
      <c r="P379">
        <v>51982.8144595575</v>
      </c>
      <c r="Q379">
        <v>11087.5075787432</v>
      </c>
      <c r="R379">
        <v>0.64986768493222602</v>
      </c>
      <c r="S379">
        <v>7205.4128818663303</v>
      </c>
    </row>
    <row r="380" spans="1:19" x14ac:dyDescent="0.75">
      <c r="A380" s="1">
        <v>45682</v>
      </c>
      <c r="B380">
        <v>0.39510174553306499</v>
      </c>
      <c r="C380">
        <v>-8.0398233603600104</v>
      </c>
      <c r="D380">
        <v>3.32956623737789</v>
      </c>
      <c r="E380" t="s">
        <v>20</v>
      </c>
      <c r="F380">
        <v>-7.6447216148269499</v>
      </c>
      <c r="G380">
        <v>4.3741666666666701</v>
      </c>
      <c r="H380">
        <v>46.33</v>
      </c>
      <c r="I380">
        <v>4.3388888888888903</v>
      </c>
      <c r="J380">
        <v>0.411507199529551</v>
      </c>
      <c r="K380">
        <v>146.559363603322</v>
      </c>
      <c r="L380">
        <v>6.6011259052306404</v>
      </c>
      <c r="M380">
        <v>0.58753692355665099</v>
      </c>
      <c r="N380">
        <v>12662.729015327001</v>
      </c>
      <c r="O380">
        <v>570.33727821192701</v>
      </c>
      <c r="P380">
        <v>50763.190195294701</v>
      </c>
      <c r="Q380">
        <v>10672.3310495514</v>
      </c>
      <c r="R380">
        <v>0.60617911288839899</v>
      </c>
      <c r="S380">
        <v>6469.34416806841</v>
      </c>
    </row>
    <row r="381" spans="1:19" x14ac:dyDescent="0.75">
      <c r="A381" s="1">
        <v>45683</v>
      </c>
      <c r="B381">
        <v>0.41925854596277201</v>
      </c>
      <c r="C381">
        <v>-7.9397738069786001</v>
      </c>
      <c r="D381">
        <v>3.23251792031401</v>
      </c>
      <c r="E381" t="s">
        <v>20</v>
      </c>
      <c r="F381">
        <v>-7.5205152610158201</v>
      </c>
      <c r="G381">
        <v>4.2429166666666696</v>
      </c>
      <c r="H381">
        <v>47.12</v>
      </c>
      <c r="I381">
        <v>4.21055555555556</v>
      </c>
      <c r="J381">
        <v>0.40122081532041898</v>
      </c>
      <c r="K381">
        <v>136.13110047791</v>
      </c>
      <c r="L381">
        <v>7.10486514190268</v>
      </c>
      <c r="M381">
        <v>0.58027149797467004</v>
      </c>
      <c r="N381">
        <v>11761.727081291399</v>
      </c>
      <c r="O381">
        <v>613.86034826039099</v>
      </c>
      <c r="P381">
        <v>50135.457425011497</v>
      </c>
      <c r="Q381">
        <v>10856.8060758342</v>
      </c>
      <c r="R381">
        <v>0.58471287928730298</v>
      </c>
      <c r="S381">
        <v>6348.1143404649001</v>
      </c>
    </row>
    <row r="382" spans="1:19" x14ac:dyDescent="0.75">
      <c r="A382" s="1">
        <v>45684</v>
      </c>
      <c r="B382">
        <v>0.41892277880316398</v>
      </c>
      <c r="C382">
        <v>-7.8811364273806799</v>
      </c>
      <c r="D382">
        <v>3.2367159096801399</v>
      </c>
      <c r="E382" t="s">
        <v>20</v>
      </c>
      <c r="F382">
        <v>-7.4622136485775101</v>
      </c>
      <c r="G382">
        <v>4.0145833333333298</v>
      </c>
      <c r="H382">
        <v>49.21</v>
      </c>
      <c r="I382">
        <v>3.97611111111111</v>
      </c>
      <c r="J382">
        <v>0.39129596301150699</v>
      </c>
      <c r="K382">
        <v>126.741991039374</v>
      </c>
      <c r="L382">
        <v>7.63722619296255</v>
      </c>
      <c r="M382">
        <v>0.57313023545434705</v>
      </c>
      <c r="N382">
        <v>10950.508025801901</v>
      </c>
      <c r="O382">
        <v>659.85634307196403</v>
      </c>
      <c r="P382">
        <v>49518.452343255602</v>
      </c>
      <c r="Q382">
        <v>10709.286081182299</v>
      </c>
      <c r="R382">
        <v>0.56514753512705396</v>
      </c>
      <c r="S382">
        <v>6052.3266317506605</v>
      </c>
    </row>
    <row r="383" spans="1:19" x14ac:dyDescent="0.75">
      <c r="A383" s="1">
        <v>45685</v>
      </c>
      <c r="B383">
        <v>0.45373820970942602</v>
      </c>
      <c r="C383">
        <v>-7.86117925386338</v>
      </c>
      <c r="D383">
        <v>3.26076308464385</v>
      </c>
      <c r="E383" t="s">
        <v>20</v>
      </c>
      <c r="F383">
        <v>-7.4074410441539502</v>
      </c>
      <c r="G383">
        <v>3.7816666666666698</v>
      </c>
      <c r="H383">
        <v>51.4</v>
      </c>
      <c r="I383">
        <v>3.7566666666666699</v>
      </c>
      <c r="J383">
        <v>0.37739832449361899</v>
      </c>
      <c r="K383">
        <v>113.916772895701</v>
      </c>
      <c r="L383">
        <v>8.1972216494654901</v>
      </c>
      <c r="M383">
        <v>0.56306448985330704</v>
      </c>
      <c r="N383">
        <v>9842.4091781886109</v>
      </c>
      <c r="O383">
        <v>708.23995051381803</v>
      </c>
      <c r="P383">
        <v>48648.771923325701</v>
      </c>
      <c r="Q383">
        <v>10443.6107323165</v>
      </c>
      <c r="R383">
        <v>0.536079952846787</v>
      </c>
      <c r="S383">
        <v>5598.6103489304396</v>
      </c>
    </row>
    <row r="384" spans="1:19" x14ac:dyDescent="0.75">
      <c r="A384" s="1">
        <v>45686</v>
      </c>
      <c r="B384">
        <v>0.45358252422698703</v>
      </c>
      <c r="C384">
        <v>-7.77559042014704</v>
      </c>
      <c r="D384">
        <v>3.2598608607022799</v>
      </c>
      <c r="E384" t="s">
        <v>20</v>
      </c>
      <c r="F384">
        <v>-7.3220078959200503</v>
      </c>
      <c r="G384">
        <v>3.7691666666666701</v>
      </c>
      <c r="H384">
        <v>52.09</v>
      </c>
      <c r="I384">
        <v>3.7233333333333301</v>
      </c>
      <c r="J384">
        <v>0.37219054892655301</v>
      </c>
      <c r="K384">
        <v>109.41741089014</v>
      </c>
      <c r="L384">
        <v>8.7838701239566106</v>
      </c>
      <c r="M384">
        <v>0.55922642776286702</v>
      </c>
      <c r="N384">
        <v>9453.6643009080599</v>
      </c>
      <c r="O384">
        <v>758.92637870985197</v>
      </c>
      <c r="P384">
        <v>48317.163358711703</v>
      </c>
      <c r="Q384">
        <v>10375.2938534352</v>
      </c>
      <c r="R384">
        <v>0.52569446713718704</v>
      </c>
      <c r="S384">
        <v>5454.2345736733196</v>
      </c>
    </row>
    <row r="385" spans="1:19" x14ac:dyDescent="0.75">
      <c r="A385" s="1">
        <v>45687</v>
      </c>
      <c r="B385">
        <v>1.9389785894848399</v>
      </c>
      <c r="C385">
        <v>-8.6946870963159402</v>
      </c>
      <c r="D385">
        <v>3.1833147606377201</v>
      </c>
      <c r="E385" t="s">
        <v>20</v>
      </c>
      <c r="F385">
        <v>-6.7557085068311</v>
      </c>
      <c r="G385">
        <v>4.0795833333333302</v>
      </c>
      <c r="H385">
        <v>52.92</v>
      </c>
      <c r="I385">
        <v>3.62666666666667</v>
      </c>
      <c r="J385">
        <v>0.36619896497368798</v>
      </c>
      <c r="K385">
        <v>104.36653554510001</v>
      </c>
      <c r="L385">
        <v>9.3962185681030306</v>
      </c>
      <c r="M385">
        <v>0.55478160834282897</v>
      </c>
      <c r="N385">
        <v>9017.2686710966791</v>
      </c>
      <c r="O385">
        <v>811.83328428410198</v>
      </c>
      <c r="P385">
        <v>47933.130960820403</v>
      </c>
      <c r="Q385">
        <v>10540.331131393499</v>
      </c>
      <c r="R385">
        <v>0.51371482566545101</v>
      </c>
      <c r="S385">
        <v>5414.7243696199503</v>
      </c>
    </row>
    <row r="386" spans="1:19" x14ac:dyDescent="0.75">
      <c r="A386" s="1">
        <v>45688</v>
      </c>
      <c r="B386">
        <v>0.46761553162494401</v>
      </c>
      <c r="C386">
        <v>-8.0311463355250208</v>
      </c>
      <c r="D386">
        <v>3.35534990512773</v>
      </c>
      <c r="E386" t="s">
        <v>20</v>
      </c>
      <c r="F386">
        <v>-7.5635308039000702</v>
      </c>
      <c r="G386">
        <v>3.5550000000000002</v>
      </c>
      <c r="H386">
        <v>53.89</v>
      </c>
      <c r="I386">
        <v>3.4977777777777801</v>
      </c>
      <c r="J386">
        <v>0.35991088421570799</v>
      </c>
      <c r="K386">
        <v>99.236730202948195</v>
      </c>
      <c r="L386">
        <v>10.0332436701357</v>
      </c>
      <c r="M386">
        <v>0.55007598545440795</v>
      </c>
      <c r="N386">
        <v>8574.0534895347191</v>
      </c>
      <c r="O386">
        <v>866.87225309972496</v>
      </c>
      <c r="P386">
        <v>47526.565143260799</v>
      </c>
      <c r="Q386">
        <v>9915.0897941942494</v>
      </c>
      <c r="R386">
        <v>0.50125045525031198</v>
      </c>
      <c r="S386">
        <v>4969.9432731875904</v>
      </c>
    </row>
    <row r="387" spans="1:19" x14ac:dyDescent="0.75">
      <c r="A387" s="1">
        <v>45689</v>
      </c>
      <c r="B387">
        <v>0.44561644675314599</v>
      </c>
      <c r="C387">
        <v>-8.0188612611662293</v>
      </c>
      <c r="D387">
        <v>3.3867522674913499</v>
      </c>
      <c r="E387" t="s">
        <v>20</v>
      </c>
      <c r="F387">
        <v>-7.57324481441308</v>
      </c>
      <c r="G387">
        <v>3.3670833333333299</v>
      </c>
      <c r="H387">
        <v>56.91</v>
      </c>
      <c r="I387">
        <v>3.2777777777777799</v>
      </c>
      <c r="J387">
        <v>0.35260708172931499</v>
      </c>
      <c r="K387">
        <v>93.494477018349798</v>
      </c>
      <c r="L387">
        <v>10.693492540626499</v>
      </c>
      <c r="M387">
        <v>0.544556183951728</v>
      </c>
      <c r="N387">
        <v>8077.9228143854198</v>
      </c>
      <c r="O387">
        <v>923.91775551013097</v>
      </c>
      <c r="P387">
        <v>47049.654293429303</v>
      </c>
      <c r="Q387">
        <v>9724.5843227252208</v>
      </c>
      <c r="R387">
        <v>0.48691396663091202</v>
      </c>
      <c r="S387">
        <v>4735.0359264149201</v>
      </c>
    </row>
    <row r="388" spans="1:19" x14ac:dyDescent="0.75">
      <c r="A388" s="1">
        <v>45690</v>
      </c>
      <c r="B388">
        <v>0.46489636294507197</v>
      </c>
      <c r="C388">
        <v>-7.5854089191427203</v>
      </c>
      <c r="D388">
        <v>3.2842032274950101</v>
      </c>
      <c r="E388" t="s">
        <v>20</v>
      </c>
      <c r="F388">
        <v>-7.1205125561976503</v>
      </c>
      <c r="G388">
        <v>3.3975</v>
      </c>
      <c r="H388">
        <v>55.58</v>
      </c>
      <c r="I388">
        <v>3.3361111111111099</v>
      </c>
      <c r="J388">
        <v>0.34390592796337099</v>
      </c>
      <c r="K388">
        <v>86.936806352658095</v>
      </c>
      <c r="L388">
        <v>11.3736508168006</v>
      </c>
      <c r="M388">
        <v>0.53790583029781502</v>
      </c>
      <c r="N388">
        <v>7511.3400688696602</v>
      </c>
      <c r="O388">
        <v>982.68343057157097</v>
      </c>
      <c r="P388">
        <v>46475.063737731201</v>
      </c>
      <c r="Q388">
        <v>9905.7647663374701</v>
      </c>
      <c r="R388">
        <v>0.46995661688989698</v>
      </c>
      <c r="S388">
        <v>4655.2796972951</v>
      </c>
    </row>
    <row r="389" spans="1:19" x14ac:dyDescent="0.75">
      <c r="A389" s="1">
        <v>45691</v>
      </c>
      <c r="B389">
        <v>0.56487636378066597</v>
      </c>
      <c r="C389">
        <v>-7.9685459567281596</v>
      </c>
      <c r="D389">
        <v>3.3740097411423</v>
      </c>
      <c r="E389" t="s">
        <v>20</v>
      </c>
      <c r="F389">
        <v>-7.4036695929474998</v>
      </c>
      <c r="G389">
        <v>3.30541666666667</v>
      </c>
      <c r="H389">
        <v>56.48</v>
      </c>
      <c r="I389">
        <v>3.2338888888888899</v>
      </c>
      <c r="J389">
        <v>0.33628214377640903</v>
      </c>
      <c r="K389">
        <v>81.4581673787184</v>
      </c>
      <c r="L389">
        <v>12.070479804985901</v>
      </c>
      <c r="M389">
        <v>0.53200464907962797</v>
      </c>
      <c r="N389">
        <v>7037.9856615212702</v>
      </c>
      <c r="O389">
        <v>1042.8894551507899</v>
      </c>
      <c r="P389">
        <v>45965.201680479797</v>
      </c>
      <c r="Q389">
        <v>9536.3213638626094</v>
      </c>
      <c r="R389">
        <v>0.45531860894763099</v>
      </c>
      <c r="S389">
        <v>4342.0645778714998</v>
      </c>
    </row>
    <row r="390" spans="1:19" x14ac:dyDescent="0.75">
      <c r="A390" s="1">
        <v>45692</v>
      </c>
      <c r="B390">
        <v>0.59058114735674605</v>
      </c>
      <c r="C390">
        <v>-7.4904108110071004</v>
      </c>
      <c r="D390">
        <v>3.2833261362810502</v>
      </c>
      <c r="E390" t="s">
        <v>20</v>
      </c>
      <c r="F390">
        <v>-6.8998296636503502</v>
      </c>
      <c r="G390">
        <v>3.1237499999999998</v>
      </c>
      <c r="H390">
        <v>57.56</v>
      </c>
      <c r="I390">
        <v>3.02277777777778</v>
      </c>
      <c r="J390">
        <v>0.32955372122865501</v>
      </c>
      <c r="K390">
        <v>76.783240579759095</v>
      </c>
      <c r="L390">
        <v>12.780829044096601</v>
      </c>
      <c r="M390">
        <v>0.52674966999072803</v>
      </c>
      <c r="N390">
        <v>6634.0719860911904</v>
      </c>
      <c r="O390">
        <v>1104.26362940994</v>
      </c>
      <c r="P390">
        <v>45511.171487198902</v>
      </c>
      <c r="Q390">
        <v>9702.9106213383493</v>
      </c>
      <c r="R390">
        <v>0.44231935650887899</v>
      </c>
      <c r="S390">
        <v>4291.78518229355</v>
      </c>
    </row>
    <row r="391" spans="1:19" x14ac:dyDescent="0.75">
      <c r="A391" s="1">
        <v>45693</v>
      </c>
      <c r="B391">
        <v>0.49337861023181701</v>
      </c>
      <c r="C391">
        <v>-7.4875040577709404</v>
      </c>
      <c r="D391">
        <v>3.42745167989658</v>
      </c>
      <c r="E391" t="s">
        <v>20</v>
      </c>
      <c r="F391">
        <v>-6.9941254475391199</v>
      </c>
      <c r="G391">
        <v>3.3266666666666702</v>
      </c>
      <c r="H391">
        <v>57.81</v>
      </c>
      <c r="I391">
        <v>3.2544444444444398</v>
      </c>
      <c r="J391">
        <v>0.323021984680333</v>
      </c>
      <c r="K391">
        <v>72.450319321313302</v>
      </c>
      <c r="L391">
        <v>13.499597150963799</v>
      </c>
      <c r="M391">
        <v>0.52158516794293697</v>
      </c>
      <c r="N391">
        <v>6259.7075893614701</v>
      </c>
      <c r="O391">
        <v>1166.3651938432699</v>
      </c>
      <c r="P391">
        <v>45064.958510269702</v>
      </c>
      <c r="Q391">
        <v>9203.7682521437291</v>
      </c>
      <c r="R391">
        <v>0.43001439064533498</v>
      </c>
      <c r="S391">
        <v>3957.7527965864601</v>
      </c>
    </row>
    <row r="392" spans="1:19" x14ac:dyDescent="0.75">
      <c r="A392" s="1">
        <v>45694</v>
      </c>
      <c r="B392">
        <v>0.426049480881662</v>
      </c>
      <c r="C392">
        <v>-7.4135004810857597</v>
      </c>
      <c r="D392">
        <v>3.4339643349171798</v>
      </c>
      <c r="E392" t="s">
        <v>20</v>
      </c>
      <c r="F392">
        <v>-6.9874510002040999</v>
      </c>
      <c r="G392">
        <v>3.2112500000000002</v>
      </c>
      <c r="H392">
        <v>58.75</v>
      </c>
      <c r="I392">
        <v>3.1244444444444399</v>
      </c>
      <c r="J392">
        <v>0.31538352243371198</v>
      </c>
      <c r="K392">
        <v>67.579250279893003</v>
      </c>
      <c r="L392">
        <v>14.2219156407313</v>
      </c>
      <c r="M392">
        <v>0.51548166034081899</v>
      </c>
      <c r="N392">
        <v>5838.8472241827503</v>
      </c>
      <c r="O392">
        <v>1228.77351135918</v>
      </c>
      <c r="P392">
        <v>44537.615453446801</v>
      </c>
      <c r="Q392">
        <v>9078.8161369080208</v>
      </c>
      <c r="R392">
        <v>0.41568193530411002</v>
      </c>
      <c r="S392">
        <v>3773.8998620601101</v>
      </c>
    </row>
    <row r="393" spans="1:19" x14ac:dyDescent="0.75">
      <c r="A393" s="1">
        <v>45695</v>
      </c>
      <c r="B393">
        <v>0.53177732235905095</v>
      </c>
      <c r="C393">
        <v>-7.3725068844495798</v>
      </c>
      <c r="D393">
        <v>3.5027233945257001</v>
      </c>
      <c r="E393" t="s">
        <v>20</v>
      </c>
      <c r="F393">
        <v>-6.8407295620905204</v>
      </c>
      <c r="G393">
        <v>3.2891666666666701</v>
      </c>
      <c r="H393">
        <v>59.43</v>
      </c>
      <c r="I393">
        <v>3.1749999999999998</v>
      </c>
      <c r="J393">
        <v>0.310736448745625</v>
      </c>
      <c r="K393">
        <v>64.708217746210394</v>
      </c>
      <c r="L393">
        <v>14.943995980236799</v>
      </c>
      <c r="M393">
        <v>0.51173710280745799</v>
      </c>
      <c r="N393">
        <v>5590.7900132725799</v>
      </c>
      <c r="O393">
        <v>1291.16125269246</v>
      </c>
      <c r="P393">
        <v>44214.0856825644</v>
      </c>
      <c r="Q393">
        <v>8835.9417778080006</v>
      </c>
      <c r="R393">
        <v>0.406930586263337</v>
      </c>
      <c r="S393">
        <v>3595.6149678321199</v>
      </c>
    </row>
    <row r="394" spans="1:19" x14ac:dyDescent="0.75">
      <c r="A394" s="1">
        <v>45696</v>
      </c>
      <c r="B394">
        <v>0.51248532227195798</v>
      </c>
      <c r="C394">
        <v>-7.1976711279991896</v>
      </c>
      <c r="D394">
        <v>3.4722348972099999</v>
      </c>
      <c r="E394" t="s">
        <v>20</v>
      </c>
      <c r="F394">
        <v>-6.6851858057272304</v>
      </c>
      <c r="G394">
        <v>3.2983333333333298</v>
      </c>
      <c r="H394">
        <v>59.79</v>
      </c>
      <c r="I394">
        <v>3.1616666666666702</v>
      </c>
      <c r="J394">
        <v>0.30511768750810198</v>
      </c>
      <c r="K394">
        <v>61.3737828076627</v>
      </c>
      <c r="L394">
        <v>15.6635881804212</v>
      </c>
      <c r="M394">
        <v>0.50716084871036304</v>
      </c>
      <c r="N394">
        <v>5302.6948345820601</v>
      </c>
      <c r="O394">
        <v>1353.33401878839</v>
      </c>
      <c r="P394">
        <v>43818.697328575399</v>
      </c>
      <c r="Q394">
        <v>8833.8171345058308</v>
      </c>
      <c r="R394">
        <v>0.39661559611082797</v>
      </c>
      <c r="S394">
        <v>3503.6296487360701</v>
      </c>
    </row>
    <row r="395" spans="1:19" x14ac:dyDescent="0.75">
      <c r="A395" s="1">
        <v>45698</v>
      </c>
      <c r="B395">
        <v>0.65309377227844201</v>
      </c>
      <c r="C395">
        <v>-13.546600410819099</v>
      </c>
      <c r="D395">
        <v>7.1467793304607596</v>
      </c>
      <c r="E395" t="s">
        <v>20</v>
      </c>
      <c r="F395">
        <v>-12.8935066385406</v>
      </c>
      <c r="G395">
        <v>3.3145833333333301</v>
      </c>
      <c r="H395">
        <v>60.04</v>
      </c>
      <c r="I395">
        <v>3.1816666666666702</v>
      </c>
      <c r="J395">
        <v>0.286306286248936</v>
      </c>
      <c r="K395">
        <v>50.991915920943299</v>
      </c>
      <c r="L395">
        <v>17.083870336210602</v>
      </c>
      <c r="M395">
        <v>0.49153777051344999</v>
      </c>
      <c r="N395">
        <v>4405.7015355695003</v>
      </c>
      <c r="O395">
        <v>1476.0463970486001</v>
      </c>
      <c r="P395">
        <v>42468.863372362102</v>
      </c>
      <c r="Q395">
        <v>4159.6645126493504</v>
      </c>
      <c r="R395">
        <v>0.36233772321905799</v>
      </c>
      <c r="S395">
        <v>1507.2033688684801</v>
      </c>
    </row>
    <row r="396" spans="1:19" x14ac:dyDescent="0.75">
      <c r="A396" s="1">
        <v>45699</v>
      </c>
      <c r="B396">
        <v>0.58575592415549804</v>
      </c>
      <c r="C396">
        <v>-11.1009546367395</v>
      </c>
      <c r="D396">
        <v>5.8571048862987896</v>
      </c>
      <c r="E396" t="s">
        <v>20</v>
      </c>
      <c r="F396">
        <v>-10.515198712584001</v>
      </c>
      <c r="G396">
        <v>3.2333333333333298</v>
      </c>
      <c r="H396">
        <v>60.8</v>
      </c>
      <c r="I396">
        <v>3.0944444444444401</v>
      </c>
      <c r="J396">
        <v>0.28389908446483603</v>
      </c>
      <c r="K396">
        <v>49.755408640354801</v>
      </c>
      <c r="L396">
        <v>17.781261876654899</v>
      </c>
      <c r="M396">
        <v>0.48950046583954898</v>
      </c>
      <c r="N396">
        <v>4298.8673065266603</v>
      </c>
      <c r="O396">
        <v>1536.3010261429799</v>
      </c>
      <c r="P396">
        <v>42292.840248537097</v>
      </c>
      <c r="Q396">
        <v>5054.5429437723196</v>
      </c>
      <c r="R396">
        <v>0.35803311416537997</v>
      </c>
      <c r="S396">
        <v>1809.6937508414501</v>
      </c>
    </row>
    <row r="397" spans="1:19" x14ac:dyDescent="0.75">
      <c r="A397" s="1">
        <v>45700</v>
      </c>
      <c r="B397">
        <v>0.43307229012231002</v>
      </c>
      <c r="C397">
        <v>-12.2960292165245</v>
      </c>
      <c r="D397">
        <v>6.7734257279997703</v>
      </c>
      <c r="E397" t="s">
        <v>20</v>
      </c>
      <c r="F397">
        <v>-11.8629569264021</v>
      </c>
      <c r="G397">
        <v>3.2783333333333302</v>
      </c>
      <c r="H397">
        <v>60.84</v>
      </c>
      <c r="I397">
        <v>3.1744444444444402</v>
      </c>
      <c r="J397">
        <v>0.27769907206481098</v>
      </c>
      <c r="K397">
        <v>46.657822743428802</v>
      </c>
      <c r="L397">
        <v>18.4678860929059</v>
      </c>
      <c r="M397">
        <v>0.484214138033913</v>
      </c>
      <c r="N397">
        <v>4031.2358850322498</v>
      </c>
      <c r="O397">
        <v>1595.6253584270701</v>
      </c>
      <c r="P397">
        <v>41836.1015261301</v>
      </c>
      <c r="Q397">
        <v>4323.5538772105401</v>
      </c>
      <c r="R397">
        <v>0.34698649701006401</v>
      </c>
      <c r="S397">
        <v>1500.21481448757</v>
      </c>
    </row>
    <row r="398" spans="1:19" x14ac:dyDescent="0.75">
      <c r="A398" s="1">
        <v>45702</v>
      </c>
      <c r="B398">
        <v>0.60890744463431301</v>
      </c>
      <c r="C398">
        <v>-7.7837502097185496</v>
      </c>
      <c r="D398">
        <v>3.4156224875849102</v>
      </c>
      <c r="E398" t="s">
        <v>20</v>
      </c>
      <c r="F398">
        <v>-7.1748427650842403</v>
      </c>
      <c r="G398">
        <v>3.1475</v>
      </c>
      <c r="H398">
        <v>63.1</v>
      </c>
      <c r="I398">
        <v>3.04</v>
      </c>
      <c r="J398">
        <v>0.32853799950024198</v>
      </c>
      <c r="K398">
        <v>76.132225820305493</v>
      </c>
      <c r="L398">
        <v>19.803273632855099</v>
      </c>
      <c r="M398">
        <v>0.52593960103799597</v>
      </c>
      <c r="N398">
        <v>6577.8243108744</v>
      </c>
      <c r="O398">
        <v>1711.0028418786801</v>
      </c>
      <c r="P398">
        <v>45441.181529682799</v>
      </c>
      <c r="Q398">
        <v>9312.7467061704192</v>
      </c>
      <c r="R398">
        <v>0.44060259044042399</v>
      </c>
      <c r="S398">
        <v>4103.2203228542103</v>
      </c>
    </row>
    <row r="399" spans="1:19" x14ac:dyDescent="0.75">
      <c r="A399" s="1">
        <v>45703</v>
      </c>
      <c r="B399">
        <v>0.49640222969679798</v>
      </c>
      <c r="C399">
        <v>-7.4661797840587996</v>
      </c>
      <c r="D399">
        <v>3.4070020075987801</v>
      </c>
      <c r="E399" t="s">
        <v>20</v>
      </c>
      <c r="F399">
        <v>-6.9697775543620004</v>
      </c>
      <c r="G399">
        <v>3.1391666666666702</v>
      </c>
      <c r="H399">
        <v>61.66</v>
      </c>
      <c r="I399">
        <v>3.0405882352941198</v>
      </c>
      <c r="J399">
        <v>0.31724470039849201</v>
      </c>
      <c r="K399">
        <v>68.758489111419294</v>
      </c>
      <c r="L399">
        <v>20.5086193162646</v>
      </c>
      <c r="M399">
        <v>0.51697138201377701</v>
      </c>
      <c r="N399">
        <v>5940.7334592266297</v>
      </c>
      <c r="O399">
        <v>1771.9447089252601</v>
      </c>
      <c r="P399">
        <v>44666.3274059904</v>
      </c>
      <c r="Q399">
        <v>9177.1091165952894</v>
      </c>
      <c r="R399">
        <v>0.41924263949697699</v>
      </c>
      <c r="S399">
        <v>3847.4354489931802</v>
      </c>
    </row>
    <row r="400" spans="1:19" x14ac:dyDescent="0.75">
      <c r="A400" s="1">
        <v>45704</v>
      </c>
      <c r="B400">
        <v>0.52600736074014098</v>
      </c>
      <c r="C400">
        <v>-7.4966764305704601</v>
      </c>
      <c r="D400">
        <v>3.3690595243583501</v>
      </c>
      <c r="E400" t="s">
        <v>20</v>
      </c>
      <c r="F400">
        <v>-6.9706690698303202</v>
      </c>
      <c r="G400">
        <v>3.0987499999999999</v>
      </c>
      <c r="H400">
        <v>62.92</v>
      </c>
      <c r="I400">
        <v>3.0235294117647098</v>
      </c>
      <c r="J400">
        <v>0.31876241176724801</v>
      </c>
      <c r="K400">
        <v>69.852375833352895</v>
      </c>
      <c r="L400">
        <v>21.2606674713806</v>
      </c>
      <c r="M400">
        <v>0.51814219512419102</v>
      </c>
      <c r="N400">
        <v>6035.24527200169</v>
      </c>
      <c r="O400">
        <v>1836.9216695272901</v>
      </c>
      <c r="P400">
        <v>44767.485658730096</v>
      </c>
      <c r="Q400">
        <v>9301.4800523832891</v>
      </c>
      <c r="R400">
        <v>0.42292671325009901</v>
      </c>
      <c r="S400">
        <v>3933.84438691582</v>
      </c>
    </row>
    <row r="401" spans="1:19" x14ac:dyDescent="0.75">
      <c r="A401" s="1">
        <v>45705</v>
      </c>
      <c r="B401">
        <v>0.59407003968017702</v>
      </c>
      <c r="C401">
        <v>-7.5280045230730703</v>
      </c>
      <c r="D401">
        <v>3.4744055341685698</v>
      </c>
      <c r="E401" t="s">
        <v>20</v>
      </c>
      <c r="F401">
        <v>-6.93393448339289</v>
      </c>
      <c r="G401">
        <v>3.3408333333333302</v>
      </c>
      <c r="H401">
        <v>60.98</v>
      </c>
      <c r="I401">
        <v>3.21117647058824</v>
      </c>
      <c r="J401">
        <v>0.323456455246245</v>
      </c>
      <c r="K401">
        <v>72.741562707814197</v>
      </c>
      <c r="L401">
        <v>21.9603030416522</v>
      </c>
      <c r="M401">
        <v>0.52192773662084002</v>
      </c>
      <c r="N401">
        <v>6284.8710179551499</v>
      </c>
      <c r="O401">
        <v>1897.37018279875</v>
      </c>
      <c r="P401">
        <v>45094.556444040601</v>
      </c>
      <c r="Q401">
        <v>9085.3497671457699</v>
      </c>
      <c r="R401">
        <v>0.43088009015122702</v>
      </c>
      <c r="S401">
        <v>3914.6963267231899</v>
      </c>
    </row>
    <row r="402" spans="1:19" x14ac:dyDescent="0.75">
      <c r="A402" s="1">
        <v>45706</v>
      </c>
      <c r="B402">
        <v>0.60372667953813497</v>
      </c>
      <c r="C402">
        <v>-7.3400369975107296</v>
      </c>
      <c r="D402">
        <v>3.5054203853327102</v>
      </c>
      <c r="E402" t="s">
        <v>20</v>
      </c>
      <c r="F402">
        <v>-6.7363103179725901</v>
      </c>
      <c r="G402">
        <v>3.4695833333333299</v>
      </c>
      <c r="H402">
        <v>57.7</v>
      </c>
      <c r="I402">
        <v>3.3217647058823498</v>
      </c>
      <c r="J402">
        <v>0.31220719032347199</v>
      </c>
      <c r="K402">
        <v>65.614194210556803</v>
      </c>
      <c r="L402">
        <v>22.613485705516101</v>
      </c>
      <c r="M402">
        <v>0.51292309265665503</v>
      </c>
      <c r="N402">
        <v>5669.0663797921097</v>
      </c>
      <c r="O402">
        <v>1953.80516495659</v>
      </c>
      <c r="P402">
        <v>44316.555205534998</v>
      </c>
      <c r="Q402">
        <v>8849.6058200820298</v>
      </c>
      <c r="R402">
        <v>0.409734606801541</v>
      </c>
      <c r="S402">
        <v>3625.9897610399398</v>
      </c>
    </row>
    <row r="403" spans="1:19" x14ac:dyDescent="0.75">
      <c r="A403" s="1">
        <v>45707</v>
      </c>
      <c r="B403">
        <v>0.28113911372453498</v>
      </c>
      <c r="C403">
        <v>-6.2579379502299401</v>
      </c>
      <c r="D403">
        <v>2.7656530803461101</v>
      </c>
      <c r="E403" t="s">
        <v>20</v>
      </c>
      <c r="F403">
        <v>-5.9767988365054103</v>
      </c>
      <c r="G403">
        <v>3.6358333333333301</v>
      </c>
      <c r="H403">
        <v>58.39</v>
      </c>
      <c r="I403">
        <v>3.4235294117647102</v>
      </c>
      <c r="J403">
        <v>0.34927222657475698</v>
      </c>
      <c r="K403">
        <v>92.717497389545599</v>
      </c>
      <c r="L403">
        <v>23.224438623559202</v>
      </c>
      <c r="M403">
        <v>0.54152164702676098</v>
      </c>
      <c r="N403">
        <v>8010.7917744567403</v>
      </c>
      <c r="O403">
        <v>2006.59149707552</v>
      </c>
      <c r="P403">
        <v>46787.470303112103</v>
      </c>
      <c r="Q403">
        <v>11842.132133246399</v>
      </c>
      <c r="R403">
        <v>0.49020961576708699</v>
      </c>
      <c r="S403">
        <v>5805.1270429017904</v>
      </c>
    </row>
    <row r="404" spans="1:19" x14ac:dyDescent="0.75">
      <c r="A404" s="1">
        <v>45708</v>
      </c>
      <c r="B404">
        <v>0.63782311283612902</v>
      </c>
      <c r="C404">
        <v>-7.4994631750268201</v>
      </c>
      <c r="D404">
        <v>3.31596016199981</v>
      </c>
      <c r="E404" t="s">
        <v>20</v>
      </c>
      <c r="F404">
        <v>-6.8616400621906903</v>
      </c>
      <c r="G404">
        <v>3.60958333333333</v>
      </c>
      <c r="H404">
        <v>58.35</v>
      </c>
      <c r="I404">
        <v>3.5111764705882398</v>
      </c>
      <c r="J404">
        <v>0.35482346873784698</v>
      </c>
      <c r="K404">
        <v>95.297514678602795</v>
      </c>
      <c r="L404">
        <v>23.797951958313099</v>
      </c>
      <c r="M404">
        <v>0.54621563755812697</v>
      </c>
      <c r="N404">
        <v>8233.7052682312806</v>
      </c>
      <c r="O404">
        <v>2056.1430491982501</v>
      </c>
      <c r="P404">
        <v>47193.031085022201</v>
      </c>
      <c r="Q404">
        <v>9962.4603872178195</v>
      </c>
      <c r="R404">
        <v>0.49170554736607902</v>
      </c>
      <c r="S404">
        <v>4898.59703780981</v>
      </c>
    </row>
    <row r="405" spans="1:19" x14ac:dyDescent="0.75">
      <c r="A405" s="1">
        <v>45709</v>
      </c>
      <c r="B405">
        <v>0.60964722208054301</v>
      </c>
      <c r="C405">
        <v>-7.2072927896744696</v>
      </c>
      <c r="D405">
        <v>3.47912043167501</v>
      </c>
      <c r="E405" t="s">
        <v>20</v>
      </c>
      <c r="F405">
        <v>-6.5976455675939301</v>
      </c>
      <c r="G405">
        <v>3.93041666666667</v>
      </c>
      <c r="H405">
        <v>55.08</v>
      </c>
      <c r="I405">
        <v>3.8188235294117598</v>
      </c>
      <c r="J405">
        <v>0.336238109597431</v>
      </c>
      <c r="K405">
        <v>81.422713689722102</v>
      </c>
      <c r="L405">
        <v>24.337391036750901</v>
      </c>
      <c r="M405">
        <v>0.53197169348137197</v>
      </c>
      <c r="N405">
        <v>7034.9224627919903</v>
      </c>
      <c r="O405">
        <v>2102.7505855752802</v>
      </c>
      <c r="P405">
        <v>45962.354316790501</v>
      </c>
      <c r="Q405">
        <v>9247.6384918539406</v>
      </c>
      <c r="R405">
        <v>0.45520823851676501</v>
      </c>
      <c r="S405">
        <v>4209.6012283166601</v>
      </c>
    </row>
    <row r="406" spans="1:19" x14ac:dyDescent="0.75">
      <c r="A406" s="1">
        <v>45710</v>
      </c>
      <c r="B406">
        <v>0.61195708658624803</v>
      </c>
      <c r="C406">
        <v>-7.1148259101478404</v>
      </c>
      <c r="D406">
        <v>3.47238706588618</v>
      </c>
      <c r="E406" t="s">
        <v>20</v>
      </c>
      <c r="F406">
        <v>-6.5028688235615899</v>
      </c>
      <c r="G406">
        <v>4.0274999999999999</v>
      </c>
      <c r="H406">
        <v>52.81</v>
      </c>
      <c r="I406">
        <v>3.9117647058823501</v>
      </c>
      <c r="J406">
        <v>0.32642729452125602</v>
      </c>
      <c r="K406">
        <v>74.688165273178399</v>
      </c>
      <c r="L406">
        <v>24.8449029790123</v>
      </c>
      <c r="M406">
        <v>0.52428440106729302</v>
      </c>
      <c r="N406">
        <v>6453.0574796026203</v>
      </c>
      <c r="O406">
        <v>2146.5996173866702</v>
      </c>
      <c r="P406">
        <v>45298.172252214099</v>
      </c>
      <c r="Q406">
        <v>9131.6779998595994</v>
      </c>
      <c r="R406">
        <v>0.43641371355596997</v>
      </c>
      <c r="S406">
        <v>3985.1895069160801</v>
      </c>
    </row>
    <row r="407" spans="1:19" x14ac:dyDescent="0.75">
      <c r="A407" s="1">
        <v>45711</v>
      </c>
      <c r="B407">
        <v>0.60911218198799699</v>
      </c>
      <c r="C407">
        <v>-7.0284851093633796</v>
      </c>
      <c r="D407">
        <v>3.5288260179579298</v>
      </c>
      <c r="E407" t="s">
        <v>20</v>
      </c>
      <c r="F407">
        <v>-6.4193729273753899</v>
      </c>
      <c r="G407">
        <v>3.9137499999999998</v>
      </c>
      <c r="H407">
        <v>54.86</v>
      </c>
      <c r="I407">
        <v>3.7694117647058798</v>
      </c>
      <c r="J407">
        <v>0.31917046182577302</v>
      </c>
      <c r="K407">
        <v>69.964458956234793</v>
      </c>
      <c r="L407">
        <v>25.321585128373901</v>
      </c>
      <c r="M407">
        <v>0.51851754771397596</v>
      </c>
      <c r="N407">
        <v>6044.9292538186801</v>
      </c>
      <c r="O407">
        <v>2187.7849550915098</v>
      </c>
      <c r="P407">
        <v>44799.916122487499</v>
      </c>
      <c r="Q407">
        <v>8886.7915635831596</v>
      </c>
      <c r="R407">
        <v>0.422757508369139</v>
      </c>
      <c r="S407">
        <v>3756.9578588162999</v>
      </c>
    </row>
    <row r="408" spans="1:19" x14ac:dyDescent="0.75">
      <c r="A408" s="1">
        <v>45712</v>
      </c>
      <c r="B408">
        <v>0.53770582511425302</v>
      </c>
      <c r="C408">
        <v>-7.26032352143603</v>
      </c>
      <c r="D408">
        <v>3.3711990809684198</v>
      </c>
      <c r="E408" t="s">
        <v>20</v>
      </c>
      <c r="F408">
        <v>-6.7226176963217803</v>
      </c>
      <c r="G408">
        <v>3.8316666666666701</v>
      </c>
      <c r="H408">
        <v>56.7</v>
      </c>
      <c r="I408">
        <v>3.7770588235294098</v>
      </c>
      <c r="J408">
        <v>0.33018487779399802</v>
      </c>
      <c r="K408">
        <v>77.275816429258896</v>
      </c>
      <c r="L408">
        <v>25.7705586987544</v>
      </c>
      <c r="M408">
        <v>0.52722581862513196</v>
      </c>
      <c r="N408">
        <v>6676.6305394879701</v>
      </c>
      <c r="O408">
        <v>2226.5762715723799</v>
      </c>
      <c r="P408">
        <v>45552.3107292114</v>
      </c>
      <c r="Q408">
        <v>9458.5388594992692</v>
      </c>
      <c r="R408">
        <v>0.44390471020460398</v>
      </c>
      <c r="S408">
        <v>4198.6899513850103</v>
      </c>
    </row>
    <row r="409" spans="1:19" x14ac:dyDescent="0.75">
      <c r="A409" s="1">
        <v>45713</v>
      </c>
      <c r="B409">
        <v>0.672907179770734</v>
      </c>
      <c r="C409">
        <v>-7.5399765626176096</v>
      </c>
      <c r="D409">
        <v>3.4735701166767399</v>
      </c>
      <c r="E409" t="s">
        <v>20</v>
      </c>
      <c r="F409">
        <v>-6.8670693828468803</v>
      </c>
      <c r="G409">
        <v>3.7195833333333299</v>
      </c>
      <c r="H409">
        <v>56.3</v>
      </c>
      <c r="I409">
        <v>3.5770588235294101</v>
      </c>
      <c r="J409">
        <v>0.33161452080479897</v>
      </c>
      <c r="K409">
        <v>78.190860244346297</v>
      </c>
      <c r="L409">
        <v>26.193254516877399</v>
      </c>
      <c r="M409">
        <v>0.52836642099779996</v>
      </c>
      <c r="N409">
        <v>6755.69032511152</v>
      </c>
      <c r="O409">
        <v>2263.09719025821</v>
      </c>
      <c r="P409">
        <v>45650.858774209897</v>
      </c>
      <c r="Q409">
        <v>9199.6418867512893</v>
      </c>
      <c r="R409">
        <v>0.44625926171066299</v>
      </c>
      <c r="S409">
        <v>4105.4253963841202</v>
      </c>
    </row>
    <row r="410" spans="1:19" x14ac:dyDescent="0.75">
      <c r="A410" s="1">
        <v>45714</v>
      </c>
      <c r="B410">
        <v>0.64473318408750502</v>
      </c>
      <c r="C410">
        <v>-7.3294741567035704</v>
      </c>
      <c r="D410">
        <v>3.5052708096736702</v>
      </c>
      <c r="E410" t="s">
        <v>20</v>
      </c>
      <c r="F410">
        <v>-6.68474097261607</v>
      </c>
      <c r="G410">
        <v>3.6941666666666699</v>
      </c>
      <c r="H410">
        <v>57.38</v>
      </c>
      <c r="I410">
        <v>3.5470588235294098</v>
      </c>
      <c r="J410">
        <v>0.321850675519533</v>
      </c>
      <c r="K410">
        <v>71.701759674163696</v>
      </c>
      <c r="L410">
        <v>26.5892759642729</v>
      </c>
      <c r="M410">
        <v>0.52064985911949302</v>
      </c>
      <c r="N410">
        <v>6195.0320358477402</v>
      </c>
      <c r="O410">
        <v>2297.31344331318</v>
      </c>
      <c r="P410">
        <v>44984.1478279242</v>
      </c>
      <c r="Q410">
        <v>8983.3012024764103</v>
      </c>
      <c r="R410">
        <v>0.42788753385980399</v>
      </c>
      <c r="S410">
        <v>3843.8425974474499</v>
      </c>
    </row>
    <row r="411" spans="1:19" x14ac:dyDescent="0.75">
      <c r="A411" s="1">
        <v>45716</v>
      </c>
      <c r="B411">
        <v>0.58303431852063503</v>
      </c>
      <c r="C411">
        <v>-11.954391622025099</v>
      </c>
      <c r="D411">
        <v>6.6604494955883302</v>
      </c>
      <c r="E411" t="s">
        <v>20</v>
      </c>
      <c r="F411">
        <v>-11.3713573035044</v>
      </c>
      <c r="G411">
        <v>3.6729166666666702</v>
      </c>
      <c r="H411">
        <v>58.64</v>
      </c>
      <c r="I411">
        <v>3.5205882352941198</v>
      </c>
      <c r="J411">
        <v>0.28973214537338099</v>
      </c>
      <c r="K411">
        <v>52.816576348508598</v>
      </c>
      <c r="L411">
        <v>27.287198028445001</v>
      </c>
      <c r="M411">
        <v>0.49440952892274798</v>
      </c>
      <c r="N411">
        <v>4563.3521965111504</v>
      </c>
      <c r="O411">
        <v>2357.6139096576499</v>
      </c>
      <c r="P411">
        <v>42716.983298925501</v>
      </c>
      <c r="Q411">
        <v>4489.4700168590498</v>
      </c>
      <c r="R411">
        <v>0.36871154084806901</v>
      </c>
      <c r="S411">
        <v>1655.31940750731</v>
      </c>
    </row>
    <row r="412" spans="1:19" x14ac:dyDescent="0.75">
      <c r="A412" s="1">
        <v>45717</v>
      </c>
      <c r="B412">
        <v>0.71915839101279599</v>
      </c>
      <c r="C412">
        <v>-13.843505948148399</v>
      </c>
      <c r="D412">
        <v>8.0679064933849496</v>
      </c>
      <c r="E412" t="s">
        <v>20</v>
      </c>
      <c r="F412">
        <v>-13.1243475571356</v>
      </c>
      <c r="G412">
        <v>3.78833333333333</v>
      </c>
      <c r="H412">
        <v>57.52</v>
      </c>
      <c r="I412">
        <v>3.6252941176470599</v>
      </c>
      <c r="J412">
        <v>0.27768732961708398</v>
      </c>
      <c r="K412">
        <v>46.673301563923999</v>
      </c>
      <c r="L412">
        <v>27.5814908824448</v>
      </c>
      <c r="M412">
        <v>0.484194211533098</v>
      </c>
      <c r="N412">
        <v>4032.5732551230299</v>
      </c>
      <c r="O412">
        <v>2383.04081224323</v>
      </c>
      <c r="P412">
        <v>41834.379876459701</v>
      </c>
      <c r="Q412">
        <v>3629.6982293402202</v>
      </c>
      <c r="R412">
        <v>0.34713057337754799</v>
      </c>
      <c r="S412">
        <v>1259.97922753834</v>
      </c>
    </row>
    <row r="413" spans="1:19" x14ac:dyDescent="0.75">
      <c r="A413" s="1">
        <v>45718</v>
      </c>
      <c r="B413">
        <v>0.64674614422054899</v>
      </c>
      <c r="C413">
        <v>-11.982746683738499</v>
      </c>
      <c r="D413">
        <v>7.2474714573639396</v>
      </c>
      <c r="E413" t="s">
        <v>20</v>
      </c>
      <c r="F413">
        <v>-11.336000539518</v>
      </c>
      <c r="G413">
        <v>3.8066666666666702</v>
      </c>
      <c r="H413">
        <v>58.53</v>
      </c>
      <c r="I413">
        <v>3.6370588235294101</v>
      </c>
      <c r="J413">
        <v>0.271534287007969</v>
      </c>
      <c r="K413">
        <v>43.712332869192501</v>
      </c>
      <c r="L413">
        <v>27.835264437877498</v>
      </c>
      <c r="M413">
        <v>0.47889498561849397</v>
      </c>
      <c r="N413">
        <v>3776.7455598982301</v>
      </c>
      <c r="O413">
        <v>2404.9668474326199</v>
      </c>
      <c r="P413">
        <v>41376.526757437903</v>
      </c>
      <c r="Q413">
        <v>3996.3687888384102</v>
      </c>
      <c r="R413">
        <v>0.33615456919310599</v>
      </c>
      <c r="S413">
        <v>1343.3976285487499</v>
      </c>
    </row>
    <row r="414" spans="1:19" x14ac:dyDescent="0.75">
      <c r="A414" s="1">
        <v>45719</v>
      </c>
      <c r="B414">
        <v>0.856576094158229</v>
      </c>
      <c r="C414">
        <v>-14.2982026694942</v>
      </c>
      <c r="D414">
        <v>9.0178106340868194</v>
      </c>
      <c r="E414" t="s">
        <v>20</v>
      </c>
      <c r="F414">
        <v>-13.441626575336</v>
      </c>
      <c r="G414">
        <v>3.9833333333333298</v>
      </c>
      <c r="H414">
        <v>56.91</v>
      </c>
      <c r="I414">
        <v>3.7982352941176498</v>
      </c>
      <c r="J414">
        <v>0.262337014825545</v>
      </c>
      <c r="K414">
        <v>39.540322464755697</v>
      </c>
      <c r="L414">
        <v>28.045849902189701</v>
      </c>
      <c r="M414">
        <v>0.470848549538048</v>
      </c>
      <c r="N414">
        <v>3416.2838609548999</v>
      </c>
      <c r="O414">
        <v>2423.1614315491902</v>
      </c>
      <c r="P414">
        <v>40681.3146800873</v>
      </c>
      <c r="Q414">
        <v>3157.8529902169398</v>
      </c>
      <c r="R414">
        <v>0.32011011512046</v>
      </c>
      <c r="S414">
        <v>1010.86068423183</v>
      </c>
    </row>
    <row r="415" spans="1:19" x14ac:dyDescent="0.75">
      <c r="A415" s="1">
        <v>45720</v>
      </c>
      <c r="B415">
        <v>0.75179632188816103</v>
      </c>
      <c r="C415">
        <v>-13.3043522137095</v>
      </c>
      <c r="D415">
        <v>8.3411994713868705</v>
      </c>
      <c r="E415" t="s">
        <v>20</v>
      </c>
      <c r="F415">
        <v>-12.552555891821401</v>
      </c>
      <c r="G415">
        <v>3.8391666666666699</v>
      </c>
      <c r="H415">
        <v>57.38</v>
      </c>
      <c r="I415">
        <v>3.6758823529411799</v>
      </c>
      <c r="J415">
        <v>0.25593738081415601</v>
      </c>
      <c r="K415">
        <v>36.800566563519297</v>
      </c>
      <c r="L415">
        <v>28.2109484660802</v>
      </c>
      <c r="M415">
        <v>0.46516296737457702</v>
      </c>
      <c r="N415">
        <v>3179.5689510880702</v>
      </c>
      <c r="O415">
        <v>2437.4259474693299</v>
      </c>
      <c r="P415">
        <v>40190.080381163403</v>
      </c>
      <c r="Q415">
        <v>3372.7830587579501</v>
      </c>
      <c r="R415">
        <v>0.30911184790837298</v>
      </c>
      <c r="S415">
        <v>1042.5672038867201</v>
      </c>
    </row>
    <row r="416" spans="1:19" x14ac:dyDescent="0.75">
      <c r="A416" s="1">
        <v>45721</v>
      </c>
      <c r="B416">
        <v>0.85407131034450301</v>
      </c>
      <c r="C416">
        <v>-14.7728175242283</v>
      </c>
      <c r="D416">
        <v>8.9368491643023393</v>
      </c>
      <c r="E416" t="s">
        <v>20</v>
      </c>
      <c r="F416">
        <v>-13.9187462138838</v>
      </c>
      <c r="G416">
        <v>3.68333333333333</v>
      </c>
      <c r="H416">
        <v>59.32</v>
      </c>
      <c r="I416">
        <v>3.51823529411765</v>
      </c>
      <c r="J416">
        <v>0.26041418901019697</v>
      </c>
      <c r="K416">
        <v>38.782384503584801</v>
      </c>
      <c r="L416">
        <v>28.327559362583401</v>
      </c>
      <c r="M416">
        <v>0.46910494264819702</v>
      </c>
      <c r="N416">
        <v>3350.7980211097301</v>
      </c>
      <c r="O416">
        <v>2447.5011289272102</v>
      </c>
      <c r="P416">
        <v>40530.667044804199</v>
      </c>
      <c r="Q416">
        <v>3174.6610477315498</v>
      </c>
      <c r="R416">
        <v>0.31746792639354299</v>
      </c>
      <c r="S416">
        <v>1007.85305982569</v>
      </c>
    </row>
    <row r="417" spans="1:19" x14ac:dyDescent="0.75">
      <c r="A417" s="1">
        <v>45722</v>
      </c>
      <c r="B417">
        <v>0.70468856629154897</v>
      </c>
      <c r="C417">
        <v>-12.640293087249599</v>
      </c>
      <c r="D417">
        <v>8.0362385421482099</v>
      </c>
      <c r="E417" t="s">
        <v>20</v>
      </c>
      <c r="F417">
        <v>-11.935604520958099</v>
      </c>
      <c r="G417">
        <v>3.8512499999999998</v>
      </c>
      <c r="H417">
        <v>59.22</v>
      </c>
      <c r="I417">
        <v>3.6623529411764699</v>
      </c>
      <c r="J417">
        <v>0.26033199187610501</v>
      </c>
      <c r="K417">
        <v>38.673325717162498</v>
      </c>
      <c r="L417">
        <v>28.392596178649701</v>
      </c>
      <c r="M417">
        <v>0.46907200225360801</v>
      </c>
      <c r="N417">
        <v>3341.3753419628401</v>
      </c>
      <c r="O417">
        <v>2453.1203098353299</v>
      </c>
      <c r="P417">
        <v>40527.820994711699</v>
      </c>
      <c r="Q417">
        <v>3530.1932051303402</v>
      </c>
      <c r="R417">
        <v>0.31669737803515302</v>
      </c>
      <c r="S417">
        <v>1118.00293202229</v>
      </c>
    </row>
    <row r="418" spans="1:19" x14ac:dyDescent="0.75">
      <c r="A418" s="1">
        <v>45723</v>
      </c>
      <c r="B418">
        <v>0.71947034234982599</v>
      </c>
      <c r="C418">
        <v>-12.8114874485649</v>
      </c>
      <c r="D418">
        <v>8.5219373364027309</v>
      </c>
      <c r="E418" t="s">
        <v>20</v>
      </c>
      <c r="F418">
        <v>-12.092017106215</v>
      </c>
      <c r="G418">
        <v>3.95291666666667</v>
      </c>
      <c r="H418">
        <v>56.95</v>
      </c>
      <c r="I418">
        <v>3.77117647058824</v>
      </c>
      <c r="J418">
        <v>0.24979020942890401</v>
      </c>
      <c r="K418">
        <v>34.306898598163698</v>
      </c>
      <c r="L418">
        <v>28.404291084989701</v>
      </c>
      <c r="M418">
        <v>0.45962249470419098</v>
      </c>
      <c r="N418">
        <v>2964.1160388813501</v>
      </c>
      <c r="O418">
        <v>2454.1307497431098</v>
      </c>
      <c r="P418">
        <v>39711.383542442098</v>
      </c>
      <c r="Q418">
        <v>3261.9306364723302</v>
      </c>
      <c r="R418">
        <v>0.29881663520093199</v>
      </c>
      <c r="S418">
        <v>974.71913704949498</v>
      </c>
    </row>
    <row r="419" spans="1:19" x14ac:dyDescent="0.75">
      <c r="A419" s="1">
        <v>45724</v>
      </c>
      <c r="B419">
        <v>0.52478626025541897</v>
      </c>
      <c r="C419">
        <v>-10.177535398810599</v>
      </c>
      <c r="D419">
        <v>6.7460985137025897</v>
      </c>
      <c r="E419" t="s">
        <v>20</v>
      </c>
      <c r="F419">
        <v>-9.65274913855521</v>
      </c>
      <c r="G419">
        <v>3.88</v>
      </c>
      <c r="H419">
        <v>57.09</v>
      </c>
      <c r="I419">
        <v>3.7894117647058798</v>
      </c>
      <c r="J419">
        <v>0.246103080842525</v>
      </c>
      <c r="K419">
        <v>32.828771619488201</v>
      </c>
      <c r="L419">
        <v>28.361596232497899</v>
      </c>
      <c r="M419">
        <v>0.45628903769199203</v>
      </c>
      <c r="N419">
        <v>2836.4058679237801</v>
      </c>
      <c r="O419">
        <v>2450.4419144878202</v>
      </c>
      <c r="P419">
        <v>39423.372856588103</v>
      </c>
      <c r="Q419">
        <v>4090.71420222493</v>
      </c>
      <c r="R419">
        <v>0.29234626334418601</v>
      </c>
      <c r="S419">
        <v>1195.90501142945</v>
      </c>
    </row>
    <row r="420" spans="1:19" x14ac:dyDescent="0.75">
      <c r="A420" s="1">
        <v>45726</v>
      </c>
      <c r="B420">
        <v>0.44895245016167501</v>
      </c>
      <c r="C420">
        <v>-9.0034270013684097</v>
      </c>
      <c r="D420">
        <v>3.0477996119702202</v>
      </c>
      <c r="E420" t="s">
        <v>20</v>
      </c>
      <c r="F420">
        <v>-8.5544745512067308</v>
      </c>
      <c r="G420">
        <v>3.8087499999999999</v>
      </c>
      <c r="H420">
        <v>60.19</v>
      </c>
      <c r="I420">
        <v>3.8282352941176501</v>
      </c>
      <c r="J420">
        <v>0.41970342804321997</v>
      </c>
      <c r="K420">
        <v>157.074539591865</v>
      </c>
      <c r="L420">
        <v>28.109833731798101</v>
      </c>
      <c r="M420">
        <v>0.59292076524867499</v>
      </c>
      <c r="N420">
        <v>13571.2402207371</v>
      </c>
      <c r="O420">
        <v>2428.68963442736</v>
      </c>
      <c r="P420">
        <v>51228.354117485498</v>
      </c>
      <c r="Q420">
        <v>11765.815489115599</v>
      </c>
      <c r="R420">
        <v>0.63119945978439396</v>
      </c>
      <c r="S420">
        <v>7426.5763806526402</v>
      </c>
    </row>
    <row r="421" spans="1:19" x14ac:dyDescent="0.75">
      <c r="A421" s="1">
        <v>45727</v>
      </c>
      <c r="B421">
        <v>0.90953785240641905</v>
      </c>
      <c r="C421">
        <v>-9.3307658124643904</v>
      </c>
      <c r="D421">
        <v>3.3377691033243799</v>
      </c>
      <c r="E421" t="s">
        <v>20</v>
      </c>
      <c r="F421">
        <v>-8.4212279600579798</v>
      </c>
      <c r="G421">
        <v>3.51541666666667</v>
      </c>
      <c r="H421">
        <v>59.94</v>
      </c>
      <c r="I421">
        <v>3.3758823529411801</v>
      </c>
      <c r="J421">
        <v>0.41765143530287102</v>
      </c>
      <c r="K421">
        <v>153.05210636512399</v>
      </c>
      <c r="L421">
        <v>27.899745471077502</v>
      </c>
      <c r="M421">
        <v>0.59182910858027604</v>
      </c>
      <c r="N421">
        <v>13223.7019899467</v>
      </c>
      <c r="O421">
        <v>2410.5380087010899</v>
      </c>
      <c r="P421">
        <v>51134.034981335797</v>
      </c>
      <c r="Q421">
        <v>10723.8767508767</v>
      </c>
      <c r="R421">
        <v>0.61919723868069099</v>
      </c>
      <c r="S421">
        <v>6640.1948720949404</v>
      </c>
    </row>
    <row r="422" spans="1:19" x14ac:dyDescent="0.75">
      <c r="A422" s="1">
        <v>45728</v>
      </c>
      <c r="B422">
        <v>0.88237216376364702</v>
      </c>
      <c r="C422">
        <v>-9.0360570320859903</v>
      </c>
      <c r="D422">
        <v>3.38436899037734</v>
      </c>
      <c r="E422" t="s">
        <v>20</v>
      </c>
      <c r="F422">
        <v>-8.1536848683223404</v>
      </c>
      <c r="G422">
        <v>3.5529166666666701</v>
      </c>
      <c r="H422">
        <v>59.36</v>
      </c>
      <c r="I422">
        <v>3.4188235294117599</v>
      </c>
      <c r="J422">
        <v>0.39895745852097803</v>
      </c>
      <c r="K422">
        <v>134.04466180245799</v>
      </c>
      <c r="L422">
        <v>27.578417796506901</v>
      </c>
      <c r="M422">
        <v>0.57863292992471205</v>
      </c>
      <c r="N422">
        <v>11581.4587797323</v>
      </c>
      <c r="O422">
        <v>2382.7752976182001</v>
      </c>
      <c r="P422">
        <v>49993.885145495202</v>
      </c>
      <c r="Q422">
        <v>10340.3971911304</v>
      </c>
      <c r="R422">
        <v>0.58065716453180705</v>
      </c>
      <c r="S422">
        <v>6004.2257131344204</v>
      </c>
    </row>
    <row r="423" spans="1:19" x14ac:dyDescent="0.75">
      <c r="A423" s="1">
        <v>45729</v>
      </c>
      <c r="B423">
        <v>0.84695183315440903</v>
      </c>
      <c r="C423">
        <v>-8.8612749022639203</v>
      </c>
      <c r="D423">
        <v>3.42733062226384</v>
      </c>
      <c r="E423" t="s">
        <v>20</v>
      </c>
      <c r="F423">
        <v>-8.0143230691095102</v>
      </c>
      <c r="G423">
        <v>3.47041666666667</v>
      </c>
      <c r="H423">
        <v>59.83</v>
      </c>
      <c r="I423">
        <v>3.3364705882352901</v>
      </c>
      <c r="J423">
        <v>0.38049245946976801</v>
      </c>
      <c r="K423">
        <v>116.72304880286801</v>
      </c>
      <c r="L423">
        <v>27.148138117133598</v>
      </c>
      <c r="M423">
        <v>0.56531548743704596</v>
      </c>
      <c r="N423">
        <v>10084.871416567799</v>
      </c>
      <c r="O423">
        <v>2345.5991333203401</v>
      </c>
      <c r="P423">
        <v>48843.258114560798</v>
      </c>
      <c r="Q423">
        <v>9975.7754498773702</v>
      </c>
      <c r="R423">
        <v>0.54264984684709505</v>
      </c>
      <c r="S423">
        <v>5413.3530200569703</v>
      </c>
    </row>
    <row r="424" spans="1:19" x14ac:dyDescent="0.75">
      <c r="A424" s="1">
        <v>45730</v>
      </c>
      <c r="B424">
        <v>0.90708436985219998</v>
      </c>
      <c r="C424">
        <v>-8.8383681429992702</v>
      </c>
      <c r="D424">
        <v>3.4445547115177702</v>
      </c>
      <c r="E424" t="s">
        <v>20</v>
      </c>
      <c r="F424">
        <v>-7.9312837731470696</v>
      </c>
      <c r="G424">
        <v>3.4137499999999998</v>
      </c>
      <c r="H424">
        <v>60.84</v>
      </c>
      <c r="I424">
        <v>3.225625</v>
      </c>
      <c r="J424">
        <v>0.37029414361858998</v>
      </c>
      <c r="K424">
        <v>107.818351678339</v>
      </c>
      <c r="L424">
        <v>26.713011194990202</v>
      </c>
      <c r="M424">
        <v>0.557819723475938</v>
      </c>
      <c r="N424">
        <v>9315.50558500851</v>
      </c>
      <c r="O424">
        <v>2308.0041672471498</v>
      </c>
      <c r="P424">
        <v>48195.624108320997</v>
      </c>
      <c r="Q424">
        <v>9794.2810323251506</v>
      </c>
      <c r="R424">
        <v>0.52197773495030497</v>
      </c>
      <c r="S424">
        <v>5112.39662871982</v>
      </c>
    </row>
    <row r="425" spans="1:19" x14ac:dyDescent="0.75">
      <c r="A425" s="1">
        <v>45731</v>
      </c>
      <c r="B425">
        <v>0.81693542879805703</v>
      </c>
      <c r="C425">
        <v>-8.8069823107039795</v>
      </c>
      <c r="D425">
        <v>3.4682532786514999</v>
      </c>
      <c r="E425" t="s">
        <v>20</v>
      </c>
      <c r="F425">
        <v>-7.99004688190593</v>
      </c>
      <c r="G425">
        <v>3.2495833333333302</v>
      </c>
      <c r="H425">
        <v>61.74</v>
      </c>
      <c r="I425">
        <v>3.0812499999999998</v>
      </c>
      <c r="J425">
        <v>0.36023086591627801</v>
      </c>
      <c r="K425">
        <v>99.518697570931593</v>
      </c>
      <c r="L425">
        <v>26.2745299065935</v>
      </c>
      <c r="M425">
        <v>0.55031025936803302</v>
      </c>
      <c r="N425">
        <v>8598.4154701284897</v>
      </c>
      <c r="O425">
        <v>2270.1193839296802</v>
      </c>
      <c r="P425">
        <v>47546.806409397999</v>
      </c>
      <c r="Q425">
        <v>9596.4053984890506</v>
      </c>
      <c r="R425">
        <v>0.502014373885877</v>
      </c>
      <c r="S425">
        <v>4817.5334476775397</v>
      </c>
    </row>
    <row r="426" spans="1:19" x14ac:dyDescent="0.75">
      <c r="A426" s="1">
        <v>45732</v>
      </c>
      <c r="B426">
        <v>0.619942094609087</v>
      </c>
      <c r="C426">
        <v>-8.5023915853150793</v>
      </c>
      <c r="D426">
        <v>3.2969024282546</v>
      </c>
      <c r="E426" t="s">
        <v>20</v>
      </c>
      <c r="F426">
        <v>-7.8824494907059997</v>
      </c>
      <c r="G426">
        <v>3.0066666666666699</v>
      </c>
      <c r="H426">
        <v>63.82</v>
      </c>
      <c r="I426">
        <v>2.9375</v>
      </c>
      <c r="J426">
        <v>0.36269384432708301</v>
      </c>
      <c r="K426">
        <v>101.668312957764</v>
      </c>
      <c r="L426">
        <v>25.835083274065301</v>
      </c>
      <c r="M426">
        <v>0.55211894320117305</v>
      </c>
      <c r="N426">
        <v>8784.1422395508507</v>
      </c>
      <c r="O426">
        <v>2232.1511948792399</v>
      </c>
      <c r="P426">
        <v>47703.0766925813</v>
      </c>
      <c r="Q426">
        <v>10128.3414997771</v>
      </c>
      <c r="R426">
        <v>0.50770657101342598</v>
      </c>
      <c r="S426">
        <v>5142.2255329048103</v>
      </c>
    </row>
    <row r="427" spans="1:19" x14ac:dyDescent="0.75">
      <c r="A427" s="1">
        <v>45733</v>
      </c>
      <c r="B427">
        <v>0.71738892218083705</v>
      </c>
      <c r="C427">
        <v>-8.4401432882212202</v>
      </c>
      <c r="D427">
        <v>3.4364987697766902</v>
      </c>
      <c r="E427" t="s">
        <v>20</v>
      </c>
      <c r="F427">
        <v>-7.7227543660403803</v>
      </c>
      <c r="G427">
        <v>3.2720833333333301</v>
      </c>
      <c r="H427">
        <v>63.21</v>
      </c>
      <c r="I427">
        <v>3.100625</v>
      </c>
      <c r="J427">
        <v>0.364540344232203</v>
      </c>
      <c r="K427">
        <v>103.05790880902499</v>
      </c>
      <c r="L427">
        <v>25.3956831821686</v>
      </c>
      <c r="M427">
        <v>0.553529726988226</v>
      </c>
      <c r="N427">
        <v>8904.2033210997597</v>
      </c>
      <c r="O427">
        <v>2194.1870269393598</v>
      </c>
      <c r="P427">
        <v>47824.968411782698</v>
      </c>
      <c r="Q427">
        <v>9741.7401055619703</v>
      </c>
      <c r="R427">
        <v>0.510734008088221</v>
      </c>
      <c r="S427">
        <v>4975.4379698674402</v>
      </c>
    </row>
    <row r="428" spans="1:19" x14ac:dyDescent="0.75">
      <c r="A428" s="1">
        <v>45734</v>
      </c>
      <c r="B428">
        <v>0.66832109138834395</v>
      </c>
      <c r="C428">
        <v>-8.1081647695477503</v>
      </c>
      <c r="D428">
        <v>3.4688027903087999</v>
      </c>
      <c r="E428" t="s">
        <v>20</v>
      </c>
      <c r="F428">
        <v>-7.4398436781594004</v>
      </c>
      <c r="G428">
        <v>3.4154166666666699</v>
      </c>
      <c r="H428">
        <v>59.83</v>
      </c>
      <c r="I428">
        <v>3.2537500000000001</v>
      </c>
      <c r="J428">
        <v>0.34999732272191802</v>
      </c>
      <c r="K428">
        <v>91.514674609808395</v>
      </c>
      <c r="L428">
        <v>24.956853227663899</v>
      </c>
      <c r="M428">
        <v>0.54256509407432596</v>
      </c>
      <c r="N428">
        <v>7906.8678862874403</v>
      </c>
      <c r="O428">
        <v>2156.2721188701598</v>
      </c>
      <c r="P428">
        <v>46877.624128021802</v>
      </c>
      <c r="Q428">
        <v>9459.8450454700196</v>
      </c>
      <c r="R428">
        <v>0.481919131620689</v>
      </c>
      <c r="S428">
        <v>4558.88030957919</v>
      </c>
    </row>
    <row r="429" spans="1:19" x14ac:dyDescent="0.75">
      <c r="A429" s="1">
        <v>45735</v>
      </c>
      <c r="B429">
        <v>0.64401119735663304</v>
      </c>
      <c r="C429">
        <v>-7.8444468248065897</v>
      </c>
      <c r="D429">
        <v>3.4529705032161702</v>
      </c>
      <c r="E429" t="s">
        <v>20</v>
      </c>
      <c r="F429">
        <v>-7.2004356274499504</v>
      </c>
      <c r="G429">
        <v>3.4258333333333302</v>
      </c>
      <c r="H429">
        <v>59.5</v>
      </c>
      <c r="I429">
        <v>3.2693750000000001</v>
      </c>
      <c r="J429">
        <v>0.33709237266959402</v>
      </c>
      <c r="K429">
        <v>82.035809908201202</v>
      </c>
      <c r="L429">
        <v>24.5168043425452</v>
      </c>
      <c r="M429">
        <v>0.53263313769386</v>
      </c>
      <c r="N429">
        <v>7087.8939760685898</v>
      </c>
      <c r="O429">
        <v>2118.25189519591</v>
      </c>
      <c r="P429">
        <v>46019.503096749497</v>
      </c>
      <c r="Q429">
        <v>9329.2578484873102</v>
      </c>
      <c r="R429">
        <v>0.45690547446570101</v>
      </c>
      <c r="S429">
        <v>4262.5889836759598</v>
      </c>
    </row>
    <row r="430" spans="1:19" x14ac:dyDescent="0.75">
      <c r="A430" s="1">
        <v>45736</v>
      </c>
      <c r="B430">
        <v>0.548958383869944</v>
      </c>
      <c r="C430">
        <v>-7.53929275360926</v>
      </c>
      <c r="D430">
        <v>3.4441166468071298</v>
      </c>
      <c r="E430" t="s">
        <v>20</v>
      </c>
      <c r="F430">
        <v>-6.9903343697393199</v>
      </c>
      <c r="G430">
        <v>3.3304166666666699</v>
      </c>
      <c r="H430">
        <v>60.15</v>
      </c>
      <c r="I430">
        <v>3.214375</v>
      </c>
      <c r="J430">
        <v>0.327413660130351</v>
      </c>
      <c r="K430">
        <v>75.370942723013798</v>
      </c>
      <c r="L430">
        <v>24.073840502766199</v>
      </c>
      <c r="M430">
        <v>0.52505539761125897</v>
      </c>
      <c r="N430">
        <v>6512.0494512683899</v>
      </c>
      <c r="O430">
        <v>2079.979819439</v>
      </c>
      <c r="P430">
        <v>45364.786353612799</v>
      </c>
      <c r="Q430">
        <v>9220.1727479142392</v>
      </c>
      <c r="R430">
        <v>0.43843177841323799</v>
      </c>
      <c r="S430">
        <v>4042.4167351453102</v>
      </c>
    </row>
    <row r="431" spans="1:19" x14ac:dyDescent="0.75">
      <c r="A431" s="1">
        <v>45737</v>
      </c>
      <c r="B431">
        <v>0.61980697874260704</v>
      </c>
      <c r="C431">
        <v>-7.2441924887729199</v>
      </c>
      <c r="D431">
        <v>3.5285287743838101</v>
      </c>
      <c r="E431" t="s">
        <v>20</v>
      </c>
      <c r="F431">
        <v>-6.6243855100303204</v>
      </c>
      <c r="G431">
        <v>3.5833333333333299</v>
      </c>
      <c r="H431">
        <v>59.79</v>
      </c>
      <c r="I431">
        <v>3.4212500000000001</v>
      </c>
      <c r="J431">
        <v>0.31805786490360899</v>
      </c>
      <c r="K431">
        <v>69.265308397686596</v>
      </c>
      <c r="L431">
        <v>23.624471173126601</v>
      </c>
      <c r="M431">
        <v>0.51762506292868105</v>
      </c>
      <c r="N431">
        <v>5984.5226455601196</v>
      </c>
      <c r="O431">
        <v>2041.1543093581399</v>
      </c>
      <c r="P431">
        <v>44722.805437037998</v>
      </c>
      <c r="Q431">
        <v>8872.2427412806392</v>
      </c>
      <c r="R431">
        <v>0.420721142022845</v>
      </c>
      <c r="S431">
        <v>3732.7400984154901</v>
      </c>
    </row>
    <row r="432" spans="1:19" x14ac:dyDescent="0.75">
      <c r="A432" s="1">
        <v>45738</v>
      </c>
      <c r="B432">
        <v>0.60104643213838305</v>
      </c>
      <c r="C432">
        <v>-6.9394218109804404</v>
      </c>
      <c r="D432">
        <v>3.5240508411493199</v>
      </c>
      <c r="E432" t="s">
        <v>20</v>
      </c>
      <c r="F432">
        <v>-6.3383753788420503</v>
      </c>
      <c r="G432">
        <v>3.7054166666666699</v>
      </c>
      <c r="H432">
        <v>57.56</v>
      </c>
      <c r="I432">
        <v>3.5493749999999999</v>
      </c>
      <c r="J432">
        <v>0.305634355208105</v>
      </c>
      <c r="K432">
        <v>61.698412560685298</v>
      </c>
      <c r="L432">
        <v>23.1671369421938</v>
      </c>
      <c r="M432">
        <v>0.50757508652299799</v>
      </c>
      <c r="N432">
        <v>5330.7428452432096</v>
      </c>
      <c r="O432">
        <v>2001.6406318055399</v>
      </c>
      <c r="P432">
        <v>43854.487475587099</v>
      </c>
      <c r="Q432">
        <v>8711.0381253464402</v>
      </c>
      <c r="R432">
        <v>0.39771458966094603</v>
      </c>
      <c r="S432">
        <v>3464.5069535430198</v>
      </c>
    </row>
    <row r="433" spans="1:19" x14ac:dyDescent="0.75">
      <c r="A433" s="1">
        <v>45740</v>
      </c>
      <c r="B433">
        <v>0.44093661394167899</v>
      </c>
      <c r="C433">
        <v>-10.8651373410432</v>
      </c>
      <c r="D433">
        <v>6.0786642087728797</v>
      </c>
      <c r="E433" t="s">
        <v>20</v>
      </c>
      <c r="F433">
        <v>-10.424200727101599</v>
      </c>
      <c r="G433">
        <v>3.57125</v>
      </c>
      <c r="H433">
        <v>59.32</v>
      </c>
      <c r="I433">
        <v>3.4725000000000001</v>
      </c>
      <c r="J433">
        <v>0.28354093980915202</v>
      </c>
      <c r="K433">
        <v>49.572037774175399</v>
      </c>
      <c r="L433">
        <v>22.232961783376499</v>
      </c>
      <c r="M433">
        <v>0.48919709746739998</v>
      </c>
      <c r="N433">
        <v>4283.0240636887502</v>
      </c>
      <c r="O433">
        <v>1920.92789808373</v>
      </c>
      <c r="P433">
        <v>42266.629221183299</v>
      </c>
      <c r="Q433">
        <v>4867.2931155052302</v>
      </c>
      <c r="R433">
        <v>0.35738566269879102</v>
      </c>
      <c r="S433">
        <v>1739.5007756340999</v>
      </c>
    </row>
    <row r="434" spans="1:19" x14ac:dyDescent="0.75">
      <c r="A434" s="1">
        <v>45741</v>
      </c>
      <c r="B434">
        <v>0.61104709548150704</v>
      </c>
      <c r="C434">
        <v>-11.3516538382079</v>
      </c>
      <c r="D434">
        <v>6.5785652224713296</v>
      </c>
      <c r="E434" t="s">
        <v>20</v>
      </c>
      <c r="F434">
        <v>-10.740606742726399</v>
      </c>
      <c r="G434">
        <v>3.6054166666666698</v>
      </c>
      <c r="H434">
        <v>60.51</v>
      </c>
      <c r="I434">
        <v>3.42625</v>
      </c>
      <c r="J434">
        <v>0.27484272165514001</v>
      </c>
      <c r="K434">
        <v>45.308202546125301</v>
      </c>
      <c r="L434">
        <v>21.763566564006901</v>
      </c>
      <c r="M434">
        <v>0.481742485948845</v>
      </c>
      <c r="N434">
        <v>3914.62869998523</v>
      </c>
      <c r="O434">
        <v>1880.3721511302001</v>
      </c>
      <c r="P434">
        <v>41622.550785980202</v>
      </c>
      <c r="Q434">
        <v>4428.89666133627</v>
      </c>
      <c r="R434">
        <v>0.34219813901665602</v>
      </c>
      <c r="S434">
        <v>1515.56019540635</v>
      </c>
    </row>
    <row r="435" spans="1:19" x14ac:dyDescent="0.75">
      <c r="A435" s="1">
        <v>45742</v>
      </c>
      <c r="B435">
        <v>1.04188150943283</v>
      </c>
      <c r="C435">
        <v>-8.9434916822104107</v>
      </c>
      <c r="D435">
        <v>5.3390948983617799</v>
      </c>
      <c r="E435" t="s">
        <v>20</v>
      </c>
      <c r="F435">
        <v>-7.9016101727775796</v>
      </c>
      <c r="G435">
        <v>3.8604166666666702</v>
      </c>
      <c r="H435">
        <v>61.34</v>
      </c>
      <c r="I435">
        <v>3.49125</v>
      </c>
      <c r="J435">
        <v>0.26084640141308302</v>
      </c>
      <c r="K435">
        <v>38.931853753656902</v>
      </c>
      <c r="L435">
        <v>21.3013408362816</v>
      </c>
      <c r="M435">
        <v>0.46950841165662899</v>
      </c>
      <c r="N435">
        <v>3363.7121643159599</v>
      </c>
      <c r="O435">
        <v>1840.43584825473</v>
      </c>
      <c r="P435">
        <v>40565.526767132797</v>
      </c>
      <c r="Q435">
        <v>5318.4798692575696</v>
      </c>
      <c r="R435">
        <v>0.31788999257141798</v>
      </c>
      <c r="S435">
        <v>1690.6915261295301</v>
      </c>
    </row>
    <row r="436" spans="1:19" x14ac:dyDescent="0.75">
      <c r="A436" s="1">
        <v>45743</v>
      </c>
      <c r="B436">
        <v>0.55921551125123403</v>
      </c>
      <c r="C436">
        <v>-10.1218687261102</v>
      </c>
      <c r="D436">
        <v>6.7350490334060904</v>
      </c>
      <c r="E436" t="s">
        <v>20</v>
      </c>
      <c r="F436">
        <v>-9.5626532148589902</v>
      </c>
      <c r="G436">
        <v>3.78833333333333</v>
      </c>
      <c r="H436">
        <v>61.27</v>
      </c>
      <c r="I436">
        <v>3.61625</v>
      </c>
      <c r="J436">
        <v>0.247453462331167</v>
      </c>
      <c r="K436">
        <v>33.380614764187698</v>
      </c>
      <c r="L436">
        <v>20.8524286280384</v>
      </c>
      <c r="M436">
        <v>0.45750343305965802</v>
      </c>
      <c r="N436">
        <v>2884.08511562582</v>
      </c>
      <c r="O436">
        <v>1801.6498334625201</v>
      </c>
      <c r="P436">
        <v>39528.296616354397</v>
      </c>
      <c r="Q436">
        <v>4108.3305398676202</v>
      </c>
      <c r="R436">
        <v>0.29485360271661798</v>
      </c>
      <c r="S436">
        <v>1211.35606083067</v>
      </c>
    </row>
    <row r="437" spans="1:19" x14ac:dyDescent="0.75">
      <c r="A437" s="1">
        <v>45744</v>
      </c>
      <c r="B437">
        <v>0.46104373272855398</v>
      </c>
      <c r="C437">
        <v>-9.8707223479874102</v>
      </c>
      <c r="D437">
        <v>6.8896423602069303</v>
      </c>
      <c r="E437" t="s">
        <v>20</v>
      </c>
      <c r="F437">
        <v>-9.4096786152588603</v>
      </c>
      <c r="G437">
        <v>3.7595833333333299</v>
      </c>
      <c r="H437">
        <v>60.69</v>
      </c>
      <c r="I437">
        <v>3.6193749999999998</v>
      </c>
      <c r="J437">
        <v>0.234900785710663</v>
      </c>
      <c r="K437">
        <v>28.6989217705108</v>
      </c>
      <c r="L437">
        <v>20.420198395335799</v>
      </c>
      <c r="M437">
        <v>0.445931285047032</v>
      </c>
      <c r="N437">
        <v>2479.5868409721402</v>
      </c>
      <c r="O437">
        <v>1764.3051413570199</v>
      </c>
      <c r="P437">
        <v>38528.463028063597</v>
      </c>
      <c r="Q437">
        <v>3914.56083053264</v>
      </c>
      <c r="R437">
        <v>0.27397640889863001</v>
      </c>
      <c r="S437">
        <v>1072.4973187645701</v>
      </c>
    </row>
    <row r="438" spans="1:19" x14ac:dyDescent="0.75">
      <c r="A438" s="1">
        <v>45745</v>
      </c>
      <c r="B438">
        <v>0.48280836066016403</v>
      </c>
      <c r="C438">
        <v>-9.3248962698066595</v>
      </c>
      <c r="D438">
        <v>6.7130338521859398</v>
      </c>
      <c r="E438" t="s">
        <v>20</v>
      </c>
      <c r="F438">
        <v>-8.8420879091464997</v>
      </c>
      <c r="G438">
        <v>3.6958333333333302</v>
      </c>
      <c r="H438">
        <v>61.84</v>
      </c>
      <c r="I438">
        <v>3.55066666666667</v>
      </c>
      <c r="J438">
        <v>0.22398911616005099</v>
      </c>
      <c r="K438">
        <v>24.9789753305921</v>
      </c>
      <c r="L438">
        <v>20.008912725645999</v>
      </c>
      <c r="M438">
        <v>0.43562885846549598</v>
      </c>
      <c r="N438">
        <v>2158.1834685631502</v>
      </c>
      <c r="O438">
        <v>1728.7700594958201</v>
      </c>
      <c r="P438">
        <v>37638.333371418899</v>
      </c>
      <c r="Q438">
        <v>3924.7282138185501</v>
      </c>
      <c r="R438">
        <v>0.25599475125004101</v>
      </c>
      <c r="S438">
        <v>1004.7098228205</v>
      </c>
    </row>
    <row r="439" spans="1:19" x14ac:dyDescent="0.75">
      <c r="A439" s="1">
        <v>45747</v>
      </c>
      <c r="B439">
        <v>0.61581642415884097</v>
      </c>
      <c r="C439">
        <v>-7.6469590591471199</v>
      </c>
      <c r="D439">
        <v>3.4387473062489202</v>
      </c>
      <c r="E439" t="s">
        <v>20</v>
      </c>
      <c r="F439">
        <v>-7.0311426349882797</v>
      </c>
      <c r="G439">
        <v>3.2037499999999999</v>
      </c>
      <c r="H439">
        <v>63.43</v>
      </c>
      <c r="I439">
        <v>3.08266666666667</v>
      </c>
      <c r="J439">
        <v>0.32163637584851001</v>
      </c>
      <c r="K439">
        <v>71.627950238192895</v>
      </c>
      <c r="L439">
        <v>19.259636540544999</v>
      </c>
      <c r="M439">
        <v>0.52045825709191595</v>
      </c>
      <c r="N439">
        <v>6188.6549005798697</v>
      </c>
      <c r="O439">
        <v>1664.03259710309</v>
      </c>
      <c r="P439">
        <v>44967.593412741502</v>
      </c>
      <c r="Q439">
        <v>9153.7157533262907</v>
      </c>
      <c r="R439">
        <v>0.42788933334377599</v>
      </c>
      <c r="S439">
        <v>3916.7773313092098</v>
      </c>
    </row>
    <row r="440" spans="1:19" x14ac:dyDescent="0.75">
      <c r="A440" s="1">
        <v>45750</v>
      </c>
      <c r="B440">
        <v>0.385007223585694</v>
      </c>
      <c r="C440">
        <v>-10.1130776148688</v>
      </c>
      <c r="D440">
        <v>5.6564115453003803</v>
      </c>
      <c r="E440" t="s">
        <v>20</v>
      </c>
      <c r="F440">
        <v>-9.7280703912831399</v>
      </c>
      <c r="G440">
        <v>3.0645833333333301</v>
      </c>
      <c r="H440">
        <v>67.349999999999994</v>
      </c>
      <c r="I440">
        <v>2.92933333333333</v>
      </c>
      <c r="J440">
        <v>0.268933334836367</v>
      </c>
      <c r="K440">
        <v>42.559935852240898</v>
      </c>
      <c r="L440">
        <v>18.3527751313501</v>
      </c>
      <c r="M440">
        <v>0.47660583463073197</v>
      </c>
      <c r="N440">
        <v>3677.1784576336099</v>
      </c>
      <c r="O440">
        <v>1585.6797713486501</v>
      </c>
      <c r="P440">
        <v>41178.744112095301</v>
      </c>
      <c r="Q440">
        <v>5096.00842294015</v>
      </c>
      <c r="R440">
        <v>0.33204502127691898</v>
      </c>
      <c r="S440">
        <v>1692.10422522252</v>
      </c>
    </row>
    <row r="441" spans="1:19" x14ac:dyDescent="0.75">
      <c r="A441" s="1">
        <v>45751</v>
      </c>
      <c r="B441">
        <v>0.32699394089568801</v>
      </c>
      <c r="C441">
        <v>-9.6316673272178104</v>
      </c>
      <c r="D441">
        <v>5.7628910380254501</v>
      </c>
      <c r="E441" t="s">
        <v>20</v>
      </c>
      <c r="F441">
        <v>-9.3046733863221203</v>
      </c>
      <c r="G441">
        <v>3.1145833333333299</v>
      </c>
      <c r="H441">
        <v>67.959999999999994</v>
      </c>
      <c r="I441">
        <v>2.9986666666666699</v>
      </c>
      <c r="J441">
        <v>0.25494220836926601</v>
      </c>
      <c r="K441">
        <v>36.415569115152401</v>
      </c>
      <c r="L441">
        <v>17.8549014386397</v>
      </c>
      <c r="M441">
        <v>0.46425547210873902</v>
      </c>
      <c r="N441">
        <v>3146.3051715491702</v>
      </c>
      <c r="O441">
        <v>1542.6634842984699</v>
      </c>
      <c r="P441">
        <v>40111.672790195102</v>
      </c>
      <c r="Q441">
        <v>4872.2370018567999</v>
      </c>
      <c r="R441">
        <v>0.30767224948008298</v>
      </c>
      <c r="S441">
        <v>1499.0521183613801</v>
      </c>
    </row>
    <row r="442" spans="1:19" x14ac:dyDescent="0.75">
      <c r="A442" s="1">
        <v>45752</v>
      </c>
      <c r="B442">
        <v>0.36395649981122902</v>
      </c>
      <c r="C442">
        <v>-8.9630942754657408</v>
      </c>
      <c r="D442">
        <v>5.70797829621677</v>
      </c>
      <c r="E442" t="s">
        <v>20</v>
      </c>
      <c r="F442">
        <v>-8.5991377756545102</v>
      </c>
      <c r="G442">
        <v>3.1608333333333301</v>
      </c>
      <c r="H442">
        <v>68.040000000000006</v>
      </c>
      <c r="I442">
        <v>3.0413333333333301</v>
      </c>
      <c r="J442">
        <v>0.238946058952724</v>
      </c>
      <c r="K442">
        <v>30.178871756285002</v>
      </c>
      <c r="L442">
        <v>17.034941285982601</v>
      </c>
      <c r="M442">
        <v>0.44967954478238797</v>
      </c>
      <c r="N442">
        <v>2607.4545197430198</v>
      </c>
      <c r="O442">
        <v>1471.8189271089</v>
      </c>
      <c r="P442">
        <v>38852.312669198298</v>
      </c>
      <c r="Q442">
        <v>4764.6675332428304</v>
      </c>
      <c r="R442">
        <v>0.28086653404948603</v>
      </c>
      <c r="S442">
        <v>1338.23565596003</v>
      </c>
    </row>
    <row r="443" spans="1:19" x14ac:dyDescent="0.75">
      <c r="A443" s="1">
        <v>45753</v>
      </c>
      <c r="B443">
        <v>0.27993617526389802</v>
      </c>
      <c r="C443">
        <v>-8.4576172274851302</v>
      </c>
      <c r="D443">
        <v>5.7101269692517604</v>
      </c>
      <c r="E443" t="s">
        <v>20</v>
      </c>
      <c r="F443">
        <v>-8.1776810522212298</v>
      </c>
      <c r="G443">
        <v>3.1104166666666702</v>
      </c>
      <c r="H443">
        <v>68.400000000000006</v>
      </c>
      <c r="I443">
        <v>3.0126666666666702</v>
      </c>
      <c r="J443">
        <v>0.225157489708919</v>
      </c>
      <c r="K443">
        <v>25.390651229828499</v>
      </c>
      <c r="L443">
        <v>16.245960281852401</v>
      </c>
      <c r="M443">
        <v>0.43672104570998699</v>
      </c>
      <c r="N443">
        <v>2193.7522662571801</v>
      </c>
      <c r="O443">
        <v>1403.6509683520501</v>
      </c>
      <c r="P443">
        <v>37732.6983493429</v>
      </c>
      <c r="Q443">
        <v>4625.6219847246402</v>
      </c>
      <c r="R443">
        <v>0.25821610197299599</v>
      </c>
      <c r="S443">
        <v>1194.4100780961901</v>
      </c>
    </row>
    <row r="444" spans="1:19" x14ac:dyDescent="0.75">
      <c r="A444" s="1">
        <v>45754</v>
      </c>
      <c r="B444">
        <v>0.31961975367531098</v>
      </c>
      <c r="C444">
        <v>-7.8429576465606603</v>
      </c>
      <c r="D444">
        <v>5.5084776193153004</v>
      </c>
      <c r="E444" t="s">
        <v>20</v>
      </c>
      <c r="F444">
        <v>-7.5233378928853503</v>
      </c>
      <c r="G444">
        <v>3.1175000000000002</v>
      </c>
      <c r="H444">
        <v>68.400000000000006</v>
      </c>
      <c r="I444">
        <v>3.0219999999999998</v>
      </c>
      <c r="J444">
        <v>0.21481826448501401</v>
      </c>
      <c r="K444">
        <v>22.142317266369599</v>
      </c>
      <c r="L444">
        <v>15.4838514379625</v>
      </c>
      <c r="M444">
        <v>0.42674235247314801</v>
      </c>
      <c r="N444">
        <v>1913.09621181433</v>
      </c>
      <c r="O444">
        <v>1337.8047642399599</v>
      </c>
      <c r="P444">
        <v>36870.539253679999</v>
      </c>
      <c r="Q444">
        <v>4685.3920921955296</v>
      </c>
      <c r="R444">
        <v>0.24153836304818699</v>
      </c>
      <c r="S444">
        <v>1131.7019361878299</v>
      </c>
    </row>
    <row r="445" spans="1:19" x14ac:dyDescent="0.75">
      <c r="A445" s="1">
        <v>45755</v>
      </c>
      <c r="B445">
        <v>0.27909769081644897</v>
      </c>
      <c r="C445">
        <v>-7.4937109808490998</v>
      </c>
      <c r="D445">
        <v>5.50187328491584</v>
      </c>
      <c r="E445" t="s">
        <v>20</v>
      </c>
      <c r="F445">
        <v>-7.2146132900326503</v>
      </c>
      <c r="G445">
        <v>3.2466666666666701</v>
      </c>
      <c r="H445">
        <v>67.599999999999994</v>
      </c>
      <c r="I445">
        <v>3.1293333333333302</v>
      </c>
      <c r="J445">
        <v>0.213476689832168</v>
      </c>
      <c r="K445">
        <v>21.739585283711701</v>
      </c>
      <c r="L445">
        <v>14.744402509952099</v>
      </c>
      <c r="M445">
        <v>0.42543231273658499</v>
      </c>
      <c r="N445">
        <v>1878.3001685126901</v>
      </c>
      <c r="O445">
        <v>1273.9163768598601</v>
      </c>
      <c r="P445">
        <v>36757.351820440999</v>
      </c>
      <c r="Q445">
        <v>4676.61557107313</v>
      </c>
      <c r="R445">
        <v>0.23937033208955599</v>
      </c>
      <c r="S445">
        <v>1119.4430223029599</v>
      </c>
    </row>
    <row r="446" spans="1:19" x14ac:dyDescent="0.75">
      <c r="A446" s="1">
        <v>45756</v>
      </c>
      <c r="B446">
        <v>0.46919094030195002</v>
      </c>
      <c r="C446">
        <v>-8.9748346222142299</v>
      </c>
      <c r="D446">
        <v>6.8579047156799797</v>
      </c>
      <c r="E446" t="s">
        <v>20</v>
      </c>
      <c r="F446">
        <v>-8.5056436819122805</v>
      </c>
      <c r="G446">
        <v>3.4208333333333298</v>
      </c>
      <c r="H446">
        <v>65.12</v>
      </c>
      <c r="I446">
        <v>3.3</v>
      </c>
      <c r="J446">
        <v>0.20497222206565699</v>
      </c>
      <c r="K446">
        <v>19.297430413491</v>
      </c>
      <c r="L446">
        <v>14.0209807643782</v>
      </c>
      <c r="M446">
        <v>0.41702686681404599</v>
      </c>
      <c r="N446">
        <v>1667.29798772562</v>
      </c>
      <c r="O446">
        <v>1211.4127380422799</v>
      </c>
      <c r="P446">
        <v>36031.121292733602</v>
      </c>
      <c r="Q446">
        <v>3677.7683491644598</v>
      </c>
      <c r="R446">
        <v>0.225756591351575</v>
      </c>
      <c r="S446">
        <v>830.28044628807902</v>
      </c>
    </row>
    <row r="447" spans="1:19" x14ac:dyDescent="0.75">
      <c r="A447" s="1">
        <v>45757</v>
      </c>
      <c r="B447">
        <v>0.41119432161273001</v>
      </c>
      <c r="C447">
        <v>-8.7958389813387807</v>
      </c>
      <c r="D447">
        <v>6.8097805301097996</v>
      </c>
      <c r="E447" t="s">
        <v>20</v>
      </c>
      <c r="F447">
        <v>-8.3846446597260496</v>
      </c>
      <c r="G447">
        <v>3.50708333333333</v>
      </c>
      <c r="H447">
        <v>64.33</v>
      </c>
      <c r="I447">
        <v>3.3879999999999999</v>
      </c>
      <c r="J447">
        <v>0.205157165617362</v>
      </c>
      <c r="K447">
        <v>19.3325578088565</v>
      </c>
      <c r="L447">
        <v>13.307821698228899</v>
      </c>
      <c r="M447">
        <v>0.41722727825869299</v>
      </c>
      <c r="N447">
        <v>1670.3329946852</v>
      </c>
      <c r="O447">
        <v>1149.7957947269799</v>
      </c>
      <c r="P447">
        <v>36048.436841551098</v>
      </c>
      <c r="Q447">
        <v>3705.5387728742098</v>
      </c>
      <c r="R447">
        <v>0.22585511590653001</v>
      </c>
      <c r="S447">
        <v>836.91488904364496</v>
      </c>
    </row>
    <row r="448" spans="1:19" x14ac:dyDescent="0.75">
      <c r="A448" s="1">
        <v>45758</v>
      </c>
      <c r="B448">
        <v>0.49632244250087798</v>
      </c>
      <c r="C448">
        <v>-3.8230789174684001</v>
      </c>
      <c r="D448">
        <v>2.5260049832228102</v>
      </c>
      <c r="E448" t="s">
        <v>20</v>
      </c>
      <c r="F448">
        <v>-3.32675647496752</v>
      </c>
      <c r="G448">
        <v>3.6054166666666698</v>
      </c>
      <c r="H448">
        <v>65.66</v>
      </c>
      <c r="I448">
        <v>3.5333333333333301</v>
      </c>
      <c r="J448">
        <v>0.21130140139068199</v>
      </c>
      <c r="K448">
        <v>21.416551938784</v>
      </c>
      <c r="L448">
        <v>12.5999942593828</v>
      </c>
      <c r="M448">
        <v>0.42303740107100002</v>
      </c>
      <c r="N448">
        <v>1850.39008751093</v>
      </c>
      <c r="O448">
        <v>1088.63950401068</v>
      </c>
      <c r="P448">
        <v>36550.431452534402</v>
      </c>
      <c r="Q448">
        <v>10128.761497584601</v>
      </c>
      <c r="R448">
        <v>0.23958984579812501</v>
      </c>
      <c r="S448">
        <v>2426.7484053322801</v>
      </c>
    </row>
    <row r="449" spans="1:19" x14ac:dyDescent="0.75">
      <c r="A449" s="1">
        <v>45759</v>
      </c>
      <c r="B449">
        <v>0.28320055782353498</v>
      </c>
      <c r="C449">
        <v>-8.4608391423353098</v>
      </c>
      <c r="D449">
        <v>5.8968925761484101</v>
      </c>
      <c r="E449" t="s">
        <v>20</v>
      </c>
      <c r="F449">
        <v>-8.1776385845117705</v>
      </c>
      <c r="G449">
        <v>3.4429166666666702</v>
      </c>
      <c r="H449">
        <v>63.79</v>
      </c>
      <c r="I449">
        <v>3.3393333333333302</v>
      </c>
      <c r="J449">
        <v>0.23215305294246999</v>
      </c>
      <c r="K449">
        <v>27.7428674612867</v>
      </c>
      <c r="L449">
        <v>11.8945012561538</v>
      </c>
      <c r="M449">
        <v>0.44335118436642101</v>
      </c>
      <c r="N449">
        <v>2396.9837486551701</v>
      </c>
      <c r="O449">
        <v>1027.6849085316901</v>
      </c>
      <c r="P449">
        <v>38305.542329258802</v>
      </c>
      <c r="Q449">
        <v>4547.12024752447</v>
      </c>
      <c r="R449">
        <v>0.269543631272541</v>
      </c>
      <c r="S449">
        <v>1225.64730335064</v>
      </c>
    </row>
    <row r="450" spans="1:19" x14ac:dyDescent="0.75">
      <c r="A450" s="1">
        <v>45760</v>
      </c>
      <c r="B450">
        <v>0.35171949639573702</v>
      </c>
      <c r="C450">
        <v>-9.5013440358183594</v>
      </c>
      <c r="D450">
        <v>6.9561893118367699</v>
      </c>
      <c r="E450" t="s">
        <v>20</v>
      </c>
      <c r="F450">
        <v>-9.1496245394226197</v>
      </c>
      <c r="G450">
        <v>3.5416666666666701</v>
      </c>
      <c r="H450">
        <v>63.03</v>
      </c>
      <c r="I450">
        <v>3.4393333333333298</v>
      </c>
      <c r="J450">
        <v>0.221490910406063</v>
      </c>
      <c r="K450">
        <v>24.1714923495588</v>
      </c>
      <c r="L450">
        <v>11.1919086173049</v>
      </c>
      <c r="M450">
        <v>0.433236813576865</v>
      </c>
      <c r="N450">
        <v>2088.4169390018801</v>
      </c>
      <c r="O450">
        <v>966.98090453514101</v>
      </c>
      <c r="P450">
        <v>37431.6606930411</v>
      </c>
      <c r="Q450">
        <v>3766.7408563109102</v>
      </c>
      <c r="R450">
        <v>0.25189654071134798</v>
      </c>
      <c r="S450">
        <v>948.82899146081604</v>
      </c>
    </row>
    <row r="451" spans="1:19" x14ac:dyDescent="0.75">
      <c r="A451" s="1">
        <v>45761</v>
      </c>
      <c r="B451">
        <v>0.32012670467772703</v>
      </c>
      <c r="C451">
        <v>-8.1566914377606992</v>
      </c>
      <c r="D451">
        <v>6.2171376297342897</v>
      </c>
      <c r="E451" t="s">
        <v>20</v>
      </c>
      <c r="F451">
        <v>-7.8365647330829704</v>
      </c>
      <c r="G451">
        <v>3.6033333333333299</v>
      </c>
      <c r="H451">
        <v>62.78</v>
      </c>
      <c r="I451">
        <v>3.4986666666666699</v>
      </c>
      <c r="J451">
        <v>0.213831898875919</v>
      </c>
      <c r="K451">
        <v>21.830183302398801</v>
      </c>
      <c r="L451">
        <v>10.494082967468</v>
      </c>
      <c r="M451">
        <v>0.42579328373387298</v>
      </c>
      <c r="N451">
        <v>1886.1278373272501</v>
      </c>
      <c r="O451">
        <v>906.68876838923597</v>
      </c>
      <c r="P451">
        <v>36788.539714606697</v>
      </c>
      <c r="Q451">
        <v>4142.0955001964903</v>
      </c>
      <c r="R451">
        <v>0.23976516356984501</v>
      </c>
      <c r="S451">
        <v>993.130205126531</v>
      </c>
    </row>
    <row r="452" spans="1:19" x14ac:dyDescent="0.75">
      <c r="A452" s="1">
        <v>45762</v>
      </c>
      <c r="B452">
        <v>0.37444574901845701</v>
      </c>
      <c r="C452">
        <v>-8.8178672570296897</v>
      </c>
      <c r="D452">
        <v>6.8520291772245399</v>
      </c>
      <c r="E452" t="s">
        <v>20</v>
      </c>
      <c r="F452">
        <v>-8.4434215080112303</v>
      </c>
      <c r="G452">
        <v>3.6166666666666698</v>
      </c>
      <c r="H452">
        <v>63.79</v>
      </c>
      <c r="I452">
        <v>3.5219999999999998</v>
      </c>
      <c r="J452">
        <v>0.209231794978742</v>
      </c>
      <c r="K452">
        <v>20.473544982778002</v>
      </c>
      <c r="L452">
        <v>9.8025934477196195</v>
      </c>
      <c r="M452">
        <v>0.42128003888137899</v>
      </c>
      <c r="N452">
        <v>1768.91428651202</v>
      </c>
      <c r="O452">
        <v>846.94407388297498</v>
      </c>
      <c r="P452">
        <v>36398.595359351202</v>
      </c>
      <c r="Q452">
        <v>3718.4629680555799</v>
      </c>
      <c r="R452">
        <v>0.23227072971190099</v>
      </c>
      <c r="S452">
        <v>863.69010699695104</v>
      </c>
    </row>
    <row r="453" spans="1:19" x14ac:dyDescent="0.75">
      <c r="A453" s="1">
        <v>45763</v>
      </c>
      <c r="B453">
        <v>0.15168666839557499</v>
      </c>
      <c r="C453">
        <v>-4.7885373997909904</v>
      </c>
      <c r="D453">
        <v>4.2697297340103901</v>
      </c>
      <c r="E453" t="s">
        <v>20</v>
      </c>
      <c r="F453">
        <v>-4.6368507313954197</v>
      </c>
      <c r="G453">
        <v>3.6854166666666699</v>
      </c>
      <c r="H453">
        <v>64.94</v>
      </c>
      <c r="I453">
        <v>3.57466666666667</v>
      </c>
      <c r="J453">
        <v>0.194673192143587</v>
      </c>
      <c r="K453">
        <v>16.7556548472892</v>
      </c>
      <c r="L453">
        <v>9.1189619609444605</v>
      </c>
      <c r="M453">
        <v>0.40642319999814203</v>
      </c>
      <c r="N453">
        <v>1447.68857880579</v>
      </c>
      <c r="O453">
        <v>787.87831342560105</v>
      </c>
      <c r="P453">
        <v>35114.964479839502</v>
      </c>
      <c r="Q453">
        <v>5756.9159331310002</v>
      </c>
      <c r="R453">
        <v>0.211776011363073</v>
      </c>
      <c r="S453">
        <v>1219.1766940710099</v>
      </c>
    </row>
    <row r="454" spans="1:19" x14ac:dyDescent="0.75">
      <c r="A454" s="1">
        <v>45764</v>
      </c>
      <c r="B454">
        <v>0.28611236405047202</v>
      </c>
      <c r="C454">
        <v>-7.0262578857485902</v>
      </c>
      <c r="D454">
        <v>6.7728508362998099</v>
      </c>
      <c r="E454" t="s">
        <v>20</v>
      </c>
      <c r="F454">
        <v>-6.7401455216981203</v>
      </c>
      <c r="G454">
        <v>3.8487499999999999</v>
      </c>
      <c r="H454">
        <v>62.24</v>
      </c>
      <c r="I454">
        <v>3.7566666666666699</v>
      </c>
      <c r="J454">
        <v>0.17546345092690199</v>
      </c>
      <c r="K454">
        <v>12.271725439240001</v>
      </c>
      <c r="L454">
        <v>8.4439880725431795</v>
      </c>
      <c r="M454">
        <v>0.38634089008885603</v>
      </c>
      <c r="N454">
        <v>1060.2770779503401</v>
      </c>
      <c r="O454">
        <v>729.56056946773003</v>
      </c>
      <c r="P454">
        <v>33379.8529036771</v>
      </c>
      <c r="Q454">
        <v>3449.9352779692099</v>
      </c>
      <c r="R454">
        <v>0.18102905628243299</v>
      </c>
      <c r="S454">
        <v>624.53852760623897</v>
      </c>
    </row>
    <row r="455" spans="1:19" x14ac:dyDescent="0.75">
      <c r="A455" s="1">
        <v>45765</v>
      </c>
      <c r="B455">
        <v>0.289805073166299</v>
      </c>
      <c r="C455">
        <v>-6.1889176656624603</v>
      </c>
      <c r="D455">
        <v>6.0920918882840196</v>
      </c>
      <c r="E455" t="s">
        <v>20</v>
      </c>
      <c r="F455">
        <v>-5.8991125924961603</v>
      </c>
      <c r="G455">
        <v>3.8370833333333301</v>
      </c>
      <c r="H455">
        <v>63.57</v>
      </c>
      <c r="I455">
        <v>3.7360000000000002</v>
      </c>
      <c r="J455">
        <v>0.17064904735870101</v>
      </c>
      <c r="K455">
        <v>11.347892587862299</v>
      </c>
      <c r="L455">
        <v>7.7781035719763603</v>
      </c>
      <c r="M455">
        <v>0.381044402897111</v>
      </c>
      <c r="N455">
        <v>980.45791959130304</v>
      </c>
      <c r="O455">
        <v>672.028148618758</v>
      </c>
      <c r="P455">
        <v>32922.236410310397</v>
      </c>
      <c r="Q455">
        <v>3782.8657068579801</v>
      </c>
      <c r="R455">
        <v>0.17451620545914501</v>
      </c>
      <c r="S455">
        <v>660.17136892237897</v>
      </c>
    </row>
    <row r="456" spans="1:19" x14ac:dyDescent="0.75">
      <c r="A456" s="1">
        <v>45766</v>
      </c>
      <c r="B456">
        <v>0.26602318650405099</v>
      </c>
      <c r="C456">
        <v>-5.8333538988661902</v>
      </c>
      <c r="D456">
        <v>5.96174234749384</v>
      </c>
      <c r="E456" t="s">
        <v>20</v>
      </c>
      <c r="F456">
        <v>-5.5673307123621401</v>
      </c>
      <c r="G456">
        <v>3.7712500000000002</v>
      </c>
      <c r="H456">
        <v>65.05</v>
      </c>
      <c r="I456">
        <v>3.6573333333333302</v>
      </c>
      <c r="J456">
        <v>0.16344212006605899</v>
      </c>
      <c r="K456">
        <v>10.014358945946899</v>
      </c>
      <c r="L456">
        <v>7.1205915624558802</v>
      </c>
      <c r="M456">
        <v>0.37303382569289101</v>
      </c>
      <c r="N456">
        <v>865.240612929809</v>
      </c>
      <c r="O456">
        <v>615.21911099618796</v>
      </c>
      <c r="P456">
        <v>32230.122539865799</v>
      </c>
      <c r="Q456">
        <v>3784.3107707246199</v>
      </c>
      <c r="R456">
        <v>0.16425210821011599</v>
      </c>
      <c r="S456">
        <v>621.58102221376998</v>
      </c>
    </row>
    <row r="457" spans="1:19" x14ac:dyDescent="0.75">
      <c r="A457" s="1">
        <v>45767</v>
      </c>
      <c r="B457">
        <v>0.35050239115739101</v>
      </c>
      <c r="C457">
        <v>-5.6590589901301804</v>
      </c>
      <c r="D457">
        <v>5.9875759028450899</v>
      </c>
      <c r="E457" t="s">
        <v>20</v>
      </c>
      <c r="F457">
        <v>-5.3085565989727899</v>
      </c>
      <c r="G457">
        <v>3.7954166666666702</v>
      </c>
      <c r="H457">
        <v>65.37</v>
      </c>
      <c r="I457">
        <v>3.6546666666666701</v>
      </c>
      <c r="J457">
        <v>0.15518424370182099</v>
      </c>
      <c r="K457">
        <v>8.6203009118031098</v>
      </c>
      <c r="L457">
        <v>6.46733021831312</v>
      </c>
      <c r="M457">
        <v>0.36362649429063199</v>
      </c>
      <c r="N457">
        <v>744.79399877978904</v>
      </c>
      <c r="O457">
        <v>558.77733086225396</v>
      </c>
      <c r="P457">
        <v>31417.3291067106</v>
      </c>
      <c r="Q457">
        <v>3672.9605990042701</v>
      </c>
      <c r="R457">
        <v>0.15276338855149901</v>
      </c>
      <c r="S457">
        <v>561.09390712003596</v>
      </c>
    </row>
    <row r="458" spans="1:19" x14ac:dyDescent="0.75">
      <c r="A458" s="1">
        <v>45768</v>
      </c>
      <c r="B458">
        <v>0.30867700525490599</v>
      </c>
      <c r="C458">
        <v>-4.7917401138530504</v>
      </c>
      <c r="D458">
        <v>5.1888158468438004</v>
      </c>
      <c r="E458" t="s">
        <v>20</v>
      </c>
      <c r="F458">
        <v>-4.4830631085981398</v>
      </c>
      <c r="G458">
        <v>3.6883333333333299</v>
      </c>
      <c r="H458">
        <v>65.88</v>
      </c>
      <c r="I458">
        <v>3.5846666666666702</v>
      </c>
      <c r="J458">
        <v>0.14911046261486499</v>
      </c>
      <c r="K458">
        <v>7.6720486886034296</v>
      </c>
      <c r="L458">
        <v>5.8147792060930499</v>
      </c>
      <c r="M458">
        <v>0.35656175890138803</v>
      </c>
      <c r="N458">
        <v>662.86500669533598</v>
      </c>
      <c r="O458">
        <v>502.39692340643899</v>
      </c>
      <c r="P458">
        <v>30806.935969079899</v>
      </c>
      <c r="Q458">
        <v>4156.0263102174204</v>
      </c>
      <c r="R458">
        <v>0.14430071043568601</v>
      </c>
      <c r="S458">
        <v>599.71754915377801</v>
      </c>
    </row>
    <row r="459" spans="1:19" x14ac:dyDescent="0.75">
      <c r="A459" s="1">
        <v>45769</v>
      </c>
      <c r="B459">
        <v>0.29230117820179002</v>
      </c>
      <c r="C459">
        <v>-4.9537575679215102</v>
      </c>
      <c r="D459">
        <v>5.5336435055560198</v>
      </c>
      <c r="E459" t="s">
        <v>20</v>
      </c>
      <c r="F459">
        <v>-4.6614563897197199</v>
      </c>
      <c r="G459">
        <v>3.6058333333333299</v>
      </c>
      <c r="H459">
        <v>66.09</v>
      </c>
      <c r="I459">
        <v>3.4893333333333301</v>
      </c>
      <c r="J459">
        <v>0.142326263440406</v>
      </c>
      <c r="K459">
        <v>6.7166324233907799</v>
      </c>
      <c r="L459">
        <v>5.1618575398467499</v>
      </c>
      <c r="M459">
        <v>0.34844989061409298</v>
      </c>
      <c r="N459">
        <v>580.31704138096404</v>
      </c>
      <c r="O459">
        <v>445.98449144275901</v>
      </c>
      <c r="P459">
        <v>30106.0705490576</v>
      </c>
      <c r="Q459">
        <v>3808.3858064186602</v>
      </c>
      <c r="R459">
        <v>0.13543353095573199</v>
      </c>
      <c r="S459">
        <v>515.78313700497404</v>
      </c>
    </row>
    <row r="460" spans="1:19" x14ac:dyDescent="0.75">
      <c r="A460" s="1">
        <v>45770</v>
      </c>
      <c r="B460">
        <v>0.195222784545341</v>
      </c>
      <c r="C460">
        <v>-4.2604974247672702</v>
      </c>
      <c r="D460">
        <v>5.1393041202434198</v>
      </c>
      <c r="E460" t="s">
        <v>20</v>
      </c>
      <c r="F460">
        <v>-4.0652746402219302</v>
      </c>
      <c r="G460">
        <v>3.4891666666666699</v>
      </c>
      <c r="H460">
        <v>66.56</v>
      </c>
      <c r="I460">
        <v>3.4086666666666701</v>
      </c>
      <c r="J460">
        <v>0.13443240295571501</v>
      </c>
      <c r="K460">
        <v>5.6833501579513896</v>
      </c>
      <c r="L460">
        <v>4.5062686735956596</v>
      </c>
      <c r="M460">
        <v>0.33882275903060199</v>
      </c>
      <c r="N460">
        <v>491.04145364700003</v>
      </c>
      <c r="O460">
        <v>389.341613398665</v>
      </c>
      <c r="P460">
        <v>29274.286380244099</v>
      </c>
      <c r="Q460">
        <v>3987.31034138533</v>
      </c>
      <c r="R460">
        <v>0.124775086047497</v>
      </c>
      <c r="S460">
        <v>497.51699094442802</v>
      </c>
    </row>
    <row r="461" spans="1:19" x14ac:dyDescent="0.75">
      <c r="A461" s="1">
        <v>45771</v>
      </c>
      <c r="B461">
        <v>0.21317805450688401</v>
      </c>
      <c r="C461">
        <v>-4.1663517491295297</v>
      </c>
      <c r="D461">
        <v>5.3276520274436399</v>
      </c>
      <c r="E461" t="s">
        <v>20</v>
      </c>
      <c r="F461">
        <v>-3.9531736946226399</v>
      </c>
      <c r="G461">
        <v>3.6462500000000002</v>
      </c>
      <c r="H461">
        <v>66.92</v>
      </c>
      <c r="I461">
        <v>3.5266666666666699</v>
      </c>
      <c r="J461">
        <v>0.129077846792057</v>
      </c>
      <c r="K461">
        <v>5.04919048656489</v>
      </c>
      <c r="L461">
        <v>3.8473725250170299</v>
      </c>
      <c r="M461">
        <v>0.33211637646257203</v>
      </c>
      <c r="N461">
        <v>436.25005803920698</v>
      </c>
      <c r="O461">
        <v>332.412986161471</v>
      </c>
      <c r="P461">
        <v>28694.854926366199</v>
      </c>
      <c r="Q461">
        <v>3770.2159121856898</v>
      </c>
      <c r="R461">
        <v>0.117782224453198</v>
      </c>
      <c r="S461">
        <v>444.06441680607099</v>
      </c>
    </row>
    <row r="462" spans="1:19" x14ac:dyDescent="0.75">
      <c r="A462" s="1">
        <v>45772</v>
      </c>
      <c r="B462">
        <v>0.23640362088170599</v>
      </c>
      <c r="C462">
        <v>-5.4231130882358896</v>
      </c>
      <c r="D462">
        <v>7.2532442810261903</v>
      </c>
      <c r="E462" t="s">
        <v>20</v>
      </c>
      <c r="F462">
        <v>-5.1867094673541798</v>
      </c>
      <c r="G462">
        <v>3.6791666666666698</v>
      </c>
      <c r="H462">
        <v>66.56</v>
      </c>
      <c r="I462">
        <v>3.5473333333333299</v>
      </c>
      <c r="J462">
        <v>0.122827928989191</v>
      </c>
      <c r="K462">
        <v>4.3688639494222201</v>
      </c>
      <c r="L462">
        <v>3.1847410559470499</v>
      </c>
      <c r="M462">
        <v>0.32411238545952697</v>
      </c>
      <c r="N462">
        <v>377.46984523008001</v>
      </c>
      <c r="O462">
        <v>275.16162723382502</v>
      </c>
      <c r="P462">
        <v>28003.310103703101</v>
      </c>
      <c r="Q462">
        <v>2702.5585121777899</v>
      </c>
      <c r="R462">
        <v>0.10974273111888901</v>
      </c>
      <c r="S462">
        <v>296.58615213499098</v>
      </c>
    </row>
    <row r="463" spans="1:19" x14ac:dyDescent="0.75">
      <c r="A463" s="1">
        <v>45773</v>
      </c>
      <c r="B463">
        <v>0.250758264783975</v>
      </c>
      <c r="C463">
        <v>-4.5979471797741098</v>
      </c>
      <c r="D463">
        <v>6.1472673288650004</v>
      </c>
      <c r="E463" t="s">
        <v>20</v>
      </c>
      <c r="F463">
        <v>-4.3471889149901397</v>
      </c>
      <c r="G463">
        <v>3.5474999999999999</v>
      </c>
      <c r="H463">
        <v>67.42</v>
      </c>
      <c r="I463">
        <v>3.39333333333333</v>
      </c>
      <c r="J463">
        <v>0.12053521607043199</v>
      </c>
      <c r="K463">
        <v>4.1373478635684204</v>
      </c>
      <c r="L463">
        <v>2.5178076124164499</v>
      </c>
      <c r="M463">
        <v>0.32111706483129598</v>
      </c>
      <c r="N463">
        <v>357.46685541231199</v>
      </c>
      <c r="O463">
        <v>217.53857771278101</v>
      </c>
      <c r="P463">
        <v>27744.514401424</v>
      </c>
      <c r="Q463">
        <v>3159.31600856256</v>
      </c>
      <c r="R463">
        <v>0.10689187649118601</v>
      </c>
      <c r="S463">
        <v>337.705216583896</v>
      </c>
    </row>
    <row r="464" spans="1:19" x14ac:dyDescent="0.75">
      <c r="A464" s="1">
        <v>45774</v>
      </c>
      <c r="B464">
        <v>0.240968976823449</v>
      </c>
      <c r="C464">
        <v>-3.6676355766493298</v>
      </c>
      <c r="D464">
        <v>5.16601471957713</v>
      </c>
      <c r="E464" t="s">
        <v>20</v>
      </c>
      <c r="F464">
        <v>-3.4266665998258801</v>
      </c>
      <c r="G464">
        <v>3.6133333333333302</v>
      </c>
      <c r="H464">
        <v>68.180000000000007</v>
      </c>
      <c r="I464">
        <v>3.5033333333333299</v>
      </c>
      <c r="J464">
        <v>0.11341342152381299</v>
      </c>
      <c r="K464">
        <v>3.4817768389333699</v>
      </c>
      <c r="L464">
        <v>1.8457756893738499</v>
      </c>
      <c r="M464">
        <v>0.31157472880488701</v>
      </c>
      <c r="N464">
        <v>300.82551888384302</v>
      </c>
      <c r="O464">
        <v>159.47501956190101</v>
      </c>
      <c r="P464">
        <v>26920.056568742199</v>
      </c>
      <c r="Q464">
        <v>3647.6937486663001</v>
      </c>
      <c r="R464">
        <v>9.8531309257737607E-2</v>
      </c>
      <c r="S464">
        <v>359.41204082735499</v>
      </c>
    </row>
    <row r="465" spans="1:19" x14ac:dyDescent="0.75">
      <c r="A465" s="1">
        <v>45775</v>
      </c>
      <c r="B465">
        <v>0.189089290387293</v>
      </c>
      <c r="C465">
        <v>-5.6347283686142804</v>
      </c>
      <c r="D465">
        <v>7.3668560980001896</v>
      </c>
      <c r="E465" t="s">
        <v>20</v>
      </c>
      <c r="F465">
        <v>-5.4456390782269803</v>
      </c>
      <c r="G465">
        <v>3.4741666666666702</v>
      </c>
      <c r="H465">
        <v>69.12</v>
      </c>
      <c r="I465">
        <v>3.4586666666666699</v>
      </c>
      <c r="J465">
        <v>0.12199127958861999</v>
      </c>
      <c r="K465">
        <v>4.2751280581528803</v>
      </c>
      <c r="L465">
        <v>1.17151520149702</v>
      </c>
      <c r="M465">
        <v>0.32305234930549898</v>
      </c>
      <c r="N465">
        <v>369.371064224409</v>
      </c>
      <c r="O465">
        <v>101.218913409343</v>
      </c>
      <c r="P465">
        <v>27911.722979995098</v>
      </c>
      <c r="Q465">
        <v>2652.17697021399</v>
      </c>
      <c r="R465">
        <v>0.108479440808237</v>
      </c>
      <c r="S465">
        <v>287.70667465329899</v>
      </c>
    </row>
    <row r="466" spans="1:19" x14ac:dyDescent="0.75">
      <c r="A466" s="1">
        <v>45776</v>
      </c>
      <c r="B466">
        <v>0.103210134217954</v>
      </c>
      <c r="C466">
        <v>-3.90202139147965</v>
      </c>
      <c r="D466">
        <v>5.3677524992174996</v>
      </c>
      <c r="E466" t="s">
        <v>20</v>
      </c>
      <c r="F466">
        <v>-3.7988112572617001</v>
      </c>
      <c r="G466">
        <v>3.5958333333333301</v>
      </c>
      <c r="H466">
        <v>68.069999999999993</v>
      </c>
      <c r="I466">
        <v>3.61066666666667</v>
      </c>
      <c r="J466">
        <v>0.122810315317601</v>
      </c>
      <c r="K466">
        <v>4.3620813752083203</v>
      </c>
      <c r="L466">
        <v>0.75702001105328698</v>
      </c>
      <c r="M466">
        <v>0.324106694836513</v>
      </c>
      <c r="N466">
        <v>376.88383081799901</v>
      </c>
      <c r="O466">
        <v>65.406528955004006</v>
      </c>
      <c r="P466">
        <v>28002.8184338748</v>
      </c>
      <c r="Q466">
        <v>3651.8026691003101</v>
      </c>
      <c r="R466">
        <v>0.10958999690938</v>
      </c>
      <c r="S466">
        <v>400.20104322036701</v>
      </c>
    </row>
    <row r="467" spans="1:19" x14ac:dyDescent="0.75">
      <c r="A467" s="1">
        <v>45777</v>
      </c>
      <c r="B467">
        <v>0.30992637689024199</v>
      </c>
      <c r="C467">
        <v>-3.84150831062313</v>
      </c>
      <c r="D467">
        <v>5.2472334754822096</v>
      </c>
      <c r="E467" t="s">
        <v>20</v>
      </c>
      <c r="F467">
        <v>-3.5315819337328902</v>
      </c>
      <c r="G467">
        <v>4.0554166666666696</v>
      </c>
      <c r="H467">
        <v>67.53</v>
      </c>
      <c r="I467">
        <v>3.93</v>
      </c>
      <c r="J467">
        <v>0.12391410540396899</v>
      </c>
      <c r="K467">
        <v>4.4946277275600099</v>
      </c>
      <c r="L467">
        <v>0.69846644926347601</v>
      </c>
      <c r="M467">
        <v>0.32547778549564399</v>
      </c>
      <c r="N467">
        <v>388.33583566118398</v>
      </c>
      <c r="O467">
        <v>60.3475012163643</v>
      </c>
      <c r="P467">
        <v>28121.280666823699</v>
      </c>
      <c r="Q467">
        <v>3751.4809582524999</v>
      </c>
      <c r="R467">
        <v>0.11144270072967399</v>
      </c>
      <c r="S467">
        <v>418.07516972360298</v>
      </c>
    </row>
    <row r="468" spans="1:19" x14ac:dyDescent="0.75">
      <c r="A468" s="1">
        <v>45778</v>
      </c>
      <c r="B468">
        <v>0.33513050430152802</v>
      </c>
      <c r="C468">
        <v>-4.4246196818903902</v>
      </c>
      <c r="D468">
        <v>5.8809183156656397</v>
      </c>
      <c r="E468" t="s">
        <v>20</v>
      </c>
      <c r="F468">
        <v>-4.0894891775888702</v>
      </c>
      <c r="G468">
        <v>4.1929166666666697</v>
      </c>
      <c r="H468">
        <v>68.290000000000006</v>
      </c>
      <c r="I468">
        <v>4.04</v>
      </c>
      <c r="J468">
        <v>0.13138817338240799</v>
      </c>
      <c r="K468">
        <v>5.3121791242964402</v>
      </c>
      <c r="L468">
        <v>0.64160788519816203</v>
      </c>
      <c r="M468">
        <v>0.335040734941915</v>
      </c>
      <c r="N468">
        <v>458.97227633921199</v>
      </c>
      <c r="O468">
        <v>55.434921281121198</v>
      </c>
      <c r="P468">
        <v>28947.519498981499</v>
      </c>
      <c r="Q468">
        <v>3445.5951539591301</v>
      </c>
      <c r="R468">
        <v>0.12067542117309001</v>
      </c>
      <c r="S468">
        <v>415.79864639597503</v>
      </c>
    </row>
    <row r="469" spans="1:19" x14ac:dyDescent="0.75">
      <c r="A469" s="1">
        <v>45779</v>
      </c>
      <c r="B469">
        <v>0.33284625328935302</v>
      </c>
      <c r="C469">
        <v>-4.0410833996908497</v>
      </c>
      <c r="D469">
        <v>5.1200548637313599</v>
      </c>
      <c r="E469" t="s">
        <v>20</v>
      </c>
      <c r="F469">
        <v>-3.7082371464014998</v>
      </c>
      <c r="G469">
        <v>4.0225</v>
      </c>
      <c r="H469">
        <v>69.3</v>
      </c>
      <c r="I469">
        <v>3.88466666666667</v>
      </c>
      <c r="J469">
        <v>0.130539781534109</v>
      </c>
      <c r="K469">
        <v>5.2164025871961401</v>
      </c>
      <c r="L469">
        <v>0.58673248361530295</v>
      </c>
      <c r="M469">
        <v>0.33396394671762702</v>
      </c>
      <c r="N469">
        <v>450.697183533746</v>
      </c>
      <c r="O469">
        <v>50.693686584362197</v>
      </c>
      <c r="P469">
        <v>28854.484996402902</v>
      </c>
      <c r="Q469">
        <v>3944.9068486665001</v>
      </c>
      <c r="R469">
        <v>0.119654389505644</v>
      </c>
      <c r="S469">
        <v>472.02542063382299</v>
      </c>
    </row>
    <row r="470" spans="1:19" x14ac:dyDescent="0.75">
      <c r="A470" s="1">
        <v>45780</v>
      </c>
      <c r="B470">
        <v>0.58301184065525002</v>
      </c>
      <c r="C470">
        <v>-3.1715475513619702</v>
      </c>
      <c r="D470">
        <v>2.7726076912295299</v>
      </c>
      <c r="E470" t="s">
        <v>20</v>
      </c>
      <c r="F470">
        <v>-2.58853571070672</v>
      </c>
      <c r="G470">
        <v>3.6575000000000002</v>
      </c>
      <c r="H470">
        <v>70.48</v>
      </c>
      <c r="I470">
        <v>3.544</v>
      </c>
      <c r="J470">
        <v>0.135019525342081</v>
      </c>
      <c r="K470">
        <v>5.7334830797022303</v>
      </c>
      <c r="L470">
        <v>0.53408509675251103</v>
      </c>
      <c r="M470">
        <v>0.33960998070245801</v>
      </c>
      <c r="N470">
        <v>495.37293808627197</v>
      </c>
      <c r="O470">
        <v>46.144952359416898</v>
      </c>
      <c r="P470">
        <v>29342.302332692401</v>
      </c>
      <c r="Q470">
        <v>7408.0482781089804</v>
      </c>
      <c r="R470">
        <v>0.125037854517275</v>
      </c>
      <c r="S470">
        <v>926.28646285514105</v>
      </c>
    </row>
    <row r="471" spans="1:19" x14ac:dyDescent="0.75">
      <c r="A471" s="1">
        <v>45781</v>
      </c>
      <c r="B471">
        <v>0.76028811314787703</v>
      </c>
      <c r="C471">
        <v>-5.9678190934920998</v>
      </c>
      <c r="D471">
        <v>4.6444245284629098</v>
      </c>
      <c r="E471" t="s">
        <v>20</v>
      </c>
      <c r="F471">
        <v>-5.2075309803442202</v>
      </c>
      <c r="G471">
        <v>2.6933333333333298</v>
      </c>
      <c r="H471">
        <v>70.2</v>
      </c>
      <c r="I471">
        <v>2.37266666666667</v>
      </c>
      <c r="J471">
        <v>0.16151342302684599</v>
      </c>
      <c r="K471">
        <v>9.7515370065213105</v>
      </c>
      <c r="L471">
        <v>0.48386783721211402</v>
      </c>
      <c r="M471">
        <v>0.37072734297510002</v>
      </c>
      <c r="N471">
        <v>842.53279736344098</v>
      </c>
      <c r="O471">
        <v>41.8061811351266</v>
      </c>
      <c r="P471">
        <v>32030.8424330487</v>
      </c>
      <c r="Q471">
        <v>4827.6357093813303</v>
      </c>
      <c r="R471">
        <v>0.162858276047535</v>
      </c>
      <c r="S471">
        <v>786.22042901536099</v>
      </c>
    </row>
    <row r="472" spans="1:19" x14ac:dyDescent="0.75">
      <c r="A472" s="1">
        <v>45782</v>
      </c>
      <c r="B472">
        <v>0.81866107359583895</v>
      </c>
      <c r="C472">
        <v>-8.3036422621558508</v>
      </c>
      <c r="D472">
        <v>7.1279888896022596</v>
      </c>
      <c r="E472" t="s">
        <v>20</v>
      </c>
      <c r="F472">
        <v>-7.4849811885600097</v>
      </c>
      <c r="G472">
        <v>2.77958333333333</v>
      </c>
      <c r="H472">
        <v>66.849999999999994</v>
      </c>
      <c r="I472">
        <v>2.37266666666667</v>
      </c>
      <c r="J472">
        <v>0.16090575135695701</v>
      </c>
      <c r="K472">
        <v>9.5570558011324795</v>
      </c>
      <c r="L472">
        <v>0.43625173628673902</v>
      </c>
      <c r="M472">
        <v>0.37019627151791201</v>
      </c>
      <c r="N472">
        <v>825.72962121784599</v>
      </c>
      <c r="O472">
        <v>37.692150015174199</v>
      </c>
      <c r="P472">
        <v>31984.957859147598</v>
      </c>
      <c r="Q472">
        <v>3141.06416945505</v>
      </c>
      <c r="R472">
        <v>0.160442903873277</v>
      </c>
      <c r="S472">
        <v>503.96145659966999</v>
      </c>
    </row>
    <row r="473" spans="1:19" x14ac:dyDescent="0.75">
      <c r="A473" s="1">
        <v>45783</v>
      </c>
      <c r="B473">
        <v>0.63653824310573603</v>
      </c>
      <c r="C473">
        <v>-4.9474619348917104</v>
      </c>
      <c r="D473">
        <v>4.2089720829722497</v>
      </c>
      <c r="E473" t="s">
        <v>20</v>
      </c>
      <c r="F473">
        <v>-4.3109236917859803</v>
      </c>
      <c r="G473">
        <v>3.1695833333333301</v>
      </c>
      <c r="H473">
        <v>67.14</v>
      </c>
      <c r="I473">
        <v>2.9860000000000002</v>
      </c>
      <c r="J473">
        <v>0.15856900425922099</v>
      </c>
      <c r="K473">
        <v>9.1440644534666902</v>
      </c>
      <c r="L473">
        <v>0.39137812933573601</v>
      </c>
      <c r="M473">
        <v>0.36756922712990697</v>
      </c>
      <c r="N473">
        <v>790.04716877952205</v>
      </c>
      <c r="O473">
        <v>33.8150703746076</v>
      </c>
      <c r="P473">
        <v>31757.981224023999</v>
      </c>
      <c r="Q473">
        <v>5281.7140191431699</v>
      </c>
      <c r="R473">
        <v>0.15688514896866801</v>
      </c>
      <c r="S473">
        <v>828.62249070318103</v>
      </c>
    </row>
    <row r="474" spans="1:19" x14ac:dyDescent="0.75">
      <c r="A474" s="1">
        <v>45784</v>
      </c>
      <c r="B474">
        <v>0.74083332289103498</v>
      </c>
      <c r="C474">
        <v>-7.895602998247</v>
      </c>
      <c r="D474">
        <v>6.1225597306191197</v>
      </c>
      <c r="E474" t="s">
        <v>20</v>
      </c>
      <c r="F474">
        <v>-7.1547696753559604</v>
      </c>
      <c r="G474">
        <v>2.4429166666666702</v>
      </c>
      <c r="H474">
        <v>69.12</v>
      </c>
      <c r="I474">
        <v>2.2093333333333298</v>
      </c>
      <c r="J474">
        <v>0.15988122279274899</v>
      </c>
      <c r="K474">
        <v>9.3664526095724892</v>
      </c>
      <c r="L474">
        <v>0.34936391458995703</v>
      </c>
      <c r="M474">
        <v>0.36906087133655902</v>
      </c>
      <c r="N474">
        <v>809.26150546706299</v>
      </c>
      <c r="O474">
        <v>30.185042220572299</v>
      </c>
      <c r="P474">
        <v>31886.859283478701</v>
      </c>
      <c r="Q474">
        <v>3645.66496375822</v>
      </c>
      <c r="R474">
        <v>0.158737551173325</v>
      </c>
      <c r="S474">
        <v>578.70392874537094</v>
      </c>
    </row>
    <row r="475" spans="1:19" x14ac:dyDescent="0.75">
      <c r="A475" s="1">
        <v>45785</v>
      </c>
      <c r="B475">
        <v>0.71910359396758405</v>
      </c>
      <c r="C475">
        <v>-8.3646214995199095</v>
      </c>
      <c r="D475">
        <v>6.0899472422938299</v>
      </c>
      <c r="E475" t="s">
        <v>20</v>
      </c>
      <c r="F475">
        <v>-7.6455179055523201</v>
      </c>
      <c r="G475">
        <v>2.0116666666666698</v>
      </c>
      <c r="H475">
        <v>71.06</v>
      </c>
      <c r="I475">
        <v>1.776</v>
      </c>
      <c r="J475">
        <v>0.16259079260582801</v>
      </c>
      <c r="K475">
        <v>9.8372695910435297</v>
      </c>
      <c r="L475">
        <v>0.31011543123785001</v>
      </c>
      <c r="M475">
        <v>0.37212160705969499</v>
      </c>
      <c r="N475">
        <v>849.94009266616104</v>
      </c>
      <c r="O475">
        <v>26.793973258950199</v>
      </c>
      <c r="P475">
        <v>32151.3068499576</v>
      </c>
      <c r="Q475">
        <v>3695.58452636008</v>
      </c>
      <c r="R475">
        <v>0.16258996493100999</v>
      </c>
      <c r="S475">
        <v>600.86495854046996</v>
      </c>
    </row>
    <row r="476" spans="1:19" x14ac:dyDescent="0.75">
      <c r="A476" s="1">
        <v>45786</v>
      </c>
      <c r="B476">
        <v>0.288967015174382</v>
      </c>
      <c r="C476">
        <v>-1.30531863330161</v>
      </c>
      <c r="D476">
        <v>1.33656597276786</v>
      </c>
      <c r="E476" t="s">
        <v>20</v>
      </c>
      <c r="F476">
        <v>-1.0163516181272301</v>
      </c>
      <c r="G476">
        <v>2.44</v>
      </c>
      <c r="H476">
        <v>71.67</v>
      </c>
      <c r="I476">
        <v>2.4086666666666701</v>
      </c>
      <c r="J476">
        <v>0.13782167983916399</v>
      </c>
      <c r="K476">
        <v>6.9216554206447798</v>
      </c>
      <c r="L476">
        <v>0.27333058184943798</v>
      </c>
      <c r="M476">
        <v>0.34080158445521203</v>
      </c>
      <c r="N476">
        <v>598.03102834370895</v>
      </c>
      <c r="O476">
        <v>23.6157622717915</v>
      </c>
      <c r="P476">
        <v>29445.256896930299</v>
      </c>
      <c r="Q476">
        <v>15421.3710716927</v>
      </c>
      <c r="R476">
        <v>0.14736380642371799</v>
      </c>
      <c r="S476">
        <v>2272.5519413972602</v>
      </c>
    </row>
    <row r="477" spans="1:19" x14ac:dyDescent="0.75">
      <c r="A477" s="1">
        <v>45787</v>
      </c>
      <c r="B477">
        <v>0.240117591615118</v>
      </c>
      <c r="C477">
        <v>-4.5156833538878596</v>
      </c>
      <c r="D477">
        <v>5.6482885368791003</v>
      </c>
      <c r="E477" t="s">
        <v>20</v>
      </c>
      <c r="F477">
        <v>-4.2755657622727501</v>
      </c>
      <c r="G477">
        <v>3.3487499999999999</v>
      </c>
      <c r="H477">
        <v>73.150000000000006</v>
      </c>
      <c r="I477">
        <v>3.1726666666666699</v>
      </c>
      <c r="J477">
        <v>0.122114575289757</v>
      </c>
      <c r="K477">
        <v>4.3345572912327999</v>
      </c>
      <c r="L477">
        <v>0.23880818715968299</v>
      </c>
      <c r="M477">
        <v>0.323053592491369</v>
      </c>
      <c r="N477">
        <v>374.50574996251402</v>
      </c>
      <c r="O477">
        <v>20.633027370596601</v>
      </c>
      <c r="P477">
        <v>27911.830391254302</v>
      </c>
      <c r="Q477">
        <v>3459.1507049095699</v>
      </c>
      <c r="R477">
        <v>0.109875956627909</v>
      </c>
      <c r="S477">
        <v>380.07749282204401</v>
      </c>
    </row>
    <row r="478" spans="1:19" x14ac:dyDescent="0.75">
      <c r="A478" s="1">
        <v>45788</v>
      </c>
      <c r="B478">
        <v>0.183414408288297</v>
      </c>
      <c r="C478">
        <v>-3.7371658306976001</v>
      </c>
      <c r="D478">
        <v>4.7169372927404902</v>
      </c>
      <c r="E478" t="s">
        <v>20</v>
      </c>
      <c r="F478">
        <v>-3.5537514224093001</v>
      </c>
      <c r="G478">
        <v>3.3345833333333301</v>
      </c>
      <c r="H478">
        <v>68.47</v>
      </c>
      <c r="I478">
        <v>3.2746666666666702</v>
      </c>
      <c r="J478">
        <v>0.13211033391763799</v>
      </c>
      <c r="K478">
        <v>5.4111827390511396</v>
      </c>
      <c r="L478">
        <v>0.20610620995553899</v>
      </c>
      <c r="M478">
        <v>0.33590936797088</v>
      </c>
      <c r="N478">
        <v>467.52618865401899</v>
      </c>
      <c r="O478">
        <v>17.8075765401585</v>
      </c>
      <c r="P478">
        <v>29022.569392683999</v>
      </c>
      <c r="Q478">
        <v>4306.9893267704501</v>
      </c>
      <c r="R478">
        <v>0.12193637910525799</v>
      </c>
      <c r="S478">
        <v>525.17868335138201</v>
      </c>
    </row>
    <row r="479" spans="1:19" x14ac:dyDescent="0.75">
      <c r="A479" s="1">
        <v>45789</v>
      </c>
      <c r="B479">
        <v>0.152615561930147</v>
      </c>
      <c r="C479">
        <v>-4.55372545102259</v>
      </c>
      <c r="D479">
        <v>4.9501869820938298</v>
      </c>
      <c r="E479" t="s">
        <v>20</v>
      </c>
      <c r="F479">
        <v>-4.4011098890924396</v>
      </c>
      <c r="G479">
        <v>3.6504166666666702</v>
      </c>
      <c r="H479">
        <v>68.47</v>
      </c>
      <c r="I479">
        <v>3.6926666666666699</v>
      </c>
      <c r="J479">
        <v>0.14869654133247701</v>
      </c>
      <c r="K479">
        <v>7.6108655639652802</v>
      </c>
      <c r="L479">
        <v>0.175266805137479</v>
      </c>
      <c r="M479">
        <v>0.35607393589443598</v>
      </c>
      <c r="N479">
        <v>657.57878472660002</v>
      </c>
      <c r="O479">
        <v>15.1430519638782</v>
      </c>
      <c r="P479">
        <v>30764.788061279301</v>
      </c>
      <c r="Q479">
        <v>4350.41175632247</v>
      </c>
      <c r="R479">
        <v>0.14374508323226501</v>
      </c>
      <c r="S479">
        <v>625.35030000719701</v>
      </c>
    </row>
    <row r="480" spans="1:19" x14ac:dyDescent="0.75">
      <c r="A480" s="1">
        <v>45790</v>
      </c>
      <c r="B480">
        <v>0.18051115757944999</v>
      </c>
      <c r="C480">
        <v>-5.7452594552423104</v>
      </c>
      <c r="D480">
        <v>7.1746824065765802</v>
      </c>
      <c r="E480" t="s">
        <v>20</v>
      </c>
      <c r="F480">
        <v>-5.5647482976628604</v>
      </c>
      <c r="G480">
        <v>3.5858333333333299</v>
      </c>
      <c r="H480">
        <v>68.040000000000006</v>
      </c>
      <c r="I480">
        <v>3.484</v>
      </c>
      <c r="J480">
        <v>0.13425333062787401</v>
      </c>
      <c r="K480">
        <v>5.6709141945957704</v>
      </c>
      <c r="L480">
        <v>0.14644939028286799</v>
      </c>
      <c r="M480">
        <v>0.33857538268015103</v>
      </c>
      <c r="N480">
        <v>489.96698641307398</v>
      </c>
      <c r="O480">
        <v>12.6532273204398</v>
      </c>
      <c r="P480">
        <v>29252.913063565102</v>
      </c>
      <c r="Q480">
        <v>2854.0690701131998</v>
      </c>
      <c r="R480">
        <v>0.124759213833221</v>
      </c>
      <c r="S480">
        <v>356.07141341303299</v>
      </c>
    </row>
    <row r="481" spans="1:19" x14ac:dyDescent="0.75">
      <c r="A481" s="1">
        <v>45791</v>
      </c>
      <c r="B481">
        <v>0.213586955008393</v>
      </c>
      <c r="C481">
        <v>-5.1486451765588699</v>
      </c>
      <c r="D481">
        <v>6.8018289013289603</v>
      </c>
      <c r="E481" t="s">
        <v>20</v>
      </c>
      <c r="F481">
        <v>-4.9350582215504701</v>
      </c>
      <c r="G481">
        <v>3.5704166666666701</v>
      </c>
      <c r="H481">
        <v>68.040000000000006</v>
      </c>
      <c r="I481">
        <v>3.45733333333333</v>
      </c>
      <c r="J481">
        <v>0.12494450519204101</v>
      </c>
      <c r="K481">
        <v>4.5963034457876697</v>
      </c>
      <c r="L481">
        <v>0.119796254081121</v>
      </c>
      <c r="M481">
        <v>0.32683271012733101</v>
      </c>
      <c r="N481">
        <v>397.12061771605499</v>
      </c>
      <c r="O481">
        <v>10.3503963526089</v>
      </c>
      <c r="P481">
        <v>28238.3461550014</v>
      </c>
      <c r="Q481">
        <v>2906.1069596500602</v>
      </c>
      <c r="R481">
        <v>0.112555317199243</v>
      </c>
      <c r="S481">
        <v>327.09779065833999</v>
      </c>
    </row>
    <row r="482" spans="1:19" x14ac:dyDescent="0.75">
      <c r="A482" s="1">
        <v>45792</v>
      </c>
      <c r="B482">
        <v>0.31437134732125599</v>
      </c>
      <c r="C482">
        <v>-4.1805696916931803</v>
      </c>
      <c r="D482">
        <v>5.3714721986472798</v>
      </c>
      <c r="E482" t="s">
        <v>20</v>
      </c>
      <c r="F482">
        <v>-3.8661983443719201</v>
      </c>
      <c r="G482">
        <v>3.4591666666666701</v>
      </c>
      <c r="H482">
        <v>69.760000000000005</v>
      </c>
      <c r="I482">
        <v>3.3220000000000001</v>
      </c>
      <c r="J482">
        <v>0.11824250315167301</v>
      </c>
      <c r="K482">
        <v>3.9333793447277898</v>
      </c>
      <c r="L482">
        <v>9.5467089029952004E-2</v>
      </c>
      <c r="M482">
        <v>0.31802125428705702</v>
      </c>
      <c r="N482">
        <v>339.84397538448098</v>
      </c>
      <c r="O482">
        <v>8.2483564921878596</v>
      </c>
      <c r="P482">
        <v>27477.0363704017</v>
      </c>
      <c r="Q482">
        <v>3580.75491187033</v>
      </c>
      <c r="R482">
        <v>0.104601056662569</v>
      </c>
      <c r="S482">
        <v>374.55074743132201</v>
      </c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F8F07-F012-4E65-9C53-E4810B335A5C}">
  <dimension ref="A1:D7"/>
  <sheetViews>
    <sheetView workbookViewId="0">
      <selection activeCell="D1" sqref="A1:D8"/>
    </sheetView>
  </sheetViews>
  <sheetFormatPr defaultRowHeight="14.75" x14ac:dyDescent="0.75"/>
  <cols>
    <col min="2" max="2" width="12.58984375" bestFit="1" customWidth="1"/>
    <col min="3" max="3" width="13.6796875" bestFit="1" customWidth="1"/>
  </cols>
  <sheetData>
    <row r="1" spans="1:4" x14ac:dyDescent="0.75">
      <c r="A1" t="s">
        <v>29</v>
      </c>
      <c r="B1" t="s">
        <v>30</v>
      </c>
      <c r="C1" t="s">
        <v>31</v>
      </c>
      <c r="D1" t="s">
        <v>32</v>
      </c>
    </row>
    <row r="2" spans="1:4" x14ac:dyDescent="0.75">
      <c r="A2">
        <v>9204</v>
      </c>
      <c r="B2">
        <v>9149.2199999999993</v>
      </c>
      <c r="C2">
        <f>$A$7-A2</f>
        <v>26306696</v>
      </c>
      <c r="D2">
        <f>C2/$A$7</f>
        <v>0.9996502494689522</v>
      </c>
    </row>
    <row r="3" spans="1:4" x14ac:dyDescent="0.75">
      <c r="A3">
        <v>1355500</v>
      </c>
      <c r="B3">
        <v>7836.22</v>
      </c>
      <c r="C3">
        <f t="shared" ref="C3:C7" si="0">$A$7-A3</f>
        <v>24960400</v>
      </c>
      <c r="D3">
        <f t="shared" ref="D3:D7" si="1">C3/$A$7</f>
        <v>0.94849121633689137</v>
      </c>
    </row>
    <row r="4" spans="1:4" x14ac:dyDescent="0.75">
      <c r="A4">
        <v>1139580</v>
      </c>
      <c r="B4">
        <v>5594.22</v>
      </c>
      <c r="C4">
        <f t="shared" si="0"/>
        <v>25176320</v>
      </c>
      <c r="D4">
        <f t="shared" si="1"/>
        <v>0.95669614187620411</v>
      </c>
    </row>
    <row r="5" spans="1:4" x14ac:dyDescent="0.75">
      <c r="A5">
        <v>3131520</v>
      </c>
      <c r="B5">
        <v>4518.92</v>
      </c>
      <c r="C5">
        <f t="shared" si="0"/>
        <v>23184380</v>
      </c>
      <c r="D5">
        <f t="shared" si="1"/>
        <v>0.88100273978849286</v>
      </c>
    </row>
    <row r="6" spans="1:4" x14ac:dyDescent="0.75">
      <c r="A6">
        <v>26276900</v>
      </c>
      <c r="B6">
        <v>390.63</v>
      </c>
      <c r="C6">
        <f t="shared" si="0"/>
        <v>39000</v>
      </c>
      <c r="D6">
        <f t="shared" si="1"/>
        <v>1.4819937756261423E-3</v>
      </c>
    </row>
    <row r="7" spans="1:4" x14ac:dyDescent="0.75">
      <c r="A7">
        <v>26315900</v>
      </c>
      <c r="B7">
        <v>0</v>
      </c>
      <c r="C7">
        <f t="shared" si="0"/>
        <v>0</v>
      </c>
      <c r="D7">
        <f t="shared" si="1"/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434"/>
  <sheetViews>
    <sheetView workbookViewId="0"/>
  </sheetViews>
  <sheetFormatPr defaultColWidth="10.90625" defaultRowHeight="14.75" x14ac:dyDescent="0.75"/>
  <sheetData>
    <row r="1" spans="1:19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75">
      <c r="A2" s="1">
        <v>45205</v>
      </c>
      <c r="B2">
        <v>7.6672339037182305E-2</v>
      </c>
      <c r="C2">
        <v>-6.5526650581147097</v>
      </c>
      <c r="D2">
        <v>13.0638303733986</v>
      </c>
      <c r="E2" t="s">
        <v>21</v>
      </c>
      <c r="F2">
        <v>-6.4759927190775297</v>
      </c>
      <c r="G2">
        <v>4.7779166666666697</v>
      </c>
      <c r="H2">
        <v>74.55</v>
      </c>
      <c r="I2">
        <v>4.7488235294117596</v>
      </c>
      <c r="J2">
        <v>0.11610604463633201</v>
      </c>
      <c r="K2">
        <v>33.256461460763397</v>
      </c>
      <c r="L2">
        <v>11.6483806373192</v>
      </c>
      <c r="M2">
        <v>0.13743943924507801</v>
      </c>
      <c r="N2">
        <v>2873.3582702099602</v>
      </c>
      <c r="O2">
        <v>1006.42008706438</v>
      </c>
      <c r="P2">
        <v>11874.767550774801</v>
      </c>
      <c r="Q2">
        <v>636.28637604392497</v>
      </c>
      <c r="R2">
        <v>2.0840581513531902</v>
      </c>
      <c r="S2">
        <v>1326.0578085893201</v>
      </c>
    </row>
    <row r="3" spans="1:19" x14ac:dyDescent="0.75">
      <c r="A3" s="1">
        <v>45206</v>
      </c>
      <c r="B3">
        <v>2.1505735347127401E-2</v>
      </c>
      <c r="C3">
        <v>-2.8338086601221399</v>
      </c>
      <c r="D3">
        <v>6.0088623668990904</v>
      </c>
      <c r="E3" t="s">
        <v>21</v>
      </c>
      <c r="F3">
        <v>-2.8123029247750102</v>
      </c>
      <c r="G3">
        <v>4.8150000000000004</v>
      </c>
      <c r="H3">
        <v>74.3</v>
      </c>
      <c r="I3">
        <v>4.7817647058823498</v>
      </c>
      <c r="J3">
        <v>0.112231036886316</v>
      </c>
      <c r="K3">
        <v>31.2669411835018</v>
      </c>
      <c r="L3">
        <v>11.880449875139</v>
      </c>
      <c r="M3">
        <v>0.13397129156812701</v>
      </c>
      <c r="N3">
        <v>2701.4637182545498</v>
      </c>
      <c r="O3">
        <v>1026.47086921201</v>
      </c>
      <c r="P3">
        <v>11575.1195914862</v>
      </c>
      <c r="Q3">
        <v>1348.43889230595</v>
      </c>
      <c r="R3">
        <v>2.07950839089896</v>
      </c>
      <c r="S3">
        <v>2804.0899911647298</v>
      </c>
    </row>
    <row r="4" spans="1:19" x14ac:dyDescent="0.75">
      <c r="A4" s="1">
        <v>45207</v>
      </c>
      <c r="B4">
        <v>2.3368823099928E-2</v>
      </c>
      <c r="C4">
        <v>-1.72407047106988</v>
      </c>
      <c r="D4">
        <v>4.39504835398062</v>
      </c>
      <c r="E4" t="s">
        <v>21</v>
      </c>
      <c r="F4">
        <v>-1.7007016479699499</v>
      </c>
      <c r="G4">
        <v>5.44166666666667</v>
      </c>
      <c r="H4">
        <v>72.180000000000007</v>
      </c>
      <c r="I4">
        <v>5.3570588235294103</v>
      </c>
      <c r="J4">
        <v>0.10992951713176199</v>
      </c>
      <c r="K4">
        <v>30.097646838525101</v>
      </c>
      <c r="L4">
        <v>12.1137024939607</v>
      </c>
      <c r="M4">
        <v>0.13190495254323001</v>
      </c>
      <c r="N4">
        <v>2600.4366868485699</v>
      </c>
      <c r="O4">
        <v>1046.62389547821</v>
      </c>
      <c r="P4">
        <v>11396.587899735099</v>
      </c>
      <c r="Q4">
        <v>1815.13623680367</v>
      </c>
      <c r="R4">
        <v>2.0756643181164698</v>
      </c>
      <c r="S4">
        <v>3767.6135192535999</v>
      </c>
    </row>
    <row r="5" spans="1:19" x14ac:dyDescent="0.75">
      <c r="A5" s="1">
        <v>45208</v>
      </c>
      <c r="B5">
        <v>2.6412995978055898E-2</v>
      </c>
      <c r="C5">
        <v>-2.16689256648616</v>
      </c>
      <c r="D5">
        <v>6.2097008728554499</v>
      </c>
      <c r="E5" t="s">
        <v>21</v>
      </c>
      <c r="F5">
        <v>-2.1404795705081101</v>
      </c>
      <c r="G5">
        <v>6.0845833333333301</v>
      </c>
      <c r="H5">
        <v>65.41</v>
      </c>
      <c r="I5">
        <v>6.00647058823529</v>
      </c>
      <c r="J5">
        <v>0.105079886220379</v>
      </c>
      <c r="K5">
        <v>27.741465813198801</v>
      </c>
      <c r="L5">
        <v>12.347424789251001</v>
      </c>
      <c r="M5">
        <v>0.12749166042778501</v>
      </c>
      <c r="N5">
        <v>2396.8626462603802</v>
      </c>
      <c r="O5">
        <v>1066.8175017912899</v>
      </c>
      <c r="P5">
        <v>11015.279460960601</v>
      </c>
      <c r="Q5">
        <v>1241.71772208518</v>
      </c>
      <c r="R5">
        <v>2.0707517333005301</v>
      </c>
      <c r="S5">
        <v>2571.28912527788</v>
      </c>
    </row>
    <row r="6" spans="1:19" x14ac:dyDescent="0.75">
      <c r="A6" s="1">
        <v>45209</v>
      </c>
      <c r="B6">
        <v>9.0529432090575596E-2</v>
      </c>
      <c r="C6">
        <v>-3.5758596227931498</v>
      </c>
      <c r="D6">
        <v>10.527862022362701</v>
      </c>
      <c r="E6" t="s">
        <v>21</v>
      </c>
      <c r="F6">
        <v>-3.48533019070257</v>
      </c>
      <c r="G6">
        <v>6.2850000000000001</v>
      </c>
      <c r="H6">
        <v>62.71</v>
      </c>
      <c r="I6">
        <v>6.1888235294117599</v>
      </c>
      <c r="J6">
        <v>9.9892659936835104E-2</v>
      </c>
      <c r="K6">
        <v>25.309757398154002</v>
      </c>
      <c r="L6">
        <v>12.580137037035399</v>
      </c>
      <c r="M6">
        <v>0.12271995296942199</v>
      </c>
      <c r="N6">
        <v>2186.7630392004999</v>
      </c>
      <c r="O6">
        <v>1086.9238399998601</v>
      </c>
      <c r="P6">
        <v>10603.003936558</v>
      </c>
      <c r="Q6">
        <v>704.99620339105797</v>
      </c>
      <c r="R6">
        <v>2.0646156951350001</v>
      </c>
      <c r="S6">
        <v>1455.5462265317601</v>
      </c>
    </row>
    <row r="7" spans="1:19" x14ac:dyDescent="0.75">
      <c r="A7" s="1">
        <v>45211</v>
      </c>
      <c r="B7">
        <v>4.7200255036833103E-2</v>
      </c>
      <c r="C7">
        <v>-3.0717548091147902</v>
      </c>
      <c r="D7">
        <v>1.7223438173579499</v>
      </c>
      <c r="E7" t="s">
        <v>21</v>
      </c>
      <c r="F7">
        <v>-3.0245545540779499</v>
      </c>
      <c r="G7">
        <v>4.8379166666666702</v>
      </c>
      <c r="H7">
        <v>68.319999999999993</v>
      </c>
      <c r="I7">
        <v>4.9529411764705902</v>
      </c>
      <c r="J7">
        <v>0.26954167347728603</v>
      </c>
      <c r="K7">
        <v>161.37701820292699</v>
      </c>
      <c r="L7">
        <v>13.0312738101254</v>
      </c>
      <c r="M7">
        <v>0.25734849270885501</v>
      </c>
      <c r="N7">
        <v>13942.974372732901</v>
      </c>
      <c r="O7">
        <v>1125.9020571948299</v>
      </c>
      <c r="P7">
        <v>22234.909770045</v>
      </c>
      <c r="Q7">
        <v>9036.7769095645399</v>
      </c>
      <c r="R7">
        <v>2.3264522187990702</v>
      </c>
      <c r="S7">
        <v>21023.629692048598</v>
      </c>
    </row>
    <row r="8" spans="1:19" x14ac:dyDescent="0.75">
      <c r="A8" s="1">
        <v>45212</v>
      </c>
      <c r="B8">
        <v>7.1407127253194494E-2</v>
      </c>
      <c r="C8">
        <v>-5.0570411613798898</v>
      </c>
      <c r="D8">
        <v>3.4307926351668501</v>
      </c>
      <c r="E8" t="s">
        <v>21</v>
      </c>
      <c r="F8">
        <v>-4.9856340341266998</v>
      </c>
      <c r="G8">
        <v>4.0866666666666696</v>
      </c>
      <c r="H8">
        <v>71.819999999999993</v>
      </c>
      <c r="I8">
        <v>4.0735294117647101</v>
      </c>
      <c r="J8">
        <v>0.28974749040407199</v>
      </c>
      <c r="K8">
        <v>177.51441510356199</v>
      </c>
      <c r="L8">
        <v>13.244348248476699</v>
      </c>
      <c r="M8">
        <v>0.27318483503694801</v>
      </c>
      <c r="N8">
        <v>15337.2454649478</v>
      </c>
      <c r="O8">
        <v>1144.3116886683899</v>
      </c>
      <c r="P8">
        <v>23603.1697471923</v>
      </c>
      <c r="Q8">
        <v>4815.8605255461998</v>
      </c>
      <c r="R8">
        <v>2.24262859549277</v>
      </c>
      <c r="S8">
        <v>10800.186526494799</v>
      </c>
    </row>
    <row r="9" spans="1:19" x14ac:dyDescent="0.75">
      <c r="A9" s="1">
        <v>45213</v>
      </c>
      <c r="B9">
        <v>7.8260280407274896E-2</v>
      </c>
      <c r="C9">
        <v>-4.9770972062455101</v>
      </c>
      <c r="D9">
        <v>4.0891145095035499</v>
      </c>
      <c r="E9" t="s">
        <v>21</v>
      </c>
      <c r="F9">
        <v>-4.89883692583824</v>
      </c>
      <c r="G9">
        <v>4.2645833333333298</v>
      </c>
      <c r="H9">
        <v>73.150000000000006</v>
      </c>
      <c r="I9">
        <v>4.25</v>
      </c>
      <c r="J9">
        <v>0.25107961003800799</v>
      </c>
      <c r="K9">
        <v>136.482355361267</v>
      </c>
      <c r="L9">
        <v>13.4468215091803</v>
      </c>
      <c r="M9">
        <v>0.24533237539067801</v>
      </c>
      <c r="N9">
        <v>11792.0755032135</v>
      </c>
      <c r="O9">
        <v>1161.80537839318</v>
      </c>
      <c r="P9">
        <v>21196.7172337546</v>
      </c>
      <c r="Q9">
        <v>3628.5856092177801</v>
      </c>
      <c r="R9">
        <v>2.2156961316896999</v>
      </c>
      <c r="S9">
        <v>8039.8430978487504</v>
      </c>
    </row>
    <row r="10" spans="1:19" x14ac:dyDescent="0.75">
      <c r="A10" s="1">
        <v>45214</v>
      </c>
      <c r="B10">
        <v>7.3819364639549204E-2</v>
      </c>
      <c r="C10">
        <v>-5.7219835748385703</v>
      </c>
      <c r="D10">
        <v>5.4023815362236203</v>
      </c>
      <c r="E10" t="s">
        <v>21</v>
      </c>
      <c r="F10">
        <v>-5.6481642101990204</v>
      </c>
      <c r="G10">
        <v>4.5295833333333304</v>
      </c>
      <c r="H10">
        <v>71.92</v>
      </c>
      <c r="I10">
        <v>4.5229411764705896</v>
      </c>
      <c r="J10">
        <v>0.229273884608375</v>
      </c>
      <c r="K10">
        <v>115.490089460082</v>
      </c>
      <c r="L10">
        <v>13.6355737158288</v>
      </c>
      <c r="M10">
        <v>0.22916529761822199</v>
      </c>
      <c r="N10">
        <v>9978.3437293510506</v>
      </c>
      <c r="O10">
        <v>1178.1135690476101</v>
      </c>
      <c r="P10">
        <v>19799.8817142144</v>
      </c>
      <c r="Q10">
        <v>2565.5198743401702</v>
      </c>
      <c r="R10">
        <v>2.1980687662661</v>
      </c>
      <c r="S10">
        <v>5639.1891050220702</v>
      </c>
    </row>
    <row r="11" spans="1:19" x14ac:dyDescent="0.75">
      <c r="A11" s="1">
        <v>45215</v>
      </c>
      <c r="B11">
        <v>7.2875446811192499E-2</v>
      </c>
      <c r="C11">
        <v>-4.8694081995868501</v>
      </c>
      <c r="D11">
        <v>5.4044260955999199</v>
      </c>
      <c r="E11" t="s">
        <v>21</v>
      </c>
      <c r="F11">
        <v>-4.7965327527756596</v>
      </c>
      <c r="G11">
        <v>4.9950000000000001</v>
      </c>
      <c r="H11">
        <v>68.760000000000005</v>
      </c>
      <c r="I11">
        <v>4.9870588235294102</v>
      </c>
      <c r="J11">
        <v>0.21406741480149599</v>
      </c>
      <c r="K11">
        <v>101.851567977172</v>
      </c>
      <c r="L11">
        <v>13.7971708050371</v>
      </c>
      <c r="M11">
        <v>0.217650551598181</v>
      </c>
      <c r="N11">
        <v>8799.9754732276597</v>
      </c>
      <c r="O11">
        <v>1192.07555755521</v>
      </c>
      <c r="P11">
        <v>18805.007658082799</v>
      </c>
      <c r="Q11">
        <v>2435.6897712738</v>
      </c>
      <c r="R11">
        <v>2.1860363678369001</v>
      </c>
      <c r="S11">
        <v>5324.5064207728801</v>
      </c>
    </row>
    <row r="12" spans="1:19" x14ac:dyDescent="0.75">
      <c r="A12" s="1">
        <v>45216</v>
      </c>
      <c r="B12">
        <v>7.1428092131604698E-2</v>
      </c>
      <c r="C12">
        <v>-5.6170296157508197</v>
      </c>
      <c r="D12">
        <v>7.2461010025947399</v>
      </c>
      <c r="E12" t="s">
        <v>21</v>
      </c>
      <c r="F12">
        <v>-5.5456015236192204</v>
      </c>
      <c r="G12">
        <v>5.56666666666667</v>
      </c>
      <c r="H12">
        <v>64.540000000000006</v>
      </c>
      <c r="I12">
        <v>5.5382352941176496</v>
      </c>
      <c r="J12">
        <v>0.200264167498032</v>
      </c>
      <c r="K12">
        <v>90.1797312798398</v>
      </c>
      <c r="L12">
        <v>13.930036454852599</v>
      </c>
      <c r="M12">
        <v>0.20701217810235301</v>
      </c>
      <c r="N12">
        <v>7791.5287825781597</v>
      </c>
      <c r="O12">
        <v>1203.55514969926</v>
      </c>
      <c r="P12">
        <v>17885.8521880433</v>
      </c>
      <c r="Q12">
        <v>1727.83908575757</v>
      </c>
      <c r="R12">
        <v>2.1752530806778201</v>
      </c>
      <c r="S12">
        <v>3758.4872942096899</v>
      </c>
    </row>
    <row r="13" spans="1:19" x14ac:dyDescent="0.75">
      <c r="A13" s="1">
        <v>45217</v>
      </c>
      <c r="B13">
        <v>8.0249210853431799E-2</v>
      </c>
      <c r="C13">
        <v>-7.1554600385257601</v>
      </c>
      <c r="D13">
        <v>10.3836553142027</v>
      </c>
      <c r="E13" t="s">
        <v>21</v>
      </c>
      <c r="F13">
        <v>-7.07521082767233</v>
      </c>
      <c r="G13">
        <v>5.8958333333333304</v>
      </c>
      <c r="H13">
        <v>61.95</v>
      </c>
      <c r="I13">
        <v>5.8611764705882399</v>
      </c>
      <c r="J13">
        <v>0.187705619653664</v>
      </c>
      <c r="K13">
        <v>80.125472354335002</v>
      </c>
      <c r="L13">
        <v>14.0359045706261</v>
      </c>
      <c r="M13">
        <v>0.197172812077305</v>
      </c>
      <c r="N13">
        <v>6922.8408114145404</v>
      </c>
      <c r="O13">
        <v>1212.7021549020899</v>
      </c>
      <c r="P13">
        <v>17035.7309634792</v>
      </c>
      <c r="Q13">
        <v>1148.44063228143</v>
      </c>
      <c r="R13">
        <v>2.1649421571708798</v>
      </c>
      <c r="S13">
        <v>2486.3075398340502</v>
      </c>
    </row>
    <row r="14" spans="1:19" x14ac:dyDescent="0.75">
      <c r="A14" s="1">
        <v>45219</v>
      </c>
      <c r="B14">
        <v>1.4698272867085501E-2</v>
      </c>
      <c r="C14">
        <v>-5.9315421135902398</v>
      </c>
      <c r="D14">
        <v>9.9240093971862908</v>
      </c>
      <c r="E14" t="s">
        <v>21</v>
      </c>
      <c r="F14">
        <v>-5.9168438407231596</v>
      </c>
      <c r="G14">
        <v>5.8304166666666699</v>
      </c>
      <c r="H14">
        <v>63.57</v>
      </c>
      <c r="I14">
        <v>5.79588235294118</v>
      </c>
      <c r="J14">
        <v>0.16246229265185799</v>
      </c>
      <c r="K14">
        <v>61.544519652109798</v>
      </c>
      <c r="L14">
        <v>14.1744922376181</v>
      </c>
      <c r="M14">
        <v>0.17688587990257201</v>
      </c>
      <c r="N14">
        <v>5317.4464979422901</v>
      </c>
      <c r="O14">
        <v>1224.6761293302</v>
      </c>
      <c r="P14">
        <v>15282.9400235822</v>
      </c>
      <c r="Q14">
        <v>1077.9975701696501</v>
      </c>
      <c r="R14">
        <v>2.1416260581189199</v>
      </c>
      <c r="S14">
        <v>2308.6676868641898</v>
      </c>
    </row>
    <row r="15" spans="1:19" x14ac:dyDescent="0.75">
      <c r="A15" s="1">
        <v>45220</v>
      </c>
      <c r="B15">
        <v>8.1796345017498395E-3</v>
      </c>
      <c r="C15">
        <v>-3.0259818219702201</v>
      </c>
      <c r="D15">
        <v>5.4435539877475803</v>
      </c>
      <c r="E15" t="s">
        <v>21</v>
      </c>
      <c r="F15">
        <v>-3.0178021874684702</v>
      </c>
      <c r="G15">
        <v>5.6224999999999996</v>
      </c>
      <c r="H15">
        <v>66.31</v>
      </c>
      <c r="I15">
        <v>5.6111764705882399</v>
      </c>
      <c r="J15">
        <v>0.150804977670561</v>
      </c>
      <c r="K15">
        <v>53.6537685150561</v>
      </c>
      <c r="L15">
        <v>14.209368028023601</v>
      </c>
      <c r="M15">
        <v>0.16728128322861699</v>
      </c>
      <c r="N15">
        <v>4635.6855997008497</v>
      </c>
      <c r="O15">
        <v>1227.68939762124</v>
      </c>
      <c r="P15">
        <v>14453.1028709525</v>
      </c>
      <c r="Q15">
        <v>1858.5600569845799</v>
      </c>
      <c r="R15">
        <v>2.12685167303809</v>
      </c>
      <c r="S15">
        <v>3952.8815666394198</v>
      </c>
    </row>
    <row r="16" spans="1:19" x14ac:dyDescent="0.75">
      <c r="A16" s="1">
        <v>45221</v>
      </c>
      <c r="B16">
        <v>3.2085306866397198E-2</v>
      </c>
      <c r="C16">
        <v>-5.0217856767305999</v>
      </c>
      <c r="D16">
        <v>9.9063054264436197</v>
      </c>
      <c r="E16" t="s">
        <v>21</v>
      </c>
      <c r="F16">
        <v>-4.9897003698641997</v>
      </c>
      <c r="G16">
        <v>5.9312500000000004</v>
      </c>
      <c r="H16">
        <v>64.62</v>
      </c>
      <c r="I16">
        <v>5.8770588235294099</v>
      </c>
      <c r="J16">
        <v>0.14360392160178301</v>
      </c>
      <c r="K16">
        <v>49.101553593393199</v>
      </c>
      <c r="L16">
        <v>14.223443049500901</v>
      </c>
      <c r="M16">
        <v>0.161225835744082</v>
      </c>
      <c r="N16">
        <v>4242.3742304691696</v>
      </c>
      <c r="O16">
        <v>1228.9054794768799</v>
      </c>
      <c r="P16">
        <v>13929.912208288701</v>
      </c>
      <c r="Q16">
        <v>984.31636478451503</v>
      </c>
      <c r="R16">
        <v>2.1207735424662699</v>
      </c>
      <c r="S16">
        <v>2087.5121038515799</v>
      </c>
    </row>
    <row r="17" spans="1:19" x14ac:dyDescent="0.75">
      <c r="A17" s="1">
        <v>45222</v>
      </c>
      <c r="B17">
        <v>2.3086816833275899E-2</v>
      </c>
      <c r="C17">
        <v>-5.2263787435697298</v>
      </c>
      <c r="D17">
        <v>11.0480190951584</v>
      </c>
      <c r="E17" t="s">
        <v>21</v>
      </c>
      <c r="F17">
        <v>-5.2032919267364601</v>
      </c>
      <c r="G17">
        <v>5.91</v>
      </c>
      <c r="H17">
        <v>65.44</v>
      </c>
      <c r="I17">
        <v>5.8682352941176497</v>
      </c>
      <c r="J17">
        <v>0.135149359238112</v>
      </c>
      <c r="K17">
        <v>43.930804666951602</v>
      </c>
      <c r="L17">
        <v>14.2179898637202</v>
      </c>
      <c r="M17">
        <v>0.154044834660334</v>
      </c>
      <c r="N17">
        <v>3795.62152322462</v>
      </c>
      <c r="O17">
        <v>1228.4343242254199</v>
      </c>
      <c r="P17">
        <v>13309.473714652901</v>
      </c>
      <c r="Q17">
        <v>843.28525503181299</v>
      </c>
      <c r="R17">
        <v>2.1101242416076</v>
      </c>
      <c r="S17">
        <v>1779.4366592328799</v>
      </c>
    </row>
    <row r="18" spans="1:19" x14ac:dyDescent="0.75">
      <c r="A18" s="1">
        <v>45223</v>
      </c>
      <c r="B18">
        <v>2.8061747932552498E-2</v>
      </c>
      <c r="C18">
        <v>-6.9150359930541399</v>
      </c>
      <c r="D18">
        <v>15.107193367531799</v>
      </c>
      <c r="E18" t="s">
        <v>21</v>
      </c>
      <c r="F18">
        <v>-6.8869742451215901</v>
      </c>
      <c r="G18">
        <v>5.8145833333333297</v>
      </c>
      <c r="H18">
        <v>66.34</v>
      </c>
      <c r="I18">
        <v>5.7905882352941198</v>
      </c>
      <c r="J18">
        <v>0.129137226001725</v>
      </c>
      <c r="K18">
        <v>40.410251528604597</v>
      </c>
      <c r="L18">
        <v>14.1955976447798</v>
      </c>
      <c r="M18">
        <v>0.14887174131409001</v>
      </c>
      <c r="N18">
        <v>3491.44573207144</v>
      </c>
      <c r="O18">
        <v>1226.4996365089801</v>
      </c>
      <c r="P18">
        <v>12862.5184495374</v>
      </c>
      <c r="Q18">
        <v>595.99176998865596</v>
      </c>
      <c r="R18">
        <v>2.1019763839490602</v>
      </c>
      <c r="S18">
        <v>1252.7606255441599</v>
      </c>
    </row>
    <row r="19" spans="1:19" x14ac:dyDescent="0.75">
      <c r="A19" s="1">
        <v>45224</v>
      </c>
      <c r="B19">
        <v>6.7024716001769694E-2</v>
      </c>
      <c r="C19">
        <v>-7.12012292780501</v>
      </c>
      <c r="D19">
        <v>15.6632405817288</v>
      </c>
      <c r="E19" t="s">
        <v>21</v>
      </c>
      <c r="F19">
        <v>-7.0530982118032401</v>
      </c>
      <c r="G19">
        <v>5.7020833333333298</v>
      </c>
      <c r="H19">
        <v>66.959999999999994</v>
      </c>
      <c r="I19">
        <v>5.6717647058823504</v>
      </c>
      <c r="J19">
        <v>0.123961742165908</v>
      </c>
      <c r="K19">
        <v>37.488343187940004</v>
      </c>
      <c r="L19">
        <v>14.158450265388799</v>
      </c>
      <c r="M19">
        <v>0.144369701979669</v>
      </c>
      <c r="N19">
        <v>3238.9928514380199</v>
      </c>
      <c r="O19">
        <v>1223.2901029295899</v>
      </c>
      <c r="P19">
        <v>12473.5422510434</v>
      </c>
      <c r="Q19">
        <v>557.45039030528801</v>
      </c>
      <c r="R19">
        <v>2.09475152783744</v>
      </c>
      <c r="S19">
        <v>1167.72005678558</v>
      </c>
    </row>
    <row r="20" spans="1:19" x14ac:dyDescent="0.75">
      <c r="A20" s="1">
        <v>45225</v>
      </c>
      <c r="B20">
        <v>6.5464967055564094E-2</v>
      </c>
      <c r="C20">
        <v>-8.3146067307280696</v>
      </c>
      <c r="D20">
        <v>18.496289425837201</v>
      </c>
      <c r="E20" t="s">
        <v>21</v>
      </c>
      <c r="F20">
        <v>-8.2491417636724993</v>
      </c>
      <c r="G20">
        <v>5.57125</v>
      </c>
      <c r="H20">
        <v>68.58</v>
      </c>
      <c r="I20">
        <v>5.5441176470588198</v>
      </c>
      <c r="J20">
        <v>0.12031277653464401</v>
      </c>
      <c r="K20">
        <v>35.491218158854601</v>
      </c>
      <c r="L20">
        <v>14.1067528593957</v>
      </c>
      <c r="M20">
        <v>0.14116603770342301</v>
      </c>
      <c r="N20">
        <v>3066.4412489250399</v>
      </c>
      <c r="O20">
        <v>1218.82344705179</v>
      </c>
      <c r="P20">
        <v>12196.745657575701</v>
      </c>
      <c r="Q20">
        <v>461.59106638852597</v>
      </c>
      <c r="R20">
        <v>2.0896758874098098</v>
      </c>
      <c r="S20">
        <v>964.57572127588605</v>
      </c>
    </row>
    <row r="21" spans="1:19" x14ac:dyDescent="0.75">
      <c r="A21" s="1">
        <v>45226</v>
      </c>
      <c r="B21">
        <v>0.123442970248155</v>
      </c>
      <c r="C21">
        <v>-9.0339840709588906</v>
      </c>
      <c r="D21">
        <v>20.574235281612602</v>
      </c>
      <c r="E21" t="s">
        <v>21</v>
      </c>
      <c r="F21">
        <v>-8.9105411007107307</v>
      </c>
      <c r="G21">
        <v>5.59375</v>
      </c>
      <c r="H21">
        <v>67.75</v>
      </c>
      <c r="I21">
        <v>5.5629411764705896</v>
      </c>
      <c r="J21">
        <v>0.11703956923065301</v>
      </c>
      <c r="K21">
        <v>33.755443563802999</v>
      </c>
      <c r="L21">
        <v>14.042313078561801</v>
      </c>
      <c r="M21">
        <v>0.138264879856491</v>
      </c>
      <c r="N21">
        <v>2916.4703239125802</v>
      </c>
      <c r="O21">
        <v>1213.25584998774</v>
      </c>
      <c r="P21">
        <v>11946.085619600801</v>
      </c>
      <c r="Q21">
        <v>406.44329275236697</v>
      </c>
      <c r="R21">
        <v>2.0859275683402498</v>
      </c>
      <c r="S21">
        <v>847.81126931915196</v>
      </c>
    </row>
    <row r="22" spans="1:19" x14ac:dyDescent="0.75">
      <c r="A22" s="1">
        <v>45227</v>
      </c>
      <c r="B22">
        <v>0.12053542539225701</v>
      </c>
      <c r="C22">
        <v>-8.4764051147923904</v>
      </c>
      <c r="D22">
        <v>19.6667890393799</v>
      </c>
      <c r="E22" t="s">
        <v>21</v>
      </c>
      <c r="F22">
        <v>-8.3558696894001301</v>
      </c>
      <c r="G22">
        <v>5.5395833333333302</v>
      </c>
      <c r="H22">
        <v>68.290000000000006</v>
      </c>
      <c r="I22">
        <v>5.4882352941176498</v>
      </c>
      <c r="J22">
        <v>0.113129334137456</v>
      </c>
      <c r="K22">
        <v>31.713894572616201</v>
      </c>
      <c r="L22">
        <v>13.9665261078163</v>
      </c>
      <c r="M22">
        <v>0.134782803019665</v>
      </c>
      <c r="N22">
        <v>2740.0804910740399</v>
      </c>
      <c r="O22">
        <v>1206.70785571533</v>
      </c>
      <c r="P22">
        <v>11645.234180899</v>
      </c>
      <c r="Q22">
        <v>414.48880700895302</v>
      </c>
      <c r="R22">
        <v>2.0798875879996501</v>
      </c>
      <c r="S22">
        <v>862.09012506270199</v>
      </c>
    </row>
    <row r="23" spans="1:19" x14ac:dyDescent="0.75">
      <c r="A23" s="1">
        <v>45228</v>
      </c>
      <c r="B23">
        <v>4.8095954331750998E-2</v>
      </c>
      <c r="C23">
        <v>-5.2701935791930703</v>
      </c>
      <c r="D23">
        <v>12.214917610822299</v>
      </c>
      <c r="E23" t="s">
        <v>21</v>
      </c>
      <c r="F23">
        <v>-5.2220976248613198</v>
      </c>
      <c r="G23">
        <v>5.3870833333333303</v>
      </c>
      <c r="H23">
        <v>68.22</v>
      </c>
      <c r="I23">
        <v>5.3605882352941201</v>
      </c>
      <c r="J23">
        <v>0.109647698386306</v>
      </c>
      <c r="K23">
        <v>29.950174614001099</v>
      </c>
      <c r="L23">
        <v>13.880888411550099</v>
      </c>
      <c r="M23">
        <v>0.131654321873687</v>
      </c>
      <c r="N23">
        <v>2587.6950866497</v>
      </c>
      <c r="O23">
        <v>1199.30875875793</v>
      </c>
      <c r="P23">
        <v>11374.9334098865</v>
      </c>
      <c r="Q23">
        <v>651.86304489404802</v>
      </c>
      <c r="R23">
        <v>2.0747449608598201</v>
      </c>
      <c r="S23">
        <v>1352.4495675646599</v>
      </c>
    </row>
    <row r="24" spans="1:19" x14ac:dyDescent="0.75">
      <c r="A24" s="1">
        <v>45229</v>
      </c>
      <c r="B24">
        <v>0.156331333810204</v>
      </c>
      <c r="C24">
        <v>-10.3787640215011</v>
      </c>
      <c r="D24">
        <v>24.503528725487602</v>
      </c>
      <c r="E24" t="s">
        <v>21</v>
      </c>
      <c r="F24">
        <v>-10.222432687690899</v>
      </c>
      <c r="G24">
        <v>5.3449999999999998</v>
      </c>
      <c r="H24">
        <v>68.83</v>
      </c>
      <c r="I24">
        <v>5.2983333333333302</v>
      </c>
      <c r="J24">
        <v>0.106324585679474</v>
      </c>
      <c r="K24">
        <v>28.3111075853028</v>
      </c>
      <c r="L24">
        <v>13.7871842968942</v>
      </c>
      <c r="M24">
        <v>0.128644289347883</v>
      </c>
      <c r="N24">
        <v>2446.0796953701602</v>
      </c>
      <c r="O24">
        <v>1191.21272325166</v>
      </c>
      <c r="P24">
        <v>11114.8665996571</v>
      </c>
      <c r="Q24">
        <v>317.521884579306</v>
      </c>
      <c r="R24">
        <v>2.0698203327233098</v>
      </c>
      <c r="S24">
        <v>657.21325278687095</v>
      </c>
    </row>
    <row r="25" spans="1:19" x14ac:dyDescent="0.75">
      <c r="A25" s="1">
        <v>45230</v>
      </c>
      <c r="B25">
        <v>4.10818946484919E-2</v>
      </c>
      <c r="C25">
        <v>-4.7821860040292403</v>
      </c>
      <c r="D25">
        <v>11.650065161728399</v>
      </c>
      <c r="E25" t="s">
        <v>21</v>
      </c>
      <c r="F25">
        <v>-4.7411041093807498</v>
      </c>
      <c r="G25">
        <v>5.2912499999999998</v>
      </c>
      <c r="H25">
        <v>69.33</v>
      </c>
      <c r="I25">
        <v>5.2466666666666697</v>
      </c>
      <c r="J25">
        <v>0.10275488157036899</v>
      </c>
      <c r="K25">
        <v>26.602387430928399</v>
      </c>
      <c r="L25">
        <v>13.6862548559657</v>
      </c>
      <c r="M25">
        <v>0.125381605214401</v>
      </c>
      <c r="N25">
        <v>2298.4462740322201</v>
      </c>
      <c r="O25">
        <v>1182.4924195554299</v>
      </c>
      <c r="P25">
        <v>10832.9706905242</v>
      </c>
      <c r="Q25">
        <v>650.90446946838495</v>
      </c>
      <c r="R25">
        <v>2.0648301139964498</v>
      </c>
      <c r="S25">
        <v>1344.0071498932</v>
      </c>
    </row>
    <row r="26" spans="1:19" x14ac:dyDescent="0.75">
      <c r="A26" s="1">
        <v>45231</v>
      </c>
      <c r="B26">
        <v>1.72264897565702E-2</v>
      </c>
      <c r="C26">
        <v>-0.90455321777830799</v>
      </c>
      <c r="D26">
        <v>2.76848501044174</v>
      </c>
      <c r="E26" t="s">
        <v>21</v>
      </c>
      <c r="F26">
        <v>-0.88732672802173795</v>
      </c>
      <c r="G26">
        <v>5.7512499999999998</v>
      </c>
      <c r="H26">
        <v>69.3</v>
      </c>
      <c r="I26">
        <v>5.7161111111111103</v>
      </c>
      <c r="J26">
        <v>0.1019830414486</v>
      </c>
      <c r="K26">
        <v>26.230508309447099</v>
      </c>
      <c r="L26">
        <v>13.578802667883201</v>
      </c>
      <c r="M26">
        <v>0.124677670240684</v>
      </c>
      <c r="N26">
        <v>2266.3159179362301</v>
      </c>
      <c r="O26">
        <v>1173.20855050511</v>
      </c>
      <c r="P26">
        <v>10772.150708795099</v>
      </c>
      <c r="Q26">
        <v>2723.6938136621602</v>
      </c>
      <c r="R26">
        <v>2.0629564908617102</v>
      </c>
      <c r="S26">
        <v>5618.8618320142295</v>
      </c>
    </row>
    <row r="27" spans="1:19" x14ac:dyDescent="0.75">
      <c r="A27" s="1">
        <v>45232</v>
      </c>
      <c r="B27">
        <v>5.5869783106292502E-2</v>
      </c>
      <c r="C27">
        <v>-3.21039176100316</v>
      </c>
      <c r="D27">
        <v>10.6745095372737</v>
      </c>
      <c r="E27" t="s">
        <v>21</v>
      </c>
      <c r="F27">
        <v>-3.1545219778968598</v>
      </c>
      <c r="G27">
        <v>6.7529166666666702</v>
      </c>
      <c r="H27">
        <v>60.66</v>
      </c>
      <c r="I27">
        <v>6.6638888888888896</v>
      </c>
      <c r="J27">
        <v>9.9135272058422902E-2</v>
      </c>
      <c r="K27">
        <v>24.924152203617499</v>
      </c>
      <c r="L27">
        <v>13.4656213860008</v>
      </c>
      <c r="M27">
        <v>0.122041520383031</v>
      </c>
      <c r="N27">
        <v>2153.4467503925498</v>
      </c>
      <c r="O27">
        <v>1163.4296877504701</v>
      </c>
      <c r="P27">
        <v>10544.387361093901</v>
      </c>
      <c r="Q27">
        <v>691.46700623501101</v>
      </c>
      <c r="R27">
        <v>2.0600823559171699</v>
      </c>
      <c r="S27">
        <v>1424.47897924362</v>
      </c>
    </row>
    <row r="28" spans="1:19" x14ac:dyDescent="0.75">
      <c r="A28" s="1">
        <v>45233</v>
      </c>
      <c r="B28">
        <v>8.7219318394511303E-2</v>
      </c>
      <c r="C28">
        <v>-3.6597292415110498</v>
      </c>
      <c r="D28">
        <v>11.668613959118501</v>
      </c>
      <c r="E28" t="s">
        <v>21</v>
      </c>
      <c r="F28">
        <v>-3.5725099231165398</v>
      </c>
      <c r="G28">
        <v>6.5687499999999996</v>
      </c>
      <c r="H28">
        <v>60.19</v>
      </c>
      <c r="I28">
        <v>6.5172222222222196</v>
      </c>
      <c r="J28">
        <v>9.5175131562384205E-2</v>
      </c>
      <c r="K28">
        <v>23.1141204180492</v>
      </c>
      <c r="L28">
        <v>13.347831017237301</v>
      </c>
      <c r="M28">
        <v>0.118371519468925</v>
      </c>
      <c r="N28">
        <v>1997.06000411945</v>
      </c>
      <c r="O28">
        <v>1153.2525998893</v>
      </c>
      <c r="P28">
        <v>10227.2992821151</v>
      </c>
      <c r="Q28">
        <v>613.53555122851901</v>
      </c>
      <c r="R28">
        <v>2.051666008537</v>
      </c>
      <c r="S28">
        <v>1258.7700354845699</v>
      </c>
    </row>
    <row r="29" spans="1:19" x14ac:dyDescent="0.75">
      <c r="A29" s="1">
        <v>45234</v>
      </c>
      <c r="B29">
        <v>2.8790363344443601E-2</v>
      </c>
      <c r="C29">
        <v>-2.3950247561536999</v>
      </c>
      <c r="D29">
        <v>7.87003232642956</v>
      </c>
      <c r="E29" t="s">
        <v>21</v>
      </c>
      <c r="F29">
        <v>-2.3662343928092602</v>
      </c>
      <c r="G29">
        <v>6.2949999999999999</v>
      </c>
      <c r="H29">
        <v>62.6</v>
      </c>
      <c r="I29">
        <v>6.2588888888888903</v>
      </c>
      <c r="J29">
        <v>9.1094630977140795E-2</v>
      </c>
      <c r="K29">
        <v>21.342304408932701</v>
      </c>
      <c r="L29">
        <v>13.2264799892816</v>
      </c>
      <c r="M29">
        <v>0.11453148218737599</v>
      </c>
      <c r="N29">
        <v>1843.9751009317799</v>
      </c>
      <c r="O29">
        <v>1142.7678710739301</v>
      </c>
      <c r="P29">
        <v>9895.52006098928</v>
      </c>
      <c r="Q29">
        <v>880.15700004564599</v>
      </c>
      <c r="R29">
        <v>2.0456138152290899</v>
      </c>
      <c r="S29">
        <v>1800.4613188639701</v>
      </c>
    </row>
    <row r="30" spans="1:19" x14ac:dyDescent="0.75">
      <c r="A30" s="1">
        <v>45235</v>
      </c>
      <c r="B30">
        <v>5.3070273667586397E-2</v>
      </c>
      <c r="C30">
        <v>-2.29373770122388</v>
      </c>
      <c r="D30">
        <v>8.1435930539368293</v>
      </c>
      <c r="E30" t="s">
        <v>21</v>
      </c>
      <c r="F30">
        <v>-2.2406674275562999</v>
      </c>
      <c r="G30">
        <v>6.5304166666666701</v>
      </c>
      <c r="H30">
        <v>60.84</v>
      </c>
      <c r="I30">
        <v>6.4677777777777798</v>
      </c>
      <c r="J30">
        <v>8.6752860929964398E-2</v>
      </c>
      <c r="K30">
        <v>19.541115986451899</v>
      </c>
      <c r="L30">
        <v>13.102615545301999</v>
      </c>
      <c r="M30">
        <v>0.110388864090609</v>
      </c>
      <c r="N30">
        <v>1688.3524212294401</v>
      </c>
      <c r="O30">
        <v>1132.0659831140899</v>
      </c>
      <c r="P30">
        <v>9537.5978574286091</v>
      </c>
      <c r="Q30">
        <v>819.82467149098397</v>
      </c>
      <c r="R30">
        <v>2.0405173518900899</v>
      </c>
      <c r="S30">
        <v>1672.8664676849501</v>
      </c>
    </row>
    <row r="31" spans="1:19" x14ac:dyDescent="0.75">
      <c r="A31" s="1">
        <v>45236</v>
      </c>
      <c r="B31">
        <v>7.4437037519266405E-2</v>
      </c>
      <c r="C31">
        <v>-2.9055565632138798</v>
      </c>
      <c r="D31">
        <v>10.6785638678985</v>
      </c>
      <c r="E31" t="s">
        <v>21</v>
      </c>
      <c r="F31">
        <v>-2.83111952569462</v>
      </c>
      <c r="G31">
        <v>6.7641666666666698</v>
      </c>
      <c r="H31">
        <v>59.14</v>
      </c>
      <c r="I31">
        <v>6.69</v>
      </c>
      <c r="J31">
        <v>8.5784108992460195E-2</v>
      </c>
      <c r="K31">
        <v>19.127833671904099</v>
      </c>
      <c r="L31">
        <v>12.977355039758301</v>
      </c>
      <c r="M31">
        <v>0.109472526918878</v>
      </c>
      <c r="N31">
        <v>1652.6448292525099</v>
      </c>
      <c r="O31">
        <v>1121.24347543511</v>
      </c>
      <c r="P31">
        <v>9458.4263257910607</v>
      </c>
      <c r="Q31">
        <v>620.01768308538794</v>
      </c>
      <c r="R31">
        <v>2.0368253852612601</v>
      </c>
      <c r="S31">
        <v>1262.8677562191899</v>
      </c>
    </row>
    <row r="32" spans="1:19" x14ac:dyDescent="0.75">
      <c r="A32" s="1">
        <v>45237</v>
      </c>
      <c r="B32">
        <v>8.0156621473586098E-2</v>
      </c>
      <c r="C32">
        <v>-2.74810162823435</v>
      </c>
      <c r="D32">
        <v>10.3501937709063</v>
      </c>
      <c r="E32" t="s">
        <v>21</v>
      </c>
      <c r="F32">
        <v>-2.66794500676076</v>
      </c>
      <c r="G32">
        <v>6.7120833333333296</v>
      </c>
      <c r="H32">
        <v>59</v>
      </c>
      <c r="I32">
        <v>6.6483333333333299</v>
      </c>
      <c r="J32">
        <v>8.1832775332217306E-2</v>
      </c>
      <c r="K32">
        <v>17.551721173809</v>
      </c>
      <c r="L32">
        <v>12.8517385986175</v>
      </c>
      <c r="M32">
        <v>0.105657750573474</v>
      </c>
      <c r="N32">
        <v>1516.4687094170899</v>
      </c>
      <c r="O32">
        <v>1110.3902149205501</v>
      </c>
      <c r="P32">
        <v>9128.8296495481209</v>
      </c>
      <c r="Q32">
        <v>617.39720976491003</v>
      </c>
      <c r="R32">
        <v>2.0299767801863502</v>
      </c>
      <c r="S32">
        <v>1253.30199997461</v>
      </c>
    </row>
    <row r="33" spans="1:19" x14ac:dyDescent="0.75">
      <c r="A33" s="1">
        <v>45238</v>
      </c>
      <c r="B33">
        <v>6.2321135017525502E-2</v>
      </c>
      <c r="C33">
        <v>-2.2968383264557901</v>
      </c>
      <c r="D33">
        <v>8.9038245274801699</v>
      </c>
      <c r="E33" t="s">
        <v>21</v>
      </c>
      <c r="F33">
        <v>-2.23451719143827</v>
      </c>
      <c r="G33">
        <v>6.68</v>
      </c>
      <c r="H33">
        <v>59.68</v>
      </c>
      <c r="I33">
        <v>6.5955555555555598</v>
      </c>
      <c r="J33">
        <v>7.9542998025389805E-2</v>
      </c>
      <c r="K33">
        <v>16.6812776880233</v>
      </c>
      <c r="L33">
        <v>12.726662944184501</v>
      </c>
      <c r="M33">
        <v>0.103415031073799</v>
      </c>
      <c r="N33">
        <v>1441.2623922452101</v>
      </c>
      <c r="O33">
        <v>1099.5836783775401</v>
      </c>
      <c r="P33">
        <v>8935.0586847762806</v>
      </c>
      <c r="Q33">
        <v>702.45556390288198</v>
      </c>
      <c r="R33">
        <v>2.0278867117992898</v>
      </c>
      <c r="S33">
        <v>1424.5003036681301</v>
      </c>
    </row>
    <row r="34" spans="1:19" x14ac:dyDescent="0.75">
      <c r="A34" s="1">
        <v>45239</v>
      </c>
      <c r="B34">
        <v>0.12936553575804</v>
      </c>
      <c r="C34">
        <v>-3.4095096095098301</v>
      </c>
      <c r="D34">
        <v>12.9533827604532</v>
      </c>
      <c r="E34" t="s">
        <v>21</v>
      </c>
      <c r="F34">
        <v>-3.28014407375179</v>
      </c>
      <c r="G34">
        <v>6.3895833333333298</v>
      </c>
      <c r="H34">
        <v>60.91</v>
      </c>
      <c r="I34">
        <v>6.3238888888888898</v>
      </c>
      <c r="J34">
        <v>7.4998670754917299E-2</v>
      </c>
      <c r="K34">
        <v>14.9533738440813</v>
      </c>
      <c r="L34">
        <v>12.6045792823705</v>
      </c>
      <c r="M34">
        <v>9.8964273649703394E-2</v>
      </c>
      <c r="N34">
        <v>1291.9715001286299</v>
      </c>
      <c r="O34">
        <v>1089.03564999681</v>
      </c>
      <c r="P34">
        <v>8550.5132433343806</v>
      </c>
      <c r="Q34">
        <v>462.069204702837</v>
      </c>
      <c r="R34">
        <v>2.01468514107188</v>
      </c>
      <c r="S34">
        <v>930.923960861708</v>
      </c>
    </row>
    <row r="35" spans="1:19" x14ac:dyDescent="0.75">
      <c r="A35" s="1">
        <v>45240</v>
      </c>
      <c r="B35">
        <v>8.2087317856019498E-2</v>
      </c>
      <c r="C35">
        <v>-2.2016891258235298</v>
      </c>
      <c r="D35">
        <v>7.8146436173097298</v>
      </c>
      <c r="E35" t="s">
        <v>21</v>
      </c>
      <c r="F35">
        <v>-2.1196018079675101</v>
      </c>
      <c r="G35">
        <v>5.9079166666666696</v>
      </c>
      <c r="H35">
        <v>62.96</v>
      </c>
      <c r="I35">
        <v>5.8544444444444403</v>
      </c>
      <c r="J35">
        <v>7.1746012734449804E-2</v>
      </c>
      <c r="K35">
        <v>13.7949672240785</v>
      </c>
      <c r="L35">
        <v>12.498793632061901</v>
      </c>
      <c r="M35">
        <v>9.5715787279554099E-2</v>
      </c>
      <c r="N35">
        <v>1191.8851681603801</v>
      </c>
      <c r="O35">
        <v>1079.8957698101499</v>
      </c>
      <c r="P35">
        <v>8269.8440209534801</v>
      </c>
      <c r="Q35">
        <v>740.77476826260101</v>
      </c>
      <c r="R35">
        <v>2.0088121516846802</v>
      </c>
      <c r="S35">
        <v>1488.07735614732</v>
      </c>
    </row>
    <row r="36" spans="1:19" x14ac:dyDescent="0.75">
      <c r="A36" s="1">
        <v>45241</v>
      </c>
      <c r="B36">
        <v>8.4536749618632404E-2</v>
      </c>
      <c r="C36">
        <v>-2.8263526855315</v>
      </c>
      <c r="D36">
        <v>9.4046097966548299</v>
      </c>
      <c r="E36" t="s">
        <v>21</v>
      </c>
      <c r="F36">
        <v>-2.74181593591286</v>
      </c>
      <c r="G36">
        <v>5.4083333333333297</v>
      </c>
      <c r="H36">
        <v>66.09</v>
      </c>
      <c r="I36">
        <v>5.36</v>
      </c>
      <c r="J36">
        <v>7.1047337094674104E-2</v>
      </c>
      <c r="K36">
        <v>13.537210157066999</v>
      </c>
      <c r="L36">
        <v>12.411311764872201</v>
      </c>
      <c r="M36">
        <v>9.5025700202451602E-2</v>
      </c>
      <c r="N36">
        <v>1169.6149575705899</v>
      </c>
      <c r="O36">
        <v>1072.3373364849599</v>
      </c>
      <c r="P36">
        <v>8210.2204974918204</v>
      </c>
      <c r="Q36">
        <v>611.09971306714999</v>
      </c>
      <c r="R36">
        <v>2.0051196258001101</v>
      </c>
      <c r="S36">
        <v>1225.3280279917601</v>
      </c>
    </row>
    <row r="37" spans="1:19" x14ac:dyDescent="0.75">
      <c r="A37" s="1">
        <v>45242</v>
      </c>
      <c r="B37">
        <v>2.3675985264683098E-2</v>
      </c>
      <c r="C37">
        <v>-1.65658341673942</v>
      </c>
      <c r="D37">
        <v>5.8999968186798704</v>
      </c>
      <c r="E37" t="s">
        <v>21</v>
      </c>
      <c r="F37">
        <v>-1.63290743147474</v>
      </c>
      <c r="G37">
        <v>5.3804166666666697</v>
      </c>
      <c r="H37">
        <v>67.680000000000007</v>
      </c>
      <c r="I37">
        <v>5.3661111111111097</v>
      </c>
      <c r="J37">
        <v>7.1273379213425095E-2</v>
      </c>
      <c r="K37">
        <v>13.613099301326001</v>
      </c>
      <c r="L37">
        <v>12.340866070003001</v>
      </c>
      <c r="M37">
        <v>9.5255388185741904E-2</v>
      </c>
      <c r="N37">
        <v>1176.1717796345599</v>
      </c>
      <c r="O37">
        <v>1066.2508284482601</v>
      </c>
      <c r="P37">
        <v>8230.0655392481003</v>
      </c>
      <c r="Q37">
        <v>976.44898031702803</v>
      </c>
      <c r="R37">
        <v>2.0051188105955999</v>
      </c>
      <c r="S37">
        <v>1957.8962180205599</v>
      </c>
    </row>
    <row r="38" spans="1:19" x14ac:dyDescent="0.75">
      <c r="A38" s="1">
        <v>45243</v>
      </c>
      <c r="B38">
        <v>2.28554258488416E-2</v>
      </c>
      <c r="C38">
        <v>-2.6457256669715399</v>
      </c>
      <c r="D38">
        <v>10.043521869312199</v>
      </c>
      <c r="E38" t="s">
        <v>21</v>
      </c>
      <c r="F38">
        <v>-2.6228702411226998</v>
      </c>
      <c r="G38">
        <v>5.8287500000000003</v>
      </c>
      <c r="H38">
        <v>63.54</v>
      </c>
      <c r="I38">
        <v>5.8144444444444403</v>
      </c>
      <c r="J38">
        <v>7.0991560467969395E-2</v>
      </c>
      <c r="K38">
        <v>13.514854700714199</v>
      </c>
      <c r="L38">
        <v>12.2858200836561</v>
      </c>
      <c r="M38">
        <v>9.4972159843400003E-2</v>
      </c>
      <c r="N38">
        <v>1167.68344614171</v>
      </c>
      <c r="O38">
        <v>1061.49485522789</v>
      </c>
      <c r="P38">
        <v>8205.5946104697596</v>
      </c>
      <c r="Q38">
        <v>571.90259572981995</v>
      </c>
      <c r="R38">
        <v>2.0045105374601899</v>
      </c>
      <c r="S38">
        <v>1146.3847795412601</v>
      </c>
    </row>
    <row r="39" spans="1:19" x14ac:dyDescent="0.75">
      <c r="A39" s="1">
        <v>45244</v>
      </c>
      <c r="B39">
        <v>6.9757734023139506E-2</v>
      </c>
      <c r="C39">
        <v>-0.62334930459973104</v>
      </c>
      <c r="D39">
        <v>1.79625773784383</v>
      </c>
      <c r="E39" t="s">
        <v>21</v>
      </c>
      <c r="F39">
        <v>-0.55359157057659103</v>
      </c>
      <c r="G39">
        <v>5.8916666666666702</v>
      </c>
      <c r="H39">
        <v>62.24</v>
      </c>
      <c r="I39">
        <v>5.8561111111111099</v>
      </c>
      <c r="J39">
        <v>7.4666946606620793E-2</v>
      </c>
      <c r="K39">
        <v>14.9070404713292</v>
      </c>
      <c r="L39">
        <v>12.244953084647101</v>
      </c>
      <c r="M39">
        <v>9.8575941991304497E-2</v>
      </c>
      <c r="N39">
        <v>1287.96829672284</v>
      </c>
      <c r="O39">
        <v>1057.9639465135101</v>
      </c>
      <c r="P39">
        <v>8516.9613880487104</v>
      </c>
      <c r="Q39">
        <v>3319.0520747821702</v>
      </c>
      <c r="R39">
        <v>2.0253127782109899</v>
      </c>
      <c r="S39">
        <v>6722.1185786040096</v>
      </c>
    </row>
    <row r="40" spans="1:19" x14ac:dyDescent="0.75">
      <c r="A40" s="1">
        <v>45245</v>
      </c>
      <c r="B40">
        <v>3.1971249306899603E-2</v>
      </c>
      <c r="C40">
        <v>-2.3343407882517</v>
      </c>
      <c r="D40">
        <v>6.7175039292312198</v>
      </c>
      <c r="E40" t="s">
        <v>21</v>
      </c>
      <c r="F40">
        <v>-2.3023695389448</v>
      </c>
      <c r="G40">
        <v>5.6129166666666697</v>
      </c>
      <c r="H40">
        <v>63.57</v>
      </c>
      <c r="I40">
        <v>5.58555555555556</v>
      </c>
      <c r="J40">
        <v>8.7777389494172894E-2</v>
      </c>
      <c r="K40">
        <v>19.938821245976801</v>
      </c>
      <c r="L40">
        <v>12.218488455368499</v>
      </c>
      <c r="M40">
        <v>0.111385464065479</v>
      </c>
      <c r="N40">
        <v>1722.71415565239</v>
      </c>
      <c r="O40">
        <v>1055.6774025438301</v>
      </c>
      <c r="P40">
        <v>9623.7040952573607</v>
      </c>
      <c r="Q40">
        <v>1002.8416711996</v>
      </c>
      <c r="R40">
        <v>2.0393337212209199</v>
      </c>
      <c r="S40">
        <v>2045.1288371229</v>
      </c>
    </row>
    <row r="41" spans="1:19" x14ac:dyDescent="0.75">
      <c r="A41" s="1">
        <v>45246</v>
      </c>
      <c r="B41">
        <v>3.2366991303114802E-2</v>
      </c>
      <c r="C41">
        <v>-1.3741332182349399</v>
      </c>
      <c r="D41">
        <v>3.7426162047202101</v>
      </c>
      <c r="E41" t="s">
        <v>21</v>
      </c>
      <c r="F41">
        <v>-1.34176622693183</v>
      </c>
      <c r="G41">
        <v>5.4804166666666703</v>
      </c>
      <c r="H41">
        <v>65.55</v>
      </c>
      <c r="I41">
        <v>5.4744444444444396</v>
      </c>
      <c r="J41">
        <v>8.7551347375421695E-2</v>
      </c>
      <c r="K41">
        <v>19.838272555939401</v>
      </c>
      <c r="L41">
        <v>12.205658636858301</v>
      </c>
      <c r="M41">
        <v>0.11117434459805001</v>
      </c>
      <c r="N41">
        <v>1714.0267488331699</v>
      </c>
      <c r="O41">
        <v>1054.5689062245599</v>
      </c>
      <c r="P41">
        <v>9605.4633732714792</v>
      </c>
      <c r="Q41">
        <v>1796.5572726399</v>
      </c>
      <c r="R41">
        <v>2.0381513963080198</v>
      </c>
      <c r="S41">
        <v>3661.6557137783302</v>
      </c>
    </row>
    <row r="42" spans="1:19" x14ac:dyDescent="0.75">
      <c r="A42" s="1">
        <v>45247</v>
      </c>
      <c r="B42">
        <v>1.58185093400613E-2</v>
      </c>
      <c r="C42">
        <v>-3.0906995640433599</v>
      </c>
      <c r="D42">
        <v>7.4756363726085802</v>
      </c>
      <c r="E42" t="s">
        <v>21</v>
      </c>
      <c r="F42">
        <v>-3.0748810547033001</v>
      </c>
      <c r="G42">
        <v>5.2929166666666703</v>
      </c>
      <c r="H42">
        <v>66.13</v>
      </c>
      <c r="I42">
        <v>5.2994444444444397</v>
      </c>
      <c r="J42">
        <v>9.8477694985693004E-2</v>
      </c>
      <c r="K42">
        <v>24.6024259824285</v>
      </c>
      <c r="L42">
        <v>12.206209085774899</v>
      </c>
      <c r="M42">
        <v>0.121444860522802</v>
      </c>
      <c r="N42">
        <v>2125.6496048818199</v>
      </c>
      <c r="O42">
        <v>1054.6164650109499</v>
      </c>
      <c r="P42">
        <v>10492.835949170099</v>
      </c>
      <c r="Q42">
        <v>982.52306537163599</v>
      </c>
      <c r="R42">
        <v>2.0571261205018998</v>
      </c>
      <c r="S42">
        <v>2021.1738617715801</v>
      </c>
    </row>
    <row r="43" spans="1:19" x14ac:dyDescent="0.75">
      <c r="A43" s="1">
        <v>45248</v>
      </c>
      <c r="B43">
        <v>2.55853348606257E-2</v>
      </c>
      <c r="C43">
        <v>-3.3518128120050799</v>
      </c>
      <c r="D43">
        <v>8.4478256315114297</v>
      </c>
      <c r="E43" t="s">
        <v>21</v>
      </c>
      <c r="F43">
        <v>-3.32622747714445</v>
      </c>
      <c r="G43">
        <v>5.2595833333333299</v>
      </c>
      <c r="H43">
        <v>67.569999999999993</v>
      </c>
      <c r="I43">
        <v>5.2350000000000003</v>
      </c>
      <c r="J43">
        <v>9.7520685495916498E-2</v>
      </c>
      <c r="K43">
        <v>24.167548951778699</v>
      </c>
      <c r="L43">
        <v>12.218251289157299</v>
      </c>
      <c r="M43">
        <v>0.12055659315546099</v>
      </c>
      <c r="N43">
        <v>2088.0762294336801</v>
      </c>
      <c r="O43">
        <v>1055.6569113831899</v>
      </c>
      <c r="P43">
        <v>10416.0896486318</v>
      </c>
      <c r="Q43">
        <v>863.09342451919895</v>
      </c>
      <c r="R43">
        <v>2.0556297526967802</v>
      </c>
      <c r="S43">
        <v>1774.2005227986201</v>
      </c>
    </row>
    <row r="44" spans="1:19" x14ac:dyDescent="0.75">
      <c r="A44" s="1">
        <v>45249</v>
      </c>
      <c r="B44">
        <v>4.5039094590006601E-2</v>
      </c>
      <c r="C44">
        <v>-2.2256913260187901</v>
      </c>
      <c r="D44">
        <v>6.3590168650865602</v>
      </c>
      <c r="E44" t="s">
        <v>21</v>
      </c>
      <c r="F44">
        <v>-2.18065223142878</v>
      </c>
      <c r="G44">
        <v>5.6316666666666704</v>
      </c>
      <c r="H44">
        <v>66.42</v>
      </c>
      <c r="I44">
        <v>5.5677777777777804</v>
      </c>
      <c r="J44">
        <v>9.2418591958395802E-2</v>
      </c>
      <c r="K44">
        <v>21.940434904918899</v>
      </c>
      <c r="L44">
        <v>12.2398615798528</v>
      </c>
      <c r="M44">
        <v>0.115762200796975</v>
      </c>
      <c r="N44">
        <v>1895.6535757849899</v>
      </c>
      <c r="O44">
        <v>1057.5240404992801</v>
      </c>
      <c r="P44">
        <v>10001.8541488587</v>
      </c>
      <c r="Q44">
        <v>1101.00319793786</v>
      </c>
      <c r="R44">
        <v>2.0507801713802301</v>
      </c>
      <c r="S44">
        <v>2257.9155269571702</v>
      </c>
    </row>
    <row r="45" spans="1:19" x14ac:dyDescent="0.75">
      <c r="A45" s="1">
        <v>45250</v>
      </c>
      <c r="B45">
        <v>5.2369122818785301E-2</v>
      </c>
      <c r="C45">
        <v>-4.4501719384404996</v>
      </c>
      <c r="D45">
        <v>12.2133709506498</v>
      </c>
      <c r="E45" t="s">
        <v>21</v>
      </c>
      <c r="F45">
        <v>-4.3978028156217199</v>
      </c>
      <c r="G45">
        <v>5.6570833333333299</v>
      </c>
      <c r="H45">
        <v>64.8</v>
      </c>
      <c r="I45">
        <v>5.6205555555555602</v>
      </c>
      <c r="J45">
        <v>9.4200508401016694E-2</v>
      </c>
      <c r="K45">
        <v>22.696649017704001</v>
      </c>
      <c r="L45">
        <v>12.2708154611214</v>
      </c>
      <c r="M45">
        <v>0.117450796994357</v>
      </c>
      <c r="N45">
        <v>1960.9904751296201</v>
      </c>
      <c r="O45">
        <v>1060.1984558408899</v>
      </c>
      <c r="P45">
        <v>10147.7488603125</v>
      </c>
      <c r="Q45">
        <v>581.610452259358</v>
      </c>
      <c r="R45">
        <v>2.0514102771490901</v>
      </c>
      <c r="S45">
        <v>1193.12165906218</v>
      </c>
    </row>
    <row r="46" spans="1:19" x14ac:dyDescent="0.75">
      <c r="A46" s="1">
        <v>45251</v>
      </c>
      <c r="B46">
        <v>8.8802377333789706E-2</v>
      </c>
      <c r="C46">
        <v>-4.7902313412568898</v>
      </c>
      <c r="D46">
        <v>13.2289280808928</v>
      </c>
      <c r="E46" t="s">
        <v>21</v>
      </c>
      <c r="F46">
        <v>-4.7014289639231004</v>
      </c>
      <c r="G46">
        <v>5.2495833333333302</v>
      </c>
      <c r="H46">
        <v>67.239999999999995</v>
      </c>
      <c r="I46">
        <v>5.2216666666666702</v>
      </c>
      <c r="J46">
        <v>8.5684298186778196E-2</v>
      </c>
      <c r="K46">
        <v>19.076302620802799</v>
      </c>
      <c r="L46">
        <v>12.309787211038699</v>
      </c>
      <c r="M46">
        <v>0.109384508897683</v>
      </c>
      <c r="N46">
        <v>1648.1925464373601</v>
      </c>
      <c r="O46">
        <v>1063.56561503375</v>
      </c>
      <c r="P46">
        <v>9450.8215687597894</v>
      </c>
      <c r="Q46">
        <v>500.08398697752801</v>
      </c>
      <c r="R46">
        <v>2.0353407984423399</v>
      </c>
      <c r="S46">
        <v>1017.84134134307</v>
      </c>
    </row>
    <row r="47" spans="1:19" x14ac:dyDescent="0.75">
      <c r="A47" s="1">
        <v>45252</v>
      </c>
      <c r="B47">
        <v>1.45957792992749E-2</v>
      </c>
      <c r="C47">
        <v>-2.3266048172074298</v>
      </c>
      <c r="D47">
        <v>6.3371373552625396</v>
      </c>
      <c r="E47" t="s">
        <v>21</v>
      </c>
      <c r="F47">
        <v>-2.3120090379081502</v>
      </c>
      <c r="G47">
        <v>5.0049999999999999</v>
      </c>
      <c r="H47">
        <v>68.540000000000006</v>
      </c>
      <c r="I47">
        <v>4.9983333333333304</v>
      </c>
      <c r="J47">
        <v>8.4835906338479095E-2</v>
      </c>
      <c r="K47">
        <v>18.7286061419959</v>
      </c>
      <c r="L47">
        <v>12.3559728139335</v>
      </c>
      <c r="M47">
        <v>0.108572200798013</v>
      </c>
      <c r="N47">
        <v>1618.1515706684399</v>
      </c>
      <c r="O47">
        <v>1067.55605112386</v>
      </c>
      <c r="P47">
        <v>9380.6381489483592</v>
      </c>
      <c r="Q47">
        <v>1036.1850053338201</v>
      </c>
      <c r="R47">
        <v>2.03332645638667</v>
      </c>
      <c r="S47">
        <v>2106.9023850564099</v>
      </c>
    </row>
    <row r="48" spans="1:19" x14ac:dyDescent="0.75">
      <c r="A48" s="1">
        <v>45253</v>
      </c>
      <c r="B48">
        <v>2.9366703097105901E-2</v>
      </c>
      <c r="C48">
        <v>-1.05702051498557</v>
      </c>
      <c r="D48">
        <v>3.6487633130947299</v>
      </c>
      <c r="E48" t="s">
        <v>21</v>
      </c>
      <c r="F48">
        <v>-1.0276538118884599</v>
      </c>
      <c r="G48">
        <v>5.9491666666666703</v>
      </c>
      <c r="H48">
        <v>64.44</v>
      </c>
      <c r="I48">
        <v>5.89</v>
      </c>
      <c r="J48">
        <v>8.5719525529960094E-2</v>
      </c>
      <c r="K48">
        <v>19.094420189541601</v>
      </c>
      <c r="L48">
        <v>12.408535670192</v>
      </c>
      <c r="M48">
        <v>0.10941566289975301</v>
      </c>
      <c r="N48">
        <v>1649.7579043763899</v>
      </c>
      <c r="O48">
        <v>1072.09748190459</v>
      </c>
      <c r="P48">
        <v>9453.5132745387</v>
      </c>
      <c r="Q48">
        <v>1813.6170324965301</v>
      </c>
      <c r="R48">
        <v>2.03585677212808</v>
      </c>
      <c r="S48">
        <v>3692.2645176549099</v>
      </c>
    </row>
    <row r="49" spans="1:19" x14ac:dyDescent="0.75">
      <c r="A49" s="1">
        <v>45254</v>
      </c>
      <c r="B49">
        <v>3.3562268976109602E-2</v>
      </c>
      <c r="C49">
        <v>-2.52506468589683</v>
      </c>
      <c r="D49">
        <v>9.3450660934192804</v>
      </c>
      <c r="E49" t="s">
        <v>21</v>
      </c>
      <c r="F49">
        <v>-2.4915024169207198</v>
      </c>
      <c r="G49">
        <v>6.5137499999999999</v>
      </c>
      <c r="H49">
        <v>59.14</v>
      </c>
      <c r="I49">
        <v>6.4838888888888899</v>
      </c>
      <c r="J49">
        <v>8.1709479631080495E-2</v>
      </c>
      <c r="K49">
        <v>17.481888317394802</v>
      </c>
      <c r="L49">
        <v>12.3032812529057</v>
      </c>
      <c r="M49">
        <v>0.10555414296467799</v>
      </c>
      <c r="N49">
        <v>1510.43515062291</v>
      </c>
      <c r="O49">
        <v>1063.0035002510499</v>
      </c>
      <c r="P49">
        <v>9119.8779521481702</v>
      </c>
      <c r="Q49">
        <v>683.13209373652501</v>
      </c>
      <c r="R49">
        <v>2.0269386914660901</v>
      </c>
      <c r="S49">
        <v>1384.6668721768001</v>
      </c>
    </row>
    <row r="50" spans="1:19" x14ac:dyDescent="0.75">
      <c r="A50" s="1">
        <v>45255</v>
      </c>
      <c r="B50">
        <v>6.7537120231082104E-2</v>
      </c>
      <c r="C50">
        <v>-2.1861388203135901</v>
      </c>
      <c r="D50">
        <v>7.9839586454079301</v>
      </c>
      <c r="E50" t="s">
        <v>21</v>
      </c>
      <c r="F50">
        <v>-2.1186017000824999</v>
      </c>
      <c r="G50">
        <v>6.6462500000000002</v>
      </c>
      <c r="H50">
        <v>58.21</v>
      </c>
      <c r="I50">
        <v>6.6052631578947398</v>
      </c>
      <c r="J50">
        <v>8.1706544019148605E-2</v>
      </c>
      <c r="K50">
        <v>17.497380233672899</v>
      </c>
      <c r="L50">
        <v>11.836149640335799</v>
      </c>
      <c r="M50">
        <v>0.105538894236192</v>
      </c>
      <c r="N50">
        <v>1511.7736521893401</v>
      </c>
      <c r="O50">
        <v>1022.64332892502</v>
      </c>
      <c r="P50">
        <v>9118.5604620070008</v>
      </c>
      <c r="Q50">
        <v>799.47712743679494</v>
      </c>
      <c r="R50">
        <v>2.0291009237429498</v>
      </c>
      <c r="S50">
        <v>1622.21977779336</v>
      </c>
    </row>
    <row r="51" spans="1:19" x14ac:dyDescent="0.75">
      <c r="A51" s="1">
        <v>45256</v>
      </c>
      <c r="B51">
        <v>1.5893095461837901E-2</v>
      </c>
      <c r="C51">
        <v>-0.31439787288575</v>
      </c>
      <c r="D51">
        <v>0.71522476707897498</v>
      </c>
      <c r="E51" t="s">
        <v>21</v>
      </c>
      <c r="F51">
        <v>-0.29850477742391301</v>
      </c>
      <c r="G51">
        <v>6.2558333333333298</v>
      </c>
      <c r="H51">
        <v>60.62</v>
      </c>
      <c r="I51">
        <v>6.2010526315789498</v>
      </c>
      <c r="J51">
        <v>0.100582528740815</v>
      </c>
      <c r="K51">
        <v>26.417142287180301</v>
      </c>
      <c r="L51">
        <v>11.3747401307203</v>
      </c>
      <c r="M51">
        <v>0.122894095644318</v>
      </c>
      <c r="N51">
        <v>2282.44109361238</v>
      </c>
      <c r="O51">
        <v>982.77754729423305</v>
      </c>
      <c r="P51">
        <v>10618.049863669101</v>
      </c>
      <c r="Q51">
        <v>10392.026739962799</v>
      </c>
      <c r="R51">
        <v>2.1371365279991901</v>
      </c>
      <c r="S51">
        <v>22209.179945918801</v>
      </c>
    </row>
    <row r="52" spans="1:19" x14ac:dyDescent="0.75">
      <c r="A52" s="1">
        <v>45257</v>
      </c>
      <c r="B52">
        <v>1.35047154398287E-2</v>
      </c>
      <c r="C52">
        <v>-1.1165290672344299</v>
      </c>
      <c r="D52">
        <v>2.4639287109049901</v>
      </c>
      <c r="E52" t="s">
        <v>21</v>
      </c>
      <c r="F52">
        <v>-1.1030243517945999</v>
      </c>
      <c r="G52">
        <v>6.2708333333333304</v>
      </c>
      <c r="H52">
        <v>61.34</v>
      </c>
      <c r="I52">
        <v>6.2526315789473701</v>
      </c>
      <c r="J52">
        <v>0.14072115068472599</v>
      </c>
      <c r="K52">
        <v>47.273870778567002</v>
      </c>
      <c r="L52">
        <v>10.9193240047502</v>
      </c>
      <c r="M52">
        <v>0.158803990629275</v>
      </c>
      <c r="N52">
        <v>4084.4624352681899</v>
      </c>
      <c r="O52">
        <v>943.42959401041799</v>
      </c>
      <c r="P52">
        <v>13720.664790369399</v>
      </c>
      <c r="Q52">
        <v>3898.0289124237202</v>
      </c>
      <c r="R52">
        <v>2.1154383550420901</v>
      </c>
      <c r="S52">
        <v>8246.0398704041399</v>
      </c>
    </row>
    <row r="53" spans="1:19" x14ac:dyDescent="0.75">
      <c r="A53" s="1">
        <v>45258</v>
      </c>
      <c r="B53">
        <v>1.5245884410834401E-2</v>
      </c>
      <c r="C53">
        <v>-0.69110044511449598</v>
      </c>
      <c r="D53">
        <v>2.1600563553867498</v>
      </c>
      <c r="E53" t="s">
        <v>21</v>
      </c>
      <c r="F53">
        <v>-0.67585456070366201</v>
      </c>
      <c r="G53">
        <v>6.9824999999999999</v>
      </c>
      <c r="H53">
        <v>59.25</v>
      </c>
      <c r="I53">
        <v>6.9489473684210497</v>
      </c>
      <c r="J53">
        <v>0.12981828796990899</v>
      </c>
      <c r="K53">
        <v>40.836250988824503</v>
      </c>
      <c r="L53">
        <v>10.469837730094101</v>
      </c>
      <c r="M53">
        <v>0.149445502825263</v>
      </c>
      <c r="N53">
        <v>3528.2520854344398</v>
      </c>
      <c r="O53">
        <v>904.59397988012904</v>
      </c>
      <c r="P53">
        <v>12912.0914441027</v>
      </c>
      <c r="Q53">
        <v>4184.3649071153905</v>
      </c>
      <c r="R53">
        <v>2.1048790056070499</v>
      </c>
      <c r="S53">
        <v>8807.5818447860893</v>
      </c>
    </row>
    <row r="54" spans="1:19" x14ac:dyDescent="0.75">
      <c r="A54" s="1">
        <v>45259</v>
      </c>
      <c r="B54">
        <v>1.14899263108517E-2</v>
      </c>
      <c r="C54">
        <v>-1.3433598287458199</v>
      </c>
      <c r="D54">
        <v>4.7992884465899399</v>
      </c>
      <c r="E54" t="s">
        <v>21</v>
      </c>
      <c r="F54">
        <v>-1.3318699024349701</v>
      </c>
      <c r="G54">
        <v>7.8341666666666701</v>
      </c>
      <c r="H54">
        <v>53.28</v>
      </c>
      <c r="I54">
        <v>7.7936842105263198</v>
      </c>
      <c r="J54">
        <v>0.11641428388917401</v>
      </c>
      <c r="K54">
        <v>33.455954890129902</v>
      </c>
      <c r="L54">
        <v>10.026417415861699</v>
      </c>
      <c r="M54">
        <v>0.1376944625872</v>
      </c>
      <c r="N54">
        <v>2890.5945025072301</v>
      </c>
      <c r="O54">
        <v>866.28246473045499</v>
      </c>
      <c r="P54">
        <v>11896.801567534099</v>
      </c>
      <c r="Q54">
        <v>1735.2074562617699</v>
      </c>
      <c r="R54">
        <v>2.08713568512165</v>
      </c>
      <c r="S54">
        <v>3621.6134030530998</v>
      </c>
    </row>
    <row r="55" spans="1:19" x14ac:dyDescent="0.75">
      <c r="A55" s="1">
        <v>45260</v>
      </c>
      <c r="B55">
        <v>6.6243442306089195E-2</v>
      </c>
      <c r="C55">
        <v>-3.5342622592313901</v>
      </c>
      <c r="D55">
        <v>13.0559283923593</v>
      </c>
      <c r="E55" t="s">
        <v>21</v>
      </c>
      <c r="F55">
        <v>-3.4680188169253001</v>
      </c>
      <c r="G55">
        <v>8.1050000000000004</v>
      </c>
      <c r="H55">
        <v>50.72</v>
      </c>
      <c r="I55">
        <v>8.0484210526315803</v>
      </c>
      <c r="J55">
        <v>0.107466538720956</v>
      </c>
      <c r="K55">
        <v>28.887772367525201</v>
      </c>
      <c r="L55">
        <v>9.5895582591714703</v>
      </c>
      <c r="M55">
        <v>0.129671251281363</v>
      </c>
      <c r="N55">
        <v>2495.9035325541799</v>
      </c>
      <c r="O55">
        <v>828.53783359241504</v>
      </c>
      <c r="P55">
        <v>11203.596110709699</v>
      </c>
      <c r="Q55">
        <v>600.68629681566597</v>
      </c>
      <c r="R55">
        <v>2.0729894422206301</v>
      </c>
      <c r="S55">
        <v>1245.21635138549</v>
      </c>
    </row>
    <row r="56" spans="1:19" x14ac:dyDescent="0.75">
      <c r="A56" s="1">
        <v>45261</v>
      </c>
      <c r="B56">
        <v>2.8902168920597299E-2</v>
      </c>
      <c r="C56">
        <v>-1.0595436503462901</v>
      </c>
      <c r="D56">
        <v>3.0259148657533701</v>
      </c>
      <c r="E56" t="s">
        <v>21</v>
      </c>
      <c r="F56">
        <v>-1.0306414814256899</v>
      </c>
      <c r="G56">
        <v>7.1487499999999997</v>
      </c>
      <c r="H56">
        <v>54.86</v>
      </c>
      <c r="I56">
        <v>7.1194736842105302</v>
      </c>
      <c r="J56">
        <v>9.9493416714105901E-2</v>
      </c>
      <c r="K56">
        <v>25.073440852047302</v>
      </c>
      <c r="L56">
        <v>9.1595937513817596</v>
      </c>
      <c r="M56">
        <v>0.12238208993386999</v>
      </c>
      <c r="N56">
        <v>2166.3452896168901</v>
      </c>
      <c r="O56">
        <v>791.38890011938395</v>
      </c>
      <c r="P56">
        <v>10573.8125702864</v>
      </c>
      <c r="Q56">
        <v>2446.0928768918502</v>
      </c>
      <c r="R56">
        <v>2.05921515588471</v>
      </c>
      <c r="S56">
        <v>5037.0315247973404</v>
      </c>
    </row>
    <row r="57" spans="1:19" x14ac:dyDescent="0.75">
      <c r="A57" s="1">
        <v>45269</v>
      </c>
      <c r="B57">
        <v>3.4585414688896102E-2</v>
      </c>
      <c r="C57">
        <v>-0.98308130253993398</v>
      </c>
      <c r="D57">
        <v>3.08512551703254</v>
      </c>
      <c r="E57" t="s">
        <v>21</v>
      </c>
      <c r="F57">
        <v>-0.948495887851038</v>
      </c>
      <c r="G57">
        <v>6.7912499999999998</v>
      </c>
      <c r="H57">
        <v>57.88</v>
      </c>
      <c r="I57">
        <v>6.7689473684210499</v>
      </c>
      <c r="J57">
        <v>8.7260721794170895E-2</v>
      </c>
      <c r="K57">
        <v>19.719761986129502</v>
      </c>
      <c r="L57">
        <v>6.3179125441263402</v>
      </c>
      <c r="M57">
        <v>0.110895666745192</v>
      </c>
      <c r="N57">
        <v>1703.78743560159</v>
      </c>
      <c r="O57">
        <v>545.86764381251601</v>
      </c>
      <c r="P57">
        <v>9581.38560678461</v>
      </c>
      <c r="Q57">
        <v>2173.9698717997098</v>
      </c>
      <c r="R57">
        <v>2.0378315950524399</v>
      </c>
      <c r="S57">
        <v>4430.1844914455496</v>
      </c>
    </row>
    <row r="58" spans="1:19" x14ac:dyDescent="0.75">
      <c r="A58" s="1">
        <v>45270</v>
      </c>
      <c r="B58">
        <v>7.7547764819659096E-2</v>
      </c>
      <c r="C58">
        <v>-0.66000598779624697</v>
      </c>
      <c r="D58">
        <v>1.51630252288113</v>
      </c>
      <c r="E58" t="s">
        <v>21</v>
      </c>
      <c r="F58">
        <v>-0.582458222976588</v>
      </c>
      <c r="G58">
        <v>6.0816666666666697</v>
      </c>
      <c r="H58">
        <v>61.56</v>
      </c>
      <c r="I58">
        <v>6.0631578947368396</v>
      </c>
      <c r="J58">
        <v>9.2600599898169197E-2</v>
      </c>
      <c r="K58">
        <v>22.2047166423087</v>
      </c>
      <c r="L58">
        <v>6.1960370574725196</v>
      </c>
      <c r="M58">
        <v>0.115817322249891</v>
      </c>
      <c r="N58">
        <v>1918.4875178954701</v>
      </c>
      <c r="O58">
        <v>535.337601765626</v>
      </c>
      <c r="P58">
        <v>10006.6166423906</v>
      </c>
      <c r="Q58">
        <v>4619.5475797032304</v>
      </c>
      <c r="R58">
        <v>2.0704174322604199</v>
      </c>
      <c r="S58">
        <v>9564.3918381739895</v>
      </c>
    </row>
    <row r="59" spans="1:19" x14ac:dyDescent="0.75">
      <c r="A59" s="1">
        <v>45271</v>
      </c>
      <c r="B59">
        <v>1.58266410237505E-2</v>
      </c>
      <c r="C59">
        <v>-1.0854728181661599</v>
      </c>
      <c r="D59">
        <v>3.2061586764470298</v>
      </c>
      <c r="E59" t="s">
        <v>21</v>
      </c>
      <c r="F59">
        <v>-1.0696461771424099</v>
      </c>
      <c r="G59">
        <v>6.5674999999999999</v>
      </c>
      <c r="H59">
        <v>63.21</v>
      </c>
      <c r="I59">
        <v>6.5042105263157897</v>
      </c>
      <c r="J59">
        <v>0.126753509113079</v>
      </c>
      <c r="K59">
        <v>39.050455788384902</v>
      </c>
      <c r="L59">
        <v>6.1531870330821299</v>
      </c>
      <c r="M59">
        <v>0.14680447944758299</v>
      </c>
      <c r="N59">
        <v>3373.9593801164601</v>
      </c>
      <c r="O59">
        <v>531.63535965829601</v>
      </c>
      <c r="P59">
        <v>12683.9070242711</v>
      </c>
      <c r="Q59">
        <v>2769.2749526760599</v>
      </c>
      <c r="R59">
        <v>2.0985861793256602</v>
      </c>
      <c r="S59">
        <v>5811.56214243871</v>
      </c>
    </row>
    <row r="60" spans="1:19" x14ac:dyDescent="0.75">
      <c r="A60" s="1">
        <v>45272</v>
      </c>
      <c r="B60">
        <v>4.0238021691213599E-2</v>
      </c>
      <c r="C60">
        <v>-2.7046208373282798</v>
      </c>
      <c r="D60">
        <v>8.8948740004483398</v>
      </c>
      <c r="E60" t="s">
        <v>21</v>
      </c>
      <c r="F60">
        <v>-2.6643828156370701</v>
      </c>
      <c r="G60">
        <v>7.7379166666666697</v>
      </c>
      <c r="H60">
        <v>54.86</v>
      </c>
      <c r="I60">
        <v>7.6705263157894699</v>
      </c>
      <c r="J60">
        <v>0.121222816233511</v>
      </c>
      <c r="K60">
        <v>36.0119976915244</v>
      </c>
      <c r="L60">
        <v>6.1853077378707599</v>
      </c>
      <c r="M60">
        <v>0.14195403626130301</v>
      </c>
      <c r="N60">
        <v>3111.43660054771</v>
      </c>
      <c r="O60">
        <v>534.41058855203403</v>
      </c>
      <c r="P60">
        <v>12264.828732976601</v>
      </c>
      <c r="Q60">
        <v>965.20536577031498</v>
      </c>
      <c r="R60">
        <v>2.09273914911005</v>
      </c>
      <c r="S60">
        <v>2019.9230558786201</v>
      </c>
    </row>
    <row r="61" spans="1:19" x14ac:dyDescent="0.75">
      <c r="A61" s="1">
        <v>45273</v>
      </c>
      <c r="B61">
        <v>3.8505542724095197E-2</v>
      </c>
      <c r="C61">
        <v>-3.8313260327496401</v>
      </c>
      <c r="D61">
        <v>13.6665674471835</v>
      </c>
      <c r="E61" t="s">
        <v>21</v>
      </c>
      <c r="F61">
        <v>-3.7928204900255502</v>
      </c>
      <c r="G61">
        <v>7.6320833333333304</v>
      </c>
      <c r="H61">
        <v>55.04</v>
      </c>
      <c r="I61">
        <v>7.6010526315789502</v>
      </c>
      <c r="J61">
        <v>0.10966237644596501</v>
      </c>
      <c r="K61">
        <v>29.986413140741</v>
      </c>
      <c r="L61">
        <v>6.2882154444137202</v>
      </c>
      <c r="M61">
        <v>0.13165205388138401</v>
      </c>
      <c r="N61">
        <v>2590.8260953600302</v>
      </c>
      <c r="O61">
        <v>543.30181439734497</v>
      </c>
      <c r="P61">
        <v>11374.7374553516</v>
      </c>
      <c r="Q61">
        <v>582.61273355710296</v>
      </c>
      <c r="R61">
        <v>2.0770130647460801</v>
      </c>
      <c r="S61">
        <v>1210.0942592855299</v>
      </c>
    </row>
    <row r="62" spans="1:19" x14ac:dyDescent="0.75">
      <c r="A62" s="1">
        <v>45274</v>
      </c>
      <c r="B62">
        <v>6.58923499697395E-2</v>
      </c>
      <c r="C62">
        <v>-3.2417521991212301</v>
      </c>
      <c r="D62">
        <v>11.4308945187435</v>
      </c>
      <c r="E62" t="s">
        <v>21</v>
      </c>
      <c r="F62">
        <v>-3.17585984915149</v>
      </c>
      <c r="G62">
        <v>7.4983333333333304</v>
      </c>
      <c r="H62">
        <v>55.62</v>
      </c>
      <c r="I62">
        <v>7.4668421052631597</v>
      </c>
      <c r="J62">
        <v>0.10379408819423699</v>
      </c>
      <c r="K62">
        <v>27.080321131949301</v>
      </c>
      <c r="L62">
        <v>6.4575816586345001</v>
      </c>
      <c r="M62">
        <v>0.12634268970229301</v>
      </c>
      <c r="N62">
        <v>2339.7397458004202</v>
      </c>
      <c r="O62">
        <v>557.93505530601999</v>
      </c>
      <c r="P62">
        <v>10916.008390278101</v>
      </c>
      <c r="Q62">
        <v>668.46963382132503</v>
      </c>
      <c r="R62">
        <v>2.0650523881554999</v>
      </c>
      <c r="S62">
        <v>1380.4248137321599</v>
      </c>
    </row>
    <row r="63" spans="1:19" x14ac:dyDescent="0.75">
      <c r="A63" s="1">
        <v>45275</v>
      </c>
      <c r="B63">
        <v>4.7775383594059903E-2</v>
      </c>
      <c r="C63">
        <v>-2.2697932306697401</v>
      </c>
      <c r="D63">
        <v>7.5095718770031397</v>
      </c>
      <c r="E63" t="s">
        <v>21</v>
      </c>
      <c r="F63">
        <v>-2.22201784707568</v>
      </c>
      <c r="G63">
        <v>7.1829166666666699</v>
      </c>
      <c r="H63">
        <v>57.49</v>
      </c>
      <c r="I63">
        <v>7.1515789473684199</v>
      </c>
      <c r="J63">
        <v>0.102405543750481</v>
      </c>
      <c r="K63">
        <v>26.4202268028628</v>
      </c>
      <c r="L63">
        <v>6.6889346806589902</v>
      </c>
      <c r="M63">
        <v>0.125071089396145</v>
      </c>
      <c r="N63">
        <v>2282.7075957673401</v>
      </c>
      <c r="O63">
        <v>577.92395640893699</v>
      </c>
      <c r="P63">
        <v>10806.142123826899</v>
      </c>
      <c r="Q63">
        <v>1007.2877136769</v>
      </c>
      <c r="R63">
        <v>2.0627953364607601</v>
      </c>
      <c r="S63">
        <v>2077.8283982469302</v>
      </c>
    </row>
    <row r="64" spans="1:19" x14ac:dyDescent="0.75">
      <c r="A64" s="1">
        <v>45277</v>
      </c>
      <c r="B64">
        <v>2.6241298475603799E-2</v>
      </c>
      <c r="C64">
        <v>-4.4954323516879997</v>
      </c>
      <c r="D64">
        <v>1.24239400516472</v>
      </c>
      <c r="E64" t="s">
        <v>21</v>
      </c>
      <c r="F64">
        <v>-4.4691910532123904</v>
      </c>
      <c r="G64">
        <v>6.3608333333333302</v>
      </c>
      <c r="H64">
        <v>61.38</v>
      </c>
      <c r="I64">
        <v>6.36</v>
      </c>
      <c r="J64">
        <v>0.54320235337440403</v>
      </c>
      <c r="K64">
        <v>598.92122029063796</v>
      </c>
      <c r="L64">
        <v>7.3189441226260401</v>
      </c>
      <c r="M64">
        <v>0.43374142570990798</v>
      </c>
      <c r="N64">
        <v>51746.793433111103</v>
      </c>
      <c r="O64">
        <v>632.35677219489003</v>
      </c>
      <c r="P64">
        <v>37475.259181335998</v>
      </c>
      <c r="Q64">
        <v>21114.623314249799</v>
      </c>
      <c r="R64">
        <v>2.54200941826829</v>
      </c>
      <c r="S64">
        <v>53673.571328010003</v>
      </c>
    </row>
    <row r="65" spans="1:19" x14ac:dyDescent="0.75">
      <c r="A65" s="1">
        <v>45278</v>
      </c>
      <c r="B65">
        <v>0.22136602436519401</v>
      </c>
      <c r="C65">
        <v>-8.0927219271618203</v>
      </c>
      <c r="D65">
        <v>3.1003166617517901</v>
      </c>
      <c r="E65" t="s">
        <v>21</v>
      </c>
      <c r="F65">
        <v>-7.8713559027966298</v>
      </c>
      <c r="G65">
        <v>4.9033333333333298</v>
      </c>
      <c r="H65">
        <v>62.53</v>
      </c>
      <c r="I65">
        <v>4.8957894736842098</v>
      </c>
      <c r="J65">
        <v>0.51873109231066905</v>
      </c>
      <c r="K65">
        <v>514.35276916954899</v>
      </c>
      <c r="L65">
        <v>7.7079037714048804</v>
      </c>
      <c r="M65">
        <v>0.42324578445754601</v>
      </c>
      <c r="N65">
        <v>44440.079256249097</v>
      </c>
      <c r="O65">
        <v>665.96288584938202</v>
      </c>
      <c r="P65">
        <v>36568.435777131999</v>
      </c>
      <c r="Q65">
        <v>8256.5453264147</v>
      </c>
      <c r="R65">
        <v>2.3427511573062101</v>
      </c>
      <c r="S65">
        <v>19343.031118809198</v>
      </c>
    </row>
    <row r="66" spans="1:19" x14ac:dyDescent="0.75">
      <c r="A66" s="1">
        <v>45280</v>
      </c>
      <c r="B66">
        <v>6.1523723544973999E-2</v>
      </c>
      <c r="C66">
        <v>-8.9466890384774906</v>
      </c>
      <c r="D66">
        <v>2.21022481592186</v>
      </c>
      <c r="E66" t="s">
        <v>21</v>
      </c>
      <c r="F66">
        <v>-8.8851653149325198</v>
      </c>
      <c r="G66">
        <v>3.2491666666666701</v>
      </c>
      <c r="H66">
        <v>54.5</v>
      </c>
      <c r="I66">
        <v>3.02157894736842</v>
      </c>
      <c r="J66">
        <v>0.646083809137315</v>
      </c>
      <c r="K66">
        <v>768.50926485308298</v>
      </c>
      <c r="L66">
        <v>9.3020194029659695</v>
      </c>
      <c r="M66">
        <v>0.49916449521738199</v>
      </c>
      <c r="N66">
        <v>66399.200483306297</v>
      </c>
      <c r="O66">
        <v>803.69447641625902</v>
      </c>
      <c r="P66">
        <v>43127.812386781799</v>
      </c>
      <c r="Q66">
        <v>13659.003578853401</v>
      </c>
      <c r="R66">
        <v>2.3829589591261899</v>
      </c>
      <c r="S66">
        <v>32548.844950965398</v>
      </c>
    </row>
    <row r="67" spans="1:19" x14ac:dyDescent="0.75">
      <c r="A67" s="1">
        <v>45281</v>
      </c>
      <c r="B67">
        <v>0.13197509805363999</v>
      </c>
      <c r="C67">
        <v>-10.7548327979276</v>
      </c>
      <c r="D67">
        <v>2.32479987673943</v>
      </c>
      <c r="E67" t="s">
        <v>21</v>
      </c>
      <c r="F67">
        <v>-10.622857699874</v>
      </c>
      <c r="G67">
        <v>3.2816666666666698</v>
      </c>
      <c r="H67">
        <v>54.21</v>
      </c>
      <c r="I67">
        <v>3.3194736842105299</v>
      </c>
      <c r="J67">
        <v>0.64953315315721505</v>
      </c>
      <c r="K67">
        <v>776.005731981395</v>
      </c>
      <c r="L67">
        <v>10.333391746456099</v>
      </c>
      <c r="M67">
        <v>0.50116778695492004</v>
      </c>
      <c r="N67">
        <v>67046.895243192499</v>
      </c>
      <c r="O67">
        <v>892.80504689380598</v>
      </c>
      <c r="P67">
        <v>43300.8967929051</v>
      </c>
      <c r="Q67">
        <v>13037.9513773653</v>
      </c>
      <c r="R67">
        <v>2.38385841477408</v>
      </c>
      <c r="S67">
        <v>31080.630102347499</v>
      </c>
    </row>
    <row r="68" spans="1:19" x14ac:dyDescent="0.75">
      <c r="A68" s="1">
        <v>45282</v>
      </c>
      <c r="B68">
        <v>6.5460986831725507E-2</v>
      </c>
      <c r="C68">
        <v>-12.5578621200894</v>
      </c>
      <c r="D68">
        <v>2.6513144196231</v>
      </c>
      <c r="E68" t="s">
        <v>21</v>
      </c>
      <c r="F68">
        <v>-12.492401133257699</v>
      </c>
      <c r="G68">
        <v>2.3570833333333301</v>
      </c>
      <c r="H68">
        <v>54.68</v>
      </c>
      <c r="I68">
        <v>2.46157894736842</v>
      </c>
      <c r="J68">
        <v>0.63236275896794203</v>
      </c>
      <c r="K68">
        <v>738.91427429830503</v>
      </c>
      <c r="L68">
        <v>11.3913090361733</v>
      </c>
      <c r="M68">
        <v>0.49117750776180902</v>
      </c>
      <c r="N68">
        <v>63842.193299373597</v>
      </c>
      <c r="O68">
        <v>984.20910072537504</v>
      </c>
      <c r="P68">
        <v>42437.736670620303</v>
      </c>
      <c r="Q68">
        <v>11204.4107064665</v>
      </c>
      <c r="R68">
        <v>2.3789718304084402</v>
      </c>
      <c r="S68">
        <v>26654.977447010599</v>
      </c>
    </row>
    <row r="69" spans="1:19" x14ac:dyDescent="0.75">
      <c r="A69" s="1">
        <v>45283</v>
      </c>
      <c r="B69">
        <v>0.66225739639204795</v>
      </c>
      <c r="C69">
        <v>-3.6010875776123701</v>
      </c>
      <c r="D69">
        <v>0.96295445488377596</v>
      </c>
      <c r="E69" t="s">
        <v>21</v>
      </c>
      <c r="F69">
        <v>-2.9388301812203199</v>
      </c>
      <c r="G69">
        <v>3.01</v>
      </c>
      <c r="H69">
        <v>56.44</v>
      </c>
      <c r="I69">
        <v>3.02157894736842</v>
      </c>
      <c r="J69">
        <v>0.60451847979453499</v>
      </c>
      <c r="K69">
        <v>680.51841158888601</v>
      </c>
      <c r="L69">
        <v>12.470330064977601</v>
      </c>
      <c r="M69">
        <v>0.47483220093860801</v>
      </c>
      <c r="N69">
        <v>58796.790761279801</v>
      </c>
      <c r="O69">
        <v>1077.43651761406</v>
      </c>
      <c r="P69">
        <v>41025.502161095697</v>
      </c>
      <c r="Q69">
        <v>29822.647755685499</v>
      </c>
      <c r="R69">
        <v>2.3707738865864498</v>
      </c>
      <c r="S69">
        <v>70702.754528044999</v>
      </c>
    </row>
    <row r="70" spans="1:19" x14ac:dyDescent="0.75">
      <c r="A70" s="1">
        <v>45284</v>
      </c>
      <c r="B70">
        <v>0.30993196720949201</v>
      </c>
      <c r="C70">
        <v>-6.3823186575463202</v>
      </c>
      <c r="D70">
        <v>1.54725684729069</v>
      </c>
      <c r="E70" t="s">
        <v>21</v>
      </c>
      <c r="F70">
        <v>-6.0723866903368302</v>
      </c>
      <c r="G70">
        <v>3.8170833333333301</v>
      </c>
      <c r="H70">
        <v>57.27</v>
      </c>
      <c r="I70">
        <v>3.73473684210526</v>
      </c>
      <c r="J70">
        <v>0.56966102371598704</v>
      </c>
      <c r="K70">
        <v>610.51700005688201</v>
      </c>
      <c r="L70">
        <v>13.5648936632375</v>
      </c>
      <c r="M70">
        <v>0.45410167436136301</v>
      </c>
      <c r="N70">
        <v>52748.668804914603</v>
      </c>
      <c r="O70">
        <v>1172.0068125037201</v>
      </c>
      <c r="P70">
        <v>39234.384664821802</v>
      </c>
      <c r="Q70">
        <v>17750.168185370199</v>
      </c>
      <c r="R70">
        <v>2.3600877587768001</v>
      </c>
      <c r="S70">
        <v>41891.954650521497</v>
      </c>
    </row>
    <row r="71" spans="1:19" x14ac:dyDescent="0.75">
      <c r="A71" s="1">
        <v>45285</v>
      </c>
      <c r="B71">
        <v>3.2870318041296601E-2</v>
      </c>
      <c r="C71">
        <v>-6.45484431768649</v>
      </c>
      <c r="D71">
        <v>1.7427891668409301</v>
      </c>
      <c r="E71" t="s">
        <v>21</v>
      </c>
      <c r="F71">
        <v>-6.4219739996451999</v>
      </c>
      <c r="G71">
        <v>3.2491666666666701</v>
      </c>
      <c r="H71">
        <v>59</v>
      </c>
      <c r="I71">
        <v>3.1626315789473698</v>
      </c>
      <c r="J71">
        <v>0.53863747682040797</v>
      </c>
      <c r="K71">
        <v>550.96697172331596</v>
      </c>
      <c r="L71">
        <v>14.669324753202901</v>
      </c>
      <c r="M71">
        <v>0.43539992801836502</v>
      </c>
      <c r="N71">
        <v>47603.546356894498</v>
      </c>
      <c r="O71">
        <v>1267.42965867673</v>
      </c>
      <c r="P71">
        <v>37618.5537807867</v>
      </c>
      <c r="Q71">
        <v>15109.6805899266</v>
      </c>
      <c r="R71">
        <v>2.3493117209655301</v>
      </c>
      <c r="S71">
        <v>35497.349709959999</v>
      </c>
    </row>
    <row r="72" spans="1:19" x14ac:dyDescent="0.75">
      <c r="A72" s="1">
        <v>45287</v>
      </c>
      <c r="B72">
        <v>0.56004491075346297</v>
      </c>
      <c r="C72">
        <v>-7.53373109073961</v>
      </c>
      <c r="D72">
        <v>2.4546503104744302</v>
      </c>
      <c r="E72" t="s">
        <v>21</v>
      </c>
      <c r="F72">
        <v>-6.9736861799861396</v>
      </c>
      <c r="G72">
        <v>1.90916666666667</v>
      </c>
      <c r="H72">
        <v>61.77</v>
      </c>
      <c r="I72">
        <v>1.73473684210526</v>
      </c>
      <c r="J72">
        <v>0.47844862538209898</v>
      </c>
      <c r="K72">
        <v>443.62465421546199</v>
      </c>
      <c r="L72">
        <v>16.8874631059746</v>
      </c>
      <c r="M72">
        <v>0.398304038659475</v>
      </c>
      <c r="N72">
        <v>38329.170124215903</v>
      </c>
      <c r="O72">
        <v>1459.07681235621</v>
      </c>
      <c r="P72">
        <v>34413.468940178602</v>
      </c>
      <c r="Q72">
        <v>9813.7922763707702</v>
      </c>
      <c r="R72">
        <v>2.3279071416380499</v>
      </c>
      <c r="S72">
        <v>22845.5971267159</v>
      </c>
    </row>
    <row r="73" spans="1:19" x14ac:dyDescent="0.75">
      <c r="A73" s="1">
        <v>45288</v>
      </c>
      <c r="B73">
        <v>6.0267463001945201E-2</v>
      </c>
      <c r="C73">
        <v>-11.3690180845384</v>
      </c>
      <c r="D73">
        <v>3.9076955099502202</v>
      </c>
      <c r="E73" t="s">
        <v>21</v>
      </c>
      <c r="F73">
        <v>-11.3087506215365</v>
      </c>
      <c r="G73">
        <v>3.1395833333333298</v>
      </c>
      <c r="H73">
        <v>60.3</v>
      </c>
      <c r="I73">
        <v>3.11736842105263</v>
      </c>
      <c r="J73">
        <v>0.452544785695632</v>
      </c>
      <c r="K73">
        <v>400.65473961214201</v>
      </c>
      <c r="L73">
        <v>17.991826504878301</v>
      </c>
      <c r="M73">
        <v>0.38199045956574501</v>
      </c>
      <c r="N73">
        <v>34616.569502489103</v>
      </c>
      <c r="O73">
        <v>1554.4938100214899</v>
      </c>
      <c r="P73">
        <v>33003.975706480298</v>
      </c>
      <c r="Q73">
        <v>5912.1246616347898</v>
      </c>
      <c r="R73">
        <v>2.3176945692308002</v>
      </c>
      <c r="S73">
        <v>13702.499220886401</v>
      </c>
    </row>
    <row r="74" spans="1:19" x14ac:dyDescent="0.75">
      <c r="A74" s="1">
        <v>45289</v>
      </c>
      <c r="B74">
        <v>5.6826929502128899E-2</v>
      </c>
      <c r="C74">
        <v>-4.4780196503076102</v>
      </c>
      <c r="D74">
        <v>1.80035390987459</v>
      </c>
      <c r="E74" t="s">
        <v>21</v>
      </c>
      <c r="F74">
        <v>-4.4211927208054798</v>
      </c>
      <c r="G74">
        <v>3.45</v>
      </c>
      <c r="H74">
        <v>57.96</v>
      </c>
      <c r="I74">
        <v>3.4568421052631599</v>
      </c>
      <c r="J74">
        <v>0.43323726601998702</v>
      </c>
      <c r="K74">
        <v>369.91302950669399</v>
      </c>
      <c r="L74">
        <v>19.035473468238798</v>
      </c>
      <c r="M74">
        <v>0.36968110196586601</v>
      </c>
      <c r="N74">
        <v>31960.4857493784</v>
      </c>
      <c r="O74">
        <v>1644.6649076558299</v>
      </c>
      <c r="P74">
        <v>31940.447209850801</v>
      </c>
      <c r="Q74">
        <v>12418.8432753497</v>
      </c>
      <c r="R74">
        <v>2.3096521245905399</v>
      </c>
      <c r="S74">
        <v>28683.2077558684</v>
      </c>
    </row>
    <row r="75" spans="1:19" x14ac:dyDescent="0.75">
      <c r="A75" s="1">
        <v>45290</v>
      </c>
      <c r="B75">
        <v>5.7528913319397301E-2</v>
      </c>
      <c r="C75">
        <v>-11.356306193444601</v>
      </c>
      <c r="D75">
        <v>4.8348722353308498</v>
      </c>
      <c r="E75" t="s">
        <v>21</v>
      </c>
      <c r="F75">
        <v>-11.298777280125201</v>
      </c>
      <c r="G75">
        <v>4.1441666666666697</v>
      </c>
      <c r="H75">
        <v>53.35</v>
      </c>
      <c r="I75">
        <v>4.1121052631578898</v>
      </c>
      <c r="J75">
        <v>0.41173097300740102</v>
      </c>
      <c r="K75">
        <v>337.03422834492397</v>
      </c>
      <c r="L75">
        <v>19.934524095890598</v>
      </c>
      <c r="M75">
        <v>0.35580183582486802</v>
      </c>
      <c r="N75">
        <v>29119.757329001401</v>
      </c>
      <c r="O75">
        <v>1722.34288188495</v>
      </c>
      <c r="P75">
        <v>30741.278615268599</v>
      </c>
      <c r="Q75">
        <v>4450.7680830609397</v>
      </c>
      <c r="R75">
        <v>2.3006591736389601</v>
      </c>
      <c r="S75">
        <v>10239.7004200337</v>
      </c>
    </row>
    <row r="76" spans="1:19" x14ac:dyDescent="0.75">
      <c r="A76" s="1">
        <v>45291</v>
      </c>
      <c r="B76">
        <v>0.23741439194981201</v>
      </c>
      <c r="C76">
        <v>-4.3082847161990401</v>
      </c>
      <c r="D76">
        <v>1.7918340126836501</v>
      </c>
      <c r="E76" t="s">
        <v>21</v>
      </c>
      <c r="F76">
        <v>-4.0708703242492303</v>
      </c>
      <c r="G76">
        <v>3.81</v>
      </c>
      <c r="H76">
        <v>51.62</v>
      </c>
      <c r="I76">
        <v>3.8063157894736799</v>
      </c>
      <c r="J76">
        <v>0.39117288264879502</v>
      </c>
      <c r="K76">
        <v>306.88688795884002</v>
      </c>
      <c r="L76">
        <v>20.663750414847499</v>
      </c>
      <c r="M76">
        <v>0.34236777480610903</v>
      </c>
      <c r="N76">
        <v>26515.027119643801</v>
      </c>
      <c r="O76">
        <v>1785.3480358428201</v>
      </c>
      <c r="P76">
        <v>29580.575743247799</v>
      </c>
      <c r="Q76">
        <v>11555.982793998401</v>
      </c>
      <c r="R76">
        <v>2.2914833843982199</v>
      </c>
      <c r="S76">
        <v>26480.3425628392</v>
      </c>
    </row>
    <row r="77" spans="1:19" x14ac:dyDescent="0.75">
      <c r="A77" s="1">
        <v>45292</v>
      </c>
      <c r="B77">
        <v>0.10968099083004</v>
      </c>
      <c r="C77">
        <v>-12.489629519625201</v>
      </c>
      <c r="D77">
        <v>5.8087768878366601</v>
      </c>
      <c r="E77" t="s">
        <v>21</v>
      </c>
      <c r="F77">
        <v>-12.3799485287952</v>
      </c>
      <c r="G77">
        <v>4.2866666666666697</v>
      </c>
      <c r="H77">
        <v>50.94</v>
      </c>
      <c r="I77">
        <v>4.2378947368421098</v>
      </c>
      <c r="J77">
        <v>0.37603393191634898</v>
      </c>
      <c r="K77">
        <v>285.47579413012897</v>
      </c>
      <c r="L77">
        <v>21.198682723586</v>
      </c>
      <c r="M77">
        <v>0.33236724838139597</v>
      </c>
      <c r="N77">
        <v>24665.1086128432</v>
      </c>
      <c r="O77">
        <v>1831.5661873178301</v>
      </c>
      <c r="P77">
        <v>28716.530260152598</v>
      </c>
      <c r="Q77">
        <v>3460.5514328151698</v>
      </c>
      <c r="R77">
        <v>2.2841469056567099</v>
      </c>
      <c r="S77">
        <v>7904.4078471306602</v>
      </c>
    </row>
    <row r="78" spans="1:19" x14ac:dyDescent="0.75">
      <c r="A78" s="1">
        <v>45293</v>
      </c>
      <c r="B78">
        <v>4.9336179265521599E-2</v>
      </c>
      <c r="C78">
        <v>-6.9780228531384196</v>
      </c>
      <c r="D78">
        <v>3.4374758919257302</v>
      </c>
      <c r="E78" t="s">
        <v>21</v>
      </c>
      <c r="F78">
        <v>-6.9286866738728996</v>
      </c>
      <c r="G78">
        <v>4.08958333333333</v>
      </c>
      <c r="H78">
        <v>52.99</v>
      </c>
      <c r="I78">
        <v>4.0657894736842097</v>
      </c>
      <c r="J78">
        <v>0.360548578975946</v>
      </c>
      <c r="K78">
        <v>264.35381838260798</v>
      </c>
      <c r="L78">
        <v>21.5129078929731</v>
      </c>
      <c r="M78">
        <v>0.32202628950151602</v>
      </c>
      <c r="N78">
        <v>22840.1699082573</v>
      </c>
      <c r="O78">
        <v>1858.71524195287</v>
      </c>
      <c r="P78">
        <v>27823.071412930902</v>
      </c>
      <c r="Q78">
        <v>5665.82882364327</v>
      </c>
      <c r="R78">
        <v>2.2768293001292701</v>
      </c>
      <c r="S78">
        <v>12900.125075188</v>
      </c>
    </row>
    <row r="79" spans="1:19" x14ac:dyDescent="0.75">
      <c r="A79" s="1">
        <v>45294</v>
      </c>
      <c r="B79">
        <v>0.123889820977856</v>
      </c>
      <c r="C79">
        <v>-11.356200099761301</v>
      </c>
      <c r="D79">
        <v>6.0481743262952703</v>
      </c>
      <c r="E79" t="s">
        <v>21</v>
      </c>
      <c r="F79">
        <v>-11.2323102787834</v>
      </c>
      <c r="G79">
        <v>4.5604166666666703</v>
      </c>
      <c r="H79">
        <v>50.94</v>
      </c>
      <c r="I79">
        <v>4.4873684210526301</v>
      </c>
      <c r="J79">
        <v>0.34014901166166001</v>
      </c>
      <c r="K79">
        <v>237.63782206900501</v>
      </c>
      <c r="L79">
        <v>21.6593073670577</v>
      </c>
      <c r="M79">
        <v>0.30823628780008799</v>
      </c>
      <c r="N79">
        <v>20531.907826761999</v>
      </c>
      <c r="O79">
        <v>1871.36415651378</v>
      </c>
      <c r="P79">
        <v>26631.615265927601</v>
      </c>
      <c r="Q79">
        <v>3082.2740351745701</v>
      </c>
      <c r="R79">
        <v>2.2665358063857499</v>
      </c>
      <c r="S79">
        <v>6986.0844658162496</v>
      </c>
    </row>
    <row r="80" spans="1:19" x14ac:dyDescent="0.75">
      <c r="A80" s="1">
        <v>45295</v>
      </c>
      <c r="B80">
        <v>8.2670291243098007E-2</v>
      </c>
      <c r="C80">
        <v>-10.883575663326701</v>
      </c>
      <c r="D80">
        <v>6.3184988176534898</v>
      </c>
      <c r="E80" t="s">
        <v>21</v>
      </c>
      <c r="F80">
        <v>-10.8009053720836</v>
      </c>
      <c r="G80">
        <v>4.5483333333333302</v>
      </c>
      <c r="H80">
        <v>52.41</v>
      </c>
      <c r="I80">
        <v>4.4852631578947397</v>
      </c>
      <c r="J80">
        <v>0.32783999083149701</v>
      </c>
      <c r="K80">
        <v>222.118527292067</v>
      </c>
      <c r="L80">
        <v>21.829990496702301</v>
      </c>
      <c r="M80">
        <v>0.299820404372104</v>
      </c>
      <c r="N80">
        <v>19191.0407580346</v>
      </c>
      <c r="O80">
        <v>1886.11117891508</v>
      </c>
      <c r="P80">
        <v>25904.482937749799</v>
      </c>
      <c r="Q80">
        <v>2869.8490859509302</v>
      </c>
      <c r="R80">
        <v>2.2597566382013499</v>
      </c>
      <c r="S80">
        <v>6485.1605226136899</v>
      </c>
    </row>
    <row r="81" spans="1:19" x14ac:dyDescent="0.75">
      <c r="A81" s="1">
        <v>45296</v>
      </c>
      <c r="B81">
        <v>0.11134719044382101</v>
      </c>
      <c r="C81">
        <v>-1.3777612612623999</v>
      </c>
      <c r="D81">
        <v>1.2850500052737699</v>
      </c>
      <c r="E81" t="s">
        <v>21</v>
      </c>
      <c r="F81">
        <v>-1.26641407081857</v>
      </c>
      <c r="G81">
        <v>5.34375</v>
      </c>
      <c r="H81">
        <v>51.51</v>
      </c>
      <c r="I81">
        <v>5.4757894736842099</v>
      </c>
      <c r="J81">
        <v>0.304619300450722</v>
      </c>
      <c r="K81">
        <v>194.27305049863901</v>
      </c>
      <c r="L81">
        <v>21.9329788462701</v>
      </c>
      <c r="M81">
        <v>0.283702599215715</v>
      </c>
      <c r="N81">
        <v>16785.191563082401</v>
      </c>
      <c r="O81">
        <v>1895.0093723177399</v>
      </c>
      <c r="P81">
        <v>24511.9045722378</v>
      </c>
      <c r="Q81">
        <v>13352.2688845957</v>
      </c>
      <c r="R81">
        <v>2.24797681853192</v>
      </c>
      <c r="S81">
        <v>30015.590927376099</v>
      </c>
    </row>
    <row r="82" spans="1:19" x14ac:dyDescent="0.75">
      <c r="A82" s="1">
        <v>45297</v>
      </c>
      <c r="B82">
        <v>6.5865463955407197E-2</v>
      </c>
      <c r="C82">
        <v>-4.9174776916809</v>
      </c>
      <c r="D82">
        <v>3.86198104545013</v>
      </c>
      <c r="E82" t="s">
        <v>21</v>
      </c>
      <c r="F82">
        <v>-4.8516122277254903</v>
      </c>
      <c r="G82">
        <v>6.0833333333333304</v>
      </c>
      <c r="H82">
        <v>53.49</v>
      </c>
      <c r="I82">
        <v>6.0826315789473702</v>
      </c>
      <c r="J82">
        <v>0.30201541266718901</v>
      </c>
      <c r="K82">
        <v>191.28952216584599</v>
      </c>
      <c r="L82">
        <v>21.978830706173401</v>
      </c>
      <c r="M82">
        <v>0.28187027085294403</v>
      </c>
      <c r="N82">
        <v>16527.4147151291</v>
      </c>
      <c r="O82">
        <v>1898.97097301338</v>
      </c>
      <c r="P82">
        <v>24353.591401694401</v>
      </c>
      <c r="Q82">
        <v>4414.1889306448202</v>
      </c>
      <c r="R82">
        <v>2.2470503444524899</v>
      </c>
      <c r="S82">
        <v>9918.9047570838393</v>
      </c>
    </row>
    <row r="83" spans="1:19" x14ac:dyDescent="0.75">
      <c r="A83" s="1">
        <v>45298</v>
      </c>
      <c r="B83">
        <v>7.3069587958839305E-2</v>
      </c>
      <c r="C83">
        <v>-4.5617774821190196</v>
      </c>
      <c r="D83">
        <v>4.0934031225155501</v>
      </c>
      <c r="E83" t="s">
        <v>21</v>
      </c>
      <c r="F83">
        <v>-4.4887078941601803</v>
      </c>
      <c r="G83">
        <v>6.0449999999999999</v>
      </c>
      <c r="H83">
        <v>57.88</v>
      </c>
      <c r="I83">
        <v>6.0363157894736803</v>
      </c>
      <c r="J83">
        <v>0.29988415840468002</v>
      </c>
      <c r="K83">
        <v>188.74414485554601</v>
      </c>
      <c r="L83">
        <v>21.977114783987599</v>
      </c>
      <c r="M83">
        <v>0.28038965048249398</v>
      </c>
      <c r="N83">
        <v>16307.494115519199</v>
      </c>
      <c r="O83">
        <v>1898.8227173365301</v>
      </c>
      <c r="P83">
        <v>24225.665801687501</v>
      </c>
      <c r="Q83">
        <v>4142.7549531842697</v>
      </c>
      <c r="R83">
        <v>2.2446983343039602</v>
      </c>
      <c r="S83">
        <v>9299.2351428422007</v>
      </c>
    </row>
    <row r="84" spans="1:19" x14ac:dyDescent="0.75">
      <c r="A84" s="1">
        <v>45299</v>
      </c>
      <c r="B84">
        <v>9.9723982551938595E-2</v>
      </c>
      <c r="C84">
        <v>-7.416908376886</v>
      </c>
      <c r="D84">
        <v>7.4648176371555497</v>
      </c>
      <c r="E84" t="s">
        <v>21</v>
      </c>
      <c r="F84">
        <v>-7.3171843943340598</v>
      </c>
      <c r="G84">
        <v>6.5774999999999997</v>
      </c>
      <c r="H84">
        <v>54.64</v>
      </c>
      <c r="I84">
        <v>6.5521052631578902</v>
      </c>
      <c r="J84">
        <v>0.28043572935630701</v>
      </c>
      <c r="K84">
        <v>166.938616246267</v>
      </c>
      <c r="L84">
        <v>21.934391414921201</v>
      </c>
      <c r="M84">
        <v>0.26661563310629499</v>
      </c>
      <c r="N84">
        <v>14423.496443677501</v>
      </c>
      <c r="O84">
        <v>1895.1314182491899</v>
      </c>
      <c r="P84">
        <v>23035.590700383898</v>
      </c>
      <c r="Q84">
        <v>2160.1215560857399</v>
      </c>
      <c r="R84">
        <v>2.2327384615619099</v>
      </c>
      <c r="S84">
        <v>4822.9864799216002</v>
      </c>
    </row>
    <row r="85" spans="1:19" x14ac:dyDescent="0.75">
      <c r="A85" s="1">
        <v>45300</v>
      </c>
      <c r="B85">
        <v>0.38684684931627999</v>
      </c>
      <c r="C85">
        <v>-2.1289252279514002</v>
      </c>
      <c r="D85">
        <v>1.15513422554379</v>
      </c>
      <c r="E85" t="s">
        <v>21</v>
      </c>
      <c r="F85">
        <v>-1.7420783786351199</v>
      </c>
      <c r="G85">
        <v>6.3695833333333303</v>
      </c>
      <c r="H85">
        <v>54.64</v>
      </c>
      <c r="I85">
        <v>6.3931578947368397</v>
      </c>
      <c r="J85">
        <v>0.29165270254782899</v>
      </c>
      <c r="K85">
        <v>182.47924069614299</v>
      </c>
      <c r="L85">
        <v>21.854224386695801</v>
      </c>
      <c r="M85">
        <v>0.274033332555983</v>
      </c>
      <c r="N85">
        <v>15766.206396146699</v>
      </c>
      <c r="O85">
        <v>1888.20498701052</v>
      </c>
      <c r="P85">
        <v>23676.479932836901</v>
      </c>
      <c r="Q85">
        <v>14347.7143923977</v>
      </c>
      <c r="R85">
        <v>2.2832005889887799</v>
      </c>
      <c r="S85">
        <v>32758.709951365199</v>
      </c>
    </row>
    <row r="86" spans="1:19" x14ac:dyDescent="0.75">
      <c r="A86" s="1">
        <v>45301</v>
      </c>
      <c r="B86">
        <v>9.5359821452622395E-2</v>
      </c>
      <c r="C86">
        <v>-10.454815112978499</v>
      </c>
      <c r="D86">
        <v>5.6379935245803603</v>
      </c>
      <c r="E86" t="s">
        <v>21</v>
      </c>
      <c r="F86">
        <v>-10.359455291525901</v>
      </c>
      <c r="G86">
        <v>5.67458333333333</v>
      </c>
      <c r="H86">
        <v>58.17</v>
      </c>
      <c r="I86">
        <v>5.6605263157894701</v>
      </c>
      <c r="J86">
        <v>0.43560924046090499</v>
      </c>
      <c r="K86">
        <v>373.63470814893998</v>
      </c>
      <c r="L86">
        <v>21.740105136849301</v>
      </c>
      <c r="M86">
        <v>0.37119987663535697</v>
      </c>
      <c r="N86">
        <v>32282.038784068402</v>
      </c>
      <c r="O86">
        <v>1878.34508382378</v>
      </c>
      <c r="P86">
        <v>32071.669341294801</v>
      </c>
      <c r="Q86">
        <v>3981.9429449552899</v>
      </c>
      <c r="R86">
        <v>2.3106933022192302</v>
      </c>
      <c r="S86">
        <v>9201.04889272732</v>
      </c>
    </row>
    <row r="87" spans="1:19" x14ac:dyDescent="0.75">
      <c r="A87" s="1">
        <v>45302</v>
      </c>
      <c r="B87">
        <v>0.102909817172002</v>
      </c>
      <c r="C87">
        <v>-9.4345978236599706</v>
      </c>
      <c r="D87">
        <v>5.4676001884920504</v>
      </c>
      <c r="E87" t="s">
        <v>21</v>
      </c>
      <c r="F87">
        <v>-9.3316880064879708</v>
      </c>
      <c r="G87">
        <v>5.9666666666666703</v>
      </c>
      <c r="H87">
        <v>54.14</v>
      </c>
      <c r="I87">
        <v>5.9373684210526303</v>
      </c>
      <c r="J87">
        <v>0.42337067431710601</v>
      </c>
      <c r="K87">
        <v>354.67733050941001</v>
      </c>
      <c r="L87">
        <v>21.5956071783271</v>
      </c>
      <c r="M87">
        <v>0.36333280401940099</v>
      </c>
      <c r="N87">
        <v>30644.121356013002</v>
      </c>
      <c r="O87">
        <v>1865.8604602074599</v>
      </c>
      <c r="P87">
        <v>31391.9542672762</v>
      </c>
      <c r="Q87">
        <v>4019.0151491588599</v>
      </c>
      <c r="R87">
        <v>2.3057278653356099</v>
      </c>
      <c r="S87">
        <v>9266.7552206215405</v>
      </c>
    </row>
    <row r="88" spans="1:19" x14ac:dyDescent="0.75">
      <c r="A88" s="1">
        <v>45303</v>
      </c>
      <c r="B88">
        <v>0.18348762818356401</v>
      </c>
      <c r="C88">
        <v>-8.9262526007939993</v>
      </c>
      <c r="D88">
        <v>5.0094639164788903</v>
      </c>
      <c r="E88" t="s">
        <v>21</v>
      </c>
      <c r="F88">
        <v>-8.7427649726104306</v>
      </c>
      <c r="G88">
        <v>5.8629166666666697</v>
      </c>
      <c r="H88">
        <v>53.56</v>
      </c>
      <c r="I88">
        <v>5.8410526315789504</v>
      </c>
      <c r="J88">
        <v>0.40290358792838799</v>
      </c>
      <c r="K88">
        <v>323.894353764615</v>
      </c>
      <c r="L88">
        <v>21.424368709674599</v>
      </c>
      <c r="M88">
        <v>0.35005940163864302</v>
      </c>
      <c r="N88">
        <v>27984.4721652628</v>
      </c>
      <c r="O88">
        <v>1851.06545651589</v>
      </c>
      <c r="P88">
        <v>30245.1323015788</v>
      </c>
      <c r="Q88">
        <v>4226.3190161845596</v>
      </c>
      <c r="R88">
        <v>2.2964685191627301</v>
      </c>
      <c r="S88">
        <v>9705.6085726066394</v>
      </c>
    </row>
    <row r="89" spans="1:19" x14ac:dyDescent="0.75">
      <c r="A89" s="1">
        <v>45304</v>
      </c>
      <c r="B89">
        <v>8.8389982103832296E-2</v>
      </c>
      <c r="C89">
        <v>-4.9832157312000804</v>
      </c>
      <c r="D89">
        <v>3.0697027568270401</v>
      </c>
      <c r="E89" t="s">
        <v>21</v>
      </c>
      <c r="F89">
        <v>-4.8948257490962499</v>
      </c>
      <c r="G89">
        <v>5.5162500000000003</v>
      </c>
      <c r="H89">
        <v>58.75</v>
      </c>
      <c r="I89">
        <v>5.5194736842105296</v>
      </c>
      <c r="J89">
        <v>0.39292837858403001</v>
      </c>
      <c r="K89">
        <v>309.377302841004</v>
      </c>
      <c r="L89">
        <v>21.230077236329301</v>
      </c>
      <c r="M89">
        <v>0.343526278487713</v>
      </c>
      <c r="N89">
        <v>26730.198965462801</v>
      </c>
      <c r="O89">
        <v>1834.2786732188599</v>
      </c>
      <c r="P89">
        <v>29680.670461338399</v>
      </c>
      <c r="Q89">
        <v>6768.2348972485697</v>
      </c>
      <c r="R89">
        <v>2.2920025065215102</v>
      </c>
      <c r="S89">
        <v>15512.811349220099</v>
      </c>
    </row>
    <row r="90" spans="1:19" x14ac:dyDescent="0.75">
      <c r="A90" s="1">
        <v>45305</v>
      </c>
      <c r="B90">
        <v>9.35359735153206E-2</v>
      </c>
      <c r="C90">
        <v>-7.8913239174415999</v>
      </c>
      <c r="D90">
        <v>5.4991257155375202</v>
      </c>
      <c r="E90" t="s">
        <v>21</v>
      </c>
      <c r="F90">
        <v>-7.7977879439262798</v>
      </c>
      <c r="G90">
        <v>6.1487499999999997</v>
      </c>
      <c r="H90">
        <v>54.75</v>
      </c>
      <c r="I90">
        <v>6.1257894736842102</v>
      </c>
      <c r="J90">
        <v>0.37230276915099297</v>
      </c>
      <c r="K90">
        <v>280.32900681041502</v>
      </c>
      <c r="L90">
        <v>21.016448195019901</v>
      </c>
      <c r="M90">
        <v>0.32988406667915698</v>
      </c>
      <c r="N90">
        <v>24220.4261884199</v>
      </c>
      <c r="O90">
        <v>1815.8211240497201</v>
      </c>
      <c r="P90">
        <v>28501.983361079201</v>
      </c>
      <c r="Q90">
        <v>3628.1018810651499</v>
      </c>
      <c r="R90">
        <v>2.2824981391639501</v>
      </c>
      <c r="S90">
        <v>8281.1357922284406</v>
      </c>
    </row>
    <row r="91" spans="1:19" x14ac:dyDescent="0.75">
      <c r="A91" s="1">
        <v>45306</v>
      </c>
      <c r="B91">
        <v>0.14373499857812699</v>
      </c>
      <c r="C91">
        <v>-11.1150001368694</v>
      </c>
      <c r="D91">
        <v>8.0566709358726296</v>
      </c>
      <c r="E91" t="s">
        <v>21</v>
      </c>
      <c r="F91">
        <v>-10.971265138291299</v>
      </c>
      <c r="G91">
        <v>6.4045833333333304</v>
      </c>
      <c r="H91">
        <v>51.58</v>
      </c>
      <c r="I91">
        <v>6.3726315789473702</v>
      </c>
      <c r="J91">
        <v>0.35424062638335102</v>
      </c>
      <c r="K91">
        <v>255.96193884142801</v>
      </c>
      <c r="L91">
        <v>20.787098148410902</v>
      </c>
      <c r="M91">
        <v>0.31778231866120499</v>
      </c>
      <c r="N91">
        <v>22115.1115158994</v>
      </c>
      <c r="O91">
        <v>1796.0052800226999</v>
      </c>
      <c r="P91">
        <v>27456.392332328101</v>
      </c>
      <c r="Q91">
        <v>2385.5355128200999</v>
      </c>
      <c r="R91">
        <v>2.2737739916545499</v>
      </c>
      <c r="S91">
        <v>5424.1686052186396</v>
      </c>
    </row>
    <row r="92" spans="1:19" x14ac:dyDescent="0.75">
      <c r="A92" s="1">
        <v>45307</v>
      </c>
      <c r="B92">
        <v>0.13845239088786099</v>
      </c>
      <c r="C92">
        <v>-5.7046845346620998</v>
      </c>
      <c r="D92">
        <v>3.75560597520776</v>
      </c>
      <c r="E92" t="s">
        <v>21</v>
      </c>
      <c r="F92">
        <v>-5.5662321437742399</v>
      </c>
      <c r="G92">
        <v>6.0412499999999998</v>
      </c>
      <c r="H92">
        <v>54.07</v>
      </c>
      <c r="I92">
        <v>6.0142105263157903</v>
      </c>
      <c r="J92">
        <v>0.360187498708331</v>
      </c>
      <c r="K92">
        <v>264.21964443035898</v>
      </c>
      <c r="L92">
        <v>20.545353777579301</v>
      </c>
      <c r="M92">
        <v>0.32173162940674099</v>
      </c>
      <c r="N92">
        <v>22828.577278783101</v>
      </c>
      <c r="O92">
        <v>1775.1185663828501</v>
      </c>
      <c r="P92">
        <v>27797.612780742402</v>
      </c>
      <c r="Q92">
        <v>5181.1422910102401</v>
      </c>
      <c r="R92">
        <v>2.2800412800832999</v>
      </c>
      <c r="S92">
        <v>11813.2183014887</v>
      </c>
    </row>
    <row r="93" spans="1:19" x14ac:dyDescent="0.75">
      <c r="A93" s="1">
        <v>45308</v>
      </c>
      <c r="B93">
        <v>8.7008669805732505E-2</v>
      </c>
      <c r="C93">
        <v>-5.5295181501311097</v>
      </c>
      <c r="D93">
        <v>4.0512663049392801</v>
      </c>
      <c r="E93" t="s">
        <v>21</v>
      </c>
      <c r="F93">
        <v>-5.4425094803253797</v>
      </c>
      <c r="G93">
        <v>6.3345833333333301</v>
      </c>
      <c r="H93">
        <v>55.54</v>
      </c>
      <c r="I93">
        <v>6.3031578947368399</v>
      </c>
      <c r="J93">
        <v>0.37502701702373098</v>
      </c>
      <c r="K93">
        <v>284.16899105391002</v>
      </c>
      <c r="L93">
        <v>20.2942381651938</v>
      </c>
      <c r="M93">
        <v>0.33168530258488199</v>
      </c>
      <c r="N93">
        <v>24552.200827057801</v>
      </c>
      <c r="O93">
        <v>1753.42217747274</v>
      </c>
      <c r="P93">
        <v>28657.610143333801</v>
      </c>
      <c r="Q93">
        <v>4951.6189730298001</v>
      </c>
      <c r="R93">
        <v>2.2844828496305198</v>
      </c>
      <c r="S93">
        <v>11311.888621791701</v>
      </c>
    </row>
    <row r="94" spans="1:19" x14ac:dyDescent="0.75">
      <c r="A94" s="1">
        <v>45309</v>
      </c>
      <c r="B94">
        <v>0.12661723643155601</v>
      </c>
      <c r="C94">
        <v>-9.6891414243836493</v>
      </c>
      <c r="D94">
        <v>7.69742653138454</v>
      </c>
      <c r="E94" t="s">
        <v>21</v>
      </c>
      <c r="F94">
        <v>-9.5625241879520892</v>
      </c>
      <c r="G94">
        <v>6.8670833333333299</v>
      </c>
      <c r="H94">
        <v>49.1</v>
      </c>
      <c r="I94">
        <v>6.8342105263157897</v>
      </c>
      <c r="J94">
        <v>0.34814855417589602</v>
      </c>
      <c r="K94">
        <v>247.99039301978499</v>
      </c>
      <c r="L94">
        <v>20.0364984146225</v>
      </c>
      <c r="M94">
        <v>0.31366315529251299</v>
      </c>
      <c r="N94">
        <v>21426.369956909501</v>
      </c>
      <c r="O94">
        <v>1731.15346302339</v>
      </c>
      <c r="P94">
        <v>27100.4966172731</v>
      </c>
      <c r="Q94">
        <v>2464.5051894609001</v>
      </c>
      <c r="R94">
        <v>2.27094572078824</v>
      </c>
      <c r="S94">
        <v>5596.7575138666298</v>
      </c>
    </row>
    <row r="95" spans="1:19" x14ac:dyDescent="0.75">
      <c r="A95" s="1">
        <v>45310</v>
      </c>
      <c r="B95">
        <v>9.1585513590831502E-2</v>
      </c>
      <c r="C95">
        <v>-9.4025500490685801</v>
      </c>
      <c r="D95">
        <v>7.63541447747121</v>
      </c>
      <c r="E95" t="s">
        <v>21</v>
      </c>
      <c r="F95">
        <v>-9.3109645354777495</v>
      </c>
      <c r="G95">
        <v>6.6829166666666699</v>
      </c>
      <c r="H95">
        <v>49.89</v>
      </c>
      <c r="I95">
        <v>6.67315789473684</v>
      </c>
      <c r="J95">
        <v>0.33370240785936101</v>
      </c>
      <c r="K95">
        <v>229.424741488553</v>
      </c>
      <c r="L95">
        <v>19.774415696977002</v>
      </c>
      <c r="M95">
        <v>0.30384246766432998</v>
      </c>
      <c r="N95">
        <v>19822.297664611</v>
      </c>
      <c r="O95">
        <v>1708.5095162188099</v>
      </c>
      <c r="P95">
        <v>26251.989206198101</v>
      </c>
      <c r="Q95">
        <v>2406.7314876696501</v>
      </c>
      <c r="R95">
        <v>2.26272844330681</v>
      </c>
      <c r="S95">
        <v>5445.77979255222</v>
      </c>
    </row>
    <row r="96" spans="1:19" x14ac:dyDescent="0.75">
      <c r="A96" s="1">
        <v>45311</v>
      </c>
      <c r="B96">
        <v>7.9003244058708594E-2</v>
      </c>
      <c r="C96">
        <v>-5.0055872116663203</v>
      </c>
      <c r="D96">
        <v>4.7604381148298804</v>
      </c>
      <c r="E96" t="s">
        <v>21</v>
      </c>
      <c r="F96">
        <v>-4.92658396760761</v>
      </c>
      <c r="G96">
        <v>6.915</v>
      </c>
      <c r="H96">
        <v>52.3</v>
      </c>
      <c r="I96">
        <v>6.8910526315789502</v>
      </c>
      <c r="J96">
        <v>0.318419612142255</v>
      </c>
      <c r="K96">
        <v>210.62022655902101</v>
      </c>
      <c r="L96">
        <v>19.509632592096199</v>
      </c>
      <c r="M96">
        <v>0.29331665965505799</v>
      </c>
      <c r="N96">
        <v>18197.587574699399</v>
      </c>
      <c r="O96">
        <v>1685.6322559571099</v>
      </c>
      <c r="P96">
        <v>25342.559394197</v>
      </c>
      <c r="Q96">
        <v>3726.5039788405802</v>
      </c>
      <c r="R96">
        <v>2.2550882185772299</v>
      </c>
      <c r="S96">
        <v>8403.5952191645392</v>
      </c>
    </row>
    <row r="97" spans="1:19" x14ac:dyDescent="0.75">
      <c r="A97" s="1">
        <v>45312</v>
      </c>
      <c r="B97">
        <v>9.0806419560254495E-2</v>
      </c>
      <c r="C97">
        <v>-5.7070164270265096</v>
      </c>
      <c r="D97">
        <v>6.3022837272724104</v>
      </c>
      <c r="E97" t="s">
        <v>21</v>
      </c>
      <c r="F97">
        <v>-5.6162100074662504</v>
      </c>
      <c r="G97">
        <v>7.6287500000000001</v>
      </c>
      <c r="H97">
        <v>48.27</v>
      </c>
      <c r="I97">
        <v>7.5936842105263196</v>
      </c>
      <c r="J97">
        <v>0.299890029628544</v>
      </c>
      <c r="K97">
        <v>188.72932412752701</v>
      </c>
      <c r="L97">
        <v>19.2435506813868</v>
      </c>
      <c r="M97">
        <v>0.28039774003444201</v>
      </c>
      <c r="N97">
        <v>16306.2136046184</v>
      </c>
      <c r="O97">
        <v>1662.6427788718199</v>
      </c>
      <c r="P97">
        <v>24226.364738975801</v>
      </c>
      <c r="Q97">
        <v>2690.8428834927399</v>
      </c>
      <c r="R97">
        <v>2.2444133773035899</v>
      </c>
      <c r="S97">
        <v>6039.3637639332601</v>
      </c>
    </row>
    <row r="98" spans="1:19" x14ac:dyDescent="0.75">
      <c r="A98" s="1">
        <v>45313</v>
      </c>
      <c r="B98">
        <v>0.12358848760936</v>
      </c>
      <c r="C98">
        <v>-9.5105751641727405</v>
      </c>
      <c r="D98">
        <v>11.007990722784401</v>
      </c>
      <c r="E98" t="s">
        <v>21</v>
      </c>
      <c r="F98">
        <v>-9.3869866765633692</v>
      </c>
      <c r="G98">
        <v>7.82</v>
      </c>
      <c r="H98">
        <v>46.08</v>
      </c>
      <c r="I98">
        <v>7.7827777777777802</v>
      </c>
      <c r="J98">
        <v>0.28320988263188601</v>
      </c>
      <c r="K98">
        <v>169.96067126499801</v>
      </c>
      <c r="L98">
        <v>18.977180369126</v>
      </c>
      <c r="M98">
        <v>0.26859730475450899</v>
      </c>
      <c r="N98">
        <v>14684.6019972959</v>
      </c>
      <c r="O98">
        <v>1639.6283838924901</v>
      </c>
      <c r="P98">
        <v>23206.807130789599</v>
      </c>
      <c r="Q98">
        <v>1475.7248076099099</v>
      </c>
      <c r="R98">
        <v>2.2342840398647001</v>
      </c>
      <c r="S98">
        <v>3297.18838487523</v>
      </c>
    </row>
    <row r="99" spans="1:19" x14ac:dyDescent="0.75">
      <c r="A99" s="1">
        <v>45314</v>
      </c>
      <c r="B99">
        <v>0.11625354177700201</v>
      </c>
      <c r="C99">
        <v>-9.2525487865366394</v>
      </c>
      <c r="D99">
        <v>10.5477302959093</v>
      </c>
      <c r="E99" t="s">
        <v>21</v>
      </c>
      <c r="F99">
        <v>-9.1362952447596406</v>
      </c>
      <c r="G99">
        <v>7.2604166666666696</v>
      </c>
      <c r="H99">
        <v>50.22</v>
      </c>
      <c r="I99">
        <v>7.2583333333333302</v>
      </c>
      <c r="J99">
        <v>0.269597450103991</v>
      </c>
      <c r="K99">
        <v>155.29354494310201</v>
      </c>
      <c r="L99">
        <v>18.715085594087299</v>
      </c>
      <c r="M99">
        <v>0.25884148274984298</v>
      </c>
      <c r="N99">
        <v>13417.362283084</v>
      </c>
      <c r="O99">
        <v>1616.98339532914</v>
      </c>
      <c r="P99">
        <v>22363.904109586401</v>
      </c>
      <c r="Q99">
        <v>1484.18023949492</v>
      </c>
      <c r="R99">
        <v>2.2253777659507898</v>
      </c>
      <c r="S99">
        <v>3302.8617056355101</v>
      </c>
    </row>
    <row r="100" spans="1:19" x14ac:dyDescent="0.75">
      <c r="A100" s="1">
        <v>45315</v>
      </c>
      <c r="B100">
        <v>0.11548200186898799</v>
      </c>
      <c r="C100">
        <v>-9.6604575418555196</v>
      </c>
      <c r="D100">
        <v>10.9189388416057</v>
      </c>
      <c r="E100" t="s">
        <v>21</v>
      </c>
      <c r="F100">
        <v>-9.5449755399865399</v>
      </c>
      <c r="G100">
        <v>6.7804166666666701</v>
      </c>
      <c r="H100">
        <v>54.5</v>
      </c>
      <c r="I100">
        <v>6.7705555555555597</v>
      </c>
      <c r="J100">
        <v>0.25825130998746898</v>
      </c>
      <c r="K100">
        <v>143.54565390670899</v>
      </c>
      <c r="L100">
        <v>18.461171641204999</v>
      </c>
      <c r="M100">
        <v>0.25061239760926202</v>
      </c>
      <c r="N100">
        <v>12402.3444975397</v>
      </c>
      <c r="O100">
        <v>1595.0452298001101</v>
      </c>
      <c r="P100">
        <v>21652.911153440298</v>
      </c>
      <c r="Q100">
        <v>1388.1420188611701</v>
      </c>
      <c r="R100">
        <v>2.2179153335952901</v>
      </c>
      <c r="S100">
        <v>3078.7814688401099</v>
      </c>
    </row>
    <row r="101" spans="1:19" x14ac:dyDescent="0.75">
      <c r="A101" s="1">
        <v>45316</v>
      </c>
      <c r="B101">
        <v>8.6611416237042896E-2</v>
      </c>
      <c r="C101">
        <v>-11.8118467567373</v>
      </c>
      <c r="D101">
        <v>13.750073752778</v>
      </c>
      <c r="E101" t="s">
        <v>21</v>
      </c>
      <c r="F101">
        <v>-11.7252353405003</v>
      </c>
      <c r="G101">
        <v>6.3737500000000002</v>
      </c>
      <c r="H101">
        <v>58.71</v>
      </c>
      <c r="I101">
        <v>6.37</v>
      </c>
      <c r="J101">
        <v>0.246790681005605</v>
      </c>
      <c r="K101">
        <v>132.12403631163301</v>
      </c>
      <c r="L101">
        <v>18.218631173420501</v>
      </c>
      <c r="M101">
        <v>0.24220446971274601</v>
      </c>
      <c r="N101">
        <v>11415.516737325101</v>
      </c>
      <c r="O101">
        <v>1574.0897333835301</v>
      </c>
      <c r="P101">
        <v>20926.466183181299</v>
      </c>
      <c r="Q101">
        <v>1065.3416550051199</v>
      </c>
      <c r="R101">
        <v>2.2104002589490701</v>
      </c>
      <c r="S101">
        <v>2354.8314700925398</v>
      </c>
    </row>
    <row r="102" spans="1:19" x14ac:dyDescent="0.75">
      <c r="A102" s="1">
        <v>45317</v>
      </c>
      <c r="B102">
        <v>5.3476615652266503E-2</v>
      </c>
      <c r="C102">
        <v>-5.4221276365962296</v>
      </c>
      <c r="D102">
        <v>1.7656052058902501</v>
      </c>
      <c r="E102" t="s">
        <v>21</v>
      </c>
      <c r="F102">
        <v>-5.3686510209439602</v>
      </c>
      <c r="G102">
        <v>5.5262500000000001</v>
      </c>
      <c r="H102">
        <v>61.23</v>
      </c>
      <c r="I102">
        <v>5.62</v>
      </c>
      <c r="J102">
        <v>0.46518259506215998</v>
      </c>
      <c r="K102">
        <v>435.88771444485502</v>
      </c>
      <c r="L102">
        <v>17.990641649517698</v>
      </c>
      <c r="M102">
        <v>0.38811041965193199</v>
      </c>
      <c r="N102">
        <v>37660.6985280355</v>
      </c>
      <c r="O102">
        <v>1554.39143851833</v>
      </c>
      <c r="P102">
        <v>33532.740257926896</v>
      </c>
      <c r="Q102">
        <v>13294.5451804518</v>
      </c>
      <c r="R102">
        <v>2.4143257644355001</v>
      </c>
      <c r="S102">
        <v>32097.362955616602</v>
      </c>
    </row>
    <row r="103" spans="1:19" x14ac:dyDescent="0.75">
      <c r="A103" s="1">
        <v>45318</v>
      </c>
      <c r="B103">
        <v>5.9062309651835503E-2</v>
      </c>
      <c r="C103">
        <v>-8.7573471118501107</v>
      </c>
      <c r="D103">
        <v>3.15566588166236</v>
      </c>
      <c r="E103" t="s">
        <v>21</v>
      </c>
      <c r="F103">
        <v>-8.6982848021982697</v>
      </c>
      <c r="G103">
        <v>4.3025000000000002</v>
      </c>
      <c r="H103">
        <v>64.290000000000006</v>
      </c>
      <c r="I103">
        <v>4.3650000000000002</v>
      </c>
      <c r="J103">
        <v>0.51544614255895205</v>
      </c>
      <c r="K103">
        <v>508.358243393115</v>
      </c>
      <c r="L103">
        <v>17.780543994468101</v>
      </c>
      <c r="M103">
        <v>0.421235324678572</v>
      </c>
      <c r="N103">
        <v>43922.1522291652</v>
      </c>
      <c r="O103">
        <v>1536.23900112205</v>
      </c>
      <c r="P103">
        <v>36394.732052228603</v>
      </c>
      <c r="Q103">
        <v>8073.1970341357801</v>
      </c>
      <c r="R103">
        <v>2.34132548638738</v>
      </c>
      <c r="S103">
        <v>18901.9819726491</v>
      </c>
    </row>
    <row r="104" spans="1:19" x14ac:dyDescent="0.75">
      <c r="A104" s="1">
        <v>45321</v>
      </c>
      <c r="B104">
        <v>0.85506605264040503</v>
      </c>
      <c r="C104">
        <v>-2.94734832278486</v>
      </c>
      <c r="D104">
        <v>0.48924565137595499</v>
      </c>
      <c r="E104" t="s">
        <v>21</v>
      </c>
      <c r="F104">
        <v>-2.0922822701444499</v>
      </c>
      <c r="G104">
        <v>5.5479166666666702</v>
      </c>
      <c r="H104">
        <v>56.41</v>
      </c>
      <c r="I104">
        <v>5.4966666666666697</v>
      </c>
      <c r="J104">
        <v>0.425763198041547</v>
      </c>
      <c r="K104">
        <v>358.38189541956302</v>
      </c>
      <c r="L104">
        <v>17.708989826401702</v>
      </c>
      <c r="M104">
        <v>0.36487096039186001</v>
      </c>
      <c r="N104">
        <v>30964.195764250198</v>
      </c>
      <c r="O104">
        <v>1530.05672100111</v>
      </c>
      <c r="P104">
        <v>31524.850977856699</v>
      </c>
      <c r="Q104">
        <v>45104.939864947897</v>
      </c>
      <c r="R104">
        <v>2.3069524489021802</v>
      </c>
      <c r="S104">
        <v>104054.951479027</v>
      </c>
    </row>
    <row r="105" spans="1:19" x14ac:dyDescent="0.75">
      <c r="A105" s="1">
        <v>45324</v>
      </c>
      <c r="B105">
        <v>9.7991656283735407E-2</v>
      </c>
      <c r="C105">
        <v>-10.105709540239801</v>
      </c>
      <c r="D105">
        <v>6.9375975381711603</v>
      </c>
      <c r="E105" t="s">
        <v>21</v>
      </c>
      <c r="F105">
        <v>-10.007717883955999</v>
      </c>
      <c r="G105">
        <v>6.1920833333333301</v>
      </c>
      <c r="H105">
        <v>53.2</v>
      </c>
      <c r="I105">
        <v>6.1611111111111097</v>
      </c>
      <c r="J105">
        <v>0.37008344653052899</v>
      </c>
      <c r="K105">
        <v>277.26275381500301</v>
      </c>
      <c r="L105">
        <v>17.719881675368601</v>
      </c>
      <c r="M105">
        <v>0.32840773371335302</v>
      </c>
      <c r="N105">
        <v>23955.501929616199</v>
      </c>
      <c r="O105">
        <v>1530.9977767518501</v>
      </c>
      <c r="P105">
        <v>28374.4281928337</v>
      </c>
      <c r="Q105">
        <v>2862.9651151858998</v>
      </c>
      <c r="R105">
        <v>2.2812794935418998</v>
      </c>
      <c r="S105">
        <v>6531.22360799942</v>
      </c>
    </row>
    <row r="106" spans="1:19" x14ac:dyDescent="0.75">
      <c r="A106" s="1">
        <v>45325</v>
      </c>
      <c r="B106">
        <v>0.105081135989759</v>
      </c>
      <c r="C106">
        <v>-9.6821219951325901</v>
      </c>
      <c r="D106">
        <v>7.1578553473371196</v>
      </c>
      <c r="E106" t="s">
        <v>21</v>
      </c>
      <c r="F106">
        <v>-9.57704085914283</v>
      </c>
      <c r="G106">
        <v>6.3045833333333299</v>
      </c>
      <c r="H106">
        <v>53.56</v>
      </c>
      <c r="I106">
        <v>6.2627777777777798</v>
      </c>
      <c r="J106">
        <v>0.35157147768841002</v>
      </c>
      <c r="K106">
        <v>252.46440202412899</v>
      </c>
      <c r="L106">
        <v>17.711897814120899</v>
      </c>
      <c r="M106">
        <v>0.315978328449737</v>
      </c>
      <c r="N106">
        <v>21812.924334884701</v>
      </c>
      <c r="O106">
        <v>1530.3079711400401</v>
      </c>
      <c r="P106">
        <v>27300.527578057299</v>
      </c>
      <c r="Q106">
        <v>2669.8456978108102</v>
      </c>
      <c r="R106">
        <v>2.27263252966477</v>
      </c>
      <c r="S106">
        <v>6067.57818203036</v>
      </c>
    </row>
    <row r="107" spans="1:19" x14ac:dyDescent="0.75">
      <c r="A107" s="1">
        <v>45326</v>
      </c>
      <c r="B107">
        <v>0.15372620943381701</v>
      </c>
      <c r="C107">
        <v>-8.3730125997739293</v>
      </c>
      <c r="D107">
        <v>5.9981597982640897</v>
      </c>
      <c r="E107" t="s">
        <v>21</v>
      </c>
      <c r="F107">
        <v>-8.2192863903401197</v>
      </c>
      <c r="G107">
        <v>6.0816666666666697</v>
      </c>
      <c r="H107">
        <v>55.11</v>
      </c>
      <c r="I107">
        <v>6.0577777777777797</v>
      </c>
      <c r="J107">
        <v>0.34191625004462101</v>
      </c>
      <c r="K107">
        <v>239.88179583945299</v>
      </c>
      <c r="L107">
        <v>17.7008813854065</v>
      </c>
      <c r="M107">
        <v>0.30944196849514799</v>
      </c>
      <c r="N107">
        <v>20725.787160528798</v>
      </c>
      <c r="O107">
        <v>1529.3561516991299</v>
      </c>
      <c r="P107">
        <v>26735.7860779808</v>
      </c>
      <c r="Q107">
        <v>3120.13198781446</v>
      </c>
      <c r="R107">
        <v>2.2672443827416102</v>
      </c>
      <c r="S107">
        <v>7074.1017227847597</v>
      </c>
    </row>
    <row r="108" spans="1:19" x14ac:dyDescent="0.75">
      <c r="A108" s="1">
        <v>45327</v>
      </c>
      <c r="B108">
        <v>9.3166377281654097E-2</v>
      </c>
      <c r="C108">
        <v>-7.3117716484178299</v>
      </c>
      <c r="D108">
        <v>5.4635088572584003</v>
      </c>
      <c r="E108" t="s">
        <v>21</v>
      </c>
      <c r="F108">
        <v>-7.2186052711361803</v>
      </c>
      <c r="G108">
        <v>6.0112500000000004</v>
      </c>
      <c r="H108">
        <v>56.95</v>
      </c>
      <c r="I108">
        <v>5.9927777777777802</v>
      </c>
      <c r="J108">
        <v>0.34258850517701001</v>
      </c>
      <c r="K108">
        <v>240.74919475925901</v>
      </c>
      <c r="L108">
        <v>17.688478832067702</v>
      </c>
      <c r="M108">
        <v>0.30989841775747001</v>
      </c>
      <c r="N108">
        <v>20800.7304272</v>
      </c>
      <c r="O108">
        <v>1528.2845710906499</v>
      </c>
      <c r="P108">
        <v>26775.223294245399</v>
      </c>
      <c r="Q108">
        <v>3430.51632122308</v>
      </c>
      <c r="R108">
        <v>2.26763262815843</v>
      </c>
      <c r="S108">
        <v>7779.1507414354801</v>
      </c>
    </row>
    <row r="109" spans="1:19" x14ac:dyDescent="0.75">
      <c r="A109" s="1">
        <v>45328</v>
      </c>
      <c r="B109">
        <v>7.9255443504275894E-2</v>
      </c>
      <c r="C109">
        <v>-5.4070867974700398</v>
      </c>
      <c r="D109">
        <v>4.6121010515641796</v>
      </c>
      <c r="E109" t="s">
        <v>21</v>
      </c>
      <c r="F109">
        <v>-5.3278313539657596</v>
      </c>
      <c r="G109">
        <v>6.3087499999999999</v>
      </c>
      <c r="H109">
        <v>55.62</v>
      </c>
      <c r="I109">
        <v>6.2855555555555602</v>
      </c>
      <c r="J109">
        <v>0.32315181857636399</v>
      </c>
      <c r="K109">
        <v>216.37446115909299</v>
      </c>
      <c r="L109">
        <v>17.676742730345701</v>
      </c>
      <c r="M109">
        <v>0.29658745310606199</v>
      </c>
      <c r="N109">
        <v>18694.753444145601</v>
      </c>
      <c r="O109">
        <v>1527.27057190186</v>
      </c>
      <c r="P109">
        <v>25625.155948363801</v>
      </c>
      <c r="Q109">
        <v>3889.2489482144201</v>
      </c>
      <c r="R109">
        <v>2.2575980455957301</v>
      </c>
      <c r="S109">
        <v>8780.3608243241197</v>
      </c>
    </row>
    <row r="110" spans="1:19" x14ac:dyDescent="0.75">
      <c r="A110" s="1">
        <v>45329</v>
      </c>
      <c r="B110">
        <v>8.3791155161503997E-2</v>
      </c>
      <c r="C110">
        <v>-6.1418499655881504</v>
      </c>
      <c r="D110">
        <v>6.0343414247552998</v>
      </c>
      <c r="E110" t="s">
        <v>21</v>
      </c>
      <c r="F110">
        <v>-6.0580588104266404</v>
      </c>
      <c r="G110">
        <v>6.7820833333333299</v>
      </c>
      <c r="H110">
        <v>54.36</v>
      </c>
      <c r="I110">
        <v>6.7455555555555602</v>
      </c>
      <c r="J110">
        <v>0.30425234895924302</v>
      </c>
      <c r="K110">
        <v>193.78432745675801</v>
      </c>
      <c r="L110">
        <v>17.6706630338224</v>
      </c>
      <c r="M110">
        <v>0.28345671882451401</v>
      </c>
      <c r="N110">
        <v>16742.965892263899</v>
      </c>
      <c r="O110">
        <v>1526.74528612225</v>
      </c>
      <c r="P110">
        <v>24490.660506437998</v>
      </c>
      <c r="Q110">
        <v>2840.9831575285398</v>
      </c>
      <c r="R110">
        <v>2.2469735209095201</v>
      </c>
      <c r="S110">
        <v>6383.6139283165403</v>
      </c>
    </row>
    <row r="111" spans="1:19" x14ac:dyDescent="0.75">
      <c r="A111" s="1">
        <v>45330</v>
      </c>
      <c r="B111">
        <v>7.0125882643452001E-2</v>
      </c>
      <c r="C111">
        <v>-7.04647923209955</v>
      </c>
      <c r="D111">
        <v>6.5538541577179501</v>
      </c>
      <c r="E111" t="s">
        <v>21</v>
      </c>
      <c r="F111">
        <v>-6.9763533494560903</v>
      </c>
      <c r="G111">
        <v>6.5579166666666699</v>
      </c>
      <c r="H111">
        <v>52.66</v>
      </c>
      <c r="I111">
        <v>6.5549999999999997</v>
      </c>
      <c r="J111">
        <v>0.28376764889893402</v>
      </c>
      <c r="K111">
        <v>170.59407552720199</v>
      </c>
      <c r="L111">
        <v>17.674699167038401</v>
      </c>
      <c r="M111">
        <v>0.26899073447917599</v>
      </c>
      <c r="N111">
        <v>14739.328125550201</v>
      </c>
      <c r="O111">
        <v>1527.09400803212</v>
      </c>
      <c r="P111">
        <v>23240.799459000798</v>
      </c>
      <c r="Q111">
        <v>2482.28892950607</v>
      </c>
      <c r="R111">
        <v>2.2349290572656599</v>
      </c>
      <c r="S111">
        <v>5547.7396570819701</v>
      </c>
    </row>
    <row r="112" spans="1:19" x14ac:dyDescent="0.75">
      <c r="A112" s="1">
        <v>45331</v>
      </c>
      <c r="B112">
        <v>0.169894802247469</v>
      </c>
      <c r="C112">
        <v>-3.0264075589869099</v>
      </c>
      <c r="D112">
        <v>3.3668529529464002</v>
      </c>
      <c r="E112" t="s">
        <v>21</v>
      </c>
      <c r="F112">
        <v>-2.8565127567394399</v>
      </c>
      <c r="G112">
        <v>6.63791666666667</v>
      </c>
      <c r="H112">
        <v>55.11</v>
      </c>
      <c r="I112">
        <v>6.5405555555555601</v>
      </c>
      <c r="J112">
        <v>0.26214009253193299</v>
      </c>
      <c r="K112">
        <v>147.63081525566301</v>
      </c>
      <c r="L112">
        <v>17.689616918387902</v>
      </c>
      <c r="M112">
        <v>0.253420442694822</v>
      </c>
      <c r="N112">
        <v>12755.3024380893</v>
      </c>
      <c r="O112">
        <v>1528.3829017487101</v>
      </c>
      <c r="P112">
        <v>21895.526248832601</v>
      </c>
      <c r="Q112">
        <v>4552.2832711686897</v>
      </c>
      <c r="R112">
        <v>2.2222961015743601</v>
      </c>
      <c r="S112">
        <v>10116.5213667804</v>
      </c>
    </row>
    <row r="113" spans="1:19" x14ac:dyDescent="0.75">
      <c r="A113" s="1">
        <v>45332</v>
      </c>
      <c r="B113">
        <v>0.102541608739343</v>
      </c>
      <c r="C113">
        <v>-8.9755672284526309</v>
      </c>
      <c r="D113">
        <v>11.487335979884101</v>
      </c>
      <c r="E113" t="s">
        <v>21</v>
      </c>
      <c r="F113">
        <v>-8.87302561971328</v>
      </c>
      <c r="G113">
        <v>6.8045833333333299</v>
      </c>
      <c r="H113">
        <v>56.7</v>
      </c>
      <c r="I113">
        <v>6.7766666666666699</v>
      </c>
      <c r="J113">
        <v>0.243267946687408</v>
      </c>
      <c r="K113">
        <v>128.691877492667</v>
      </c>
      <c r="L113">
        <v>17.7160719568679</v>
      </c>
      <c r="M113">
        <v>0.23960247722770001</v>
      </c>
      <c r="N113">
        <v>11118.9782153664</v>
      </c>
      <c r="O113">
        <v>1530.6686170733899</v>
      </c>
      <c r="P113">
        <v>20701.6540324733</v>
      </c>
      <c r="Q113">
        <v>1261.4898570136099</v>
      </c>
      <c r="R113">
        <v>2.2078773465996799</v>
      </c>
      <c r="S113">
        <v>2785.21487826562</v>
      </c>
    </row>
    <row r="114" spans="1:19" x14ac:dyDescent="0.75">
      <c r="A114" s="1">
        <v>45333</v>
      </c>
      <c r="B114">
        <v>0.12834239206763301</v>
      </c>
      <c r="C114">
        <v>-9.9940646872109795</v>
      </c>
      <c r="D114">
        <v>13.364271263420401</v>
      </c>
      <c r="E114" t="s">
        <v>21</v>
      </c>
      <c r="F114">
        <v>-9.8657222951433496</v>
      </c>
      <c r="G114">
        <v>6.6720833333333296</v>
      </c>
      <c r="H114">
        <v>58.21</v>
      </c>
      <c r="I114">
        <v>6.6455555555555597</v>
      </c>
      <c r="J114">
        <v>0.22950873356292201</v>
      </c>
      <c r="K114">
        <v>115.700115961432</v>
      </c>
      <c r="L114">
        <v>17.7549542208383</v>
      </c>
      <c r="M114">
        <v>0.22934323603814299</v>
      </c>
      <c r="N114">
        <v>9996.4900190677308</v>
      </c>
      <c r="O114">
        <v>1534.02804468043</v>
      </c>
      <c r="P114">
        <v>19815.2555936955</v>
      </c>
      <c r="Q114">
        <v>1037.8926499009799</v>
      </c>
      <c r="R114">
        <v>2.1981060499271901</v>
      </c>
      <c r="S114">
        <v>2281.3981129222998</v>
      </c>
    </row>
    <row r="115" spans="1:19" x14ac:dyDescent="0.75">
      <c r="A115" s="1">
        <v>45334</v>
      </c>
      <c r="B115">
        <v>0.207986551920228</v>
      </c>
      <c r="C115">
        <v>-6.2644437669738204</v>
      </c>
      <c r="D115">
        <v>7.9485513818538802</v>
      </c>
      <c r="E115" t="s">
        <v>21</v>
      </c>
      <c r="F115">
        <v>-6.05645721505359</v>
      </c>
      <c r="G115">
        <v>6.3987499999999997</v>
      </c>
      <c r="H115">
        <v>60.76</v>
      </c>
      <c r="I115">
        <v>6.38</v>
      </c>
      <c r="J115">
        <v>0.22201998752482299</v>
      </c>
      <c r="K115">
        <v>108.900594219532</v>
      </c>
      <c r="L115">
        <v>17.807358469283699</v>
      </c>
      <c r="M115">
        <v>0.22369349210810899</v>
      </c>
      <c r="N115">
        <v>9409.0113405676002</v>
      </c>
      <c r="O115">
        <v>1538.5557717461099</v>
      </c>
      <c r="P115">
        <v>19327.117718140598</v>
      </c>
      <c r="Q115">
        <v>1702.06893718828</v>
      </c>
      <c r="R115">
        <v>2.1927283223209599</v>
      </c>
      <c r="S115">
        <v>3732.1747651154701</v>
      </c>
    </row>
    <row r="116" spans="1:19" x14ac:dyDescent="0.75">
      <c r="A116" s="1">
        <v>45335</v>
      </c>
      <c r="B116">
        <v>8.2412052522906995E-2</v>
      </c>
      <c r="C116">
        <v>-3.8940512810793</v>
      </c>
      <c r="D116">
        <v>5.4502188703319101</v>
      </c>
      <c r="E116" t="s">
        <v>21</v>
      </c>
      <c r="F116">
        <v>-3.8116392285563898</v>
      </c>
      <c r="G116">
        <v>6.4325000000000001</v>
      </c>
      <c r="H116">
        <v>62.74</v>
      </c>
      <c r="I116">
        <v>6.4055555555555603</v>
      </c>
      <c r="J116">
        <v>0.22684319792881999</v>
      </c>
      <c r="K116">
        <v>113.220968689701</v>
      </c>
      <c r="L116">
        <v>17.874547751558602</v>
      </c>
      <c r="M116">
        <v>0.227346873969269</v>
      </c>
      <c r="N116">
        <v>9782.2916947902104</v>
      </c>
      <c r="O116">
        <v>1544.36092573466</v>
      </c>
      <c r="P116">
        <v>19642.7699109448</v>
      </c>
      <c r="Q116">
        <v>2522.8232599077301</v>
      </c>
      <c r="R116">
        <v>2.1953922063642501</v>
      </c>
      <c r="S116">
        <v>5538.5865228358698</v>
      </c>
    </row>
    <row r="117" spans="1:19" x14ac:dyDescent="0.75">
      <c r="A117" s="1">
        <v>45336</v>
      </c>
      <c r="B117">
        <v>8.4510755621644507E-2</v>
      </c>
      <c r="C117">
        <v>-5.0385577874554501</v>
      </c>
      <c r="D117">
        <v>8.3300361847170201</v>
      </c>
      <c r="E117" t="s">
        <v>21</v>
      </c>
      <c r="F117">
        <v>-4.9540470318337997</v>
      </c>
      <c r="G117">
        <v>7.1458333333333304</v>
      </c>
      <c r="H117">
        <v>57.6</v>
      </c>
      <c r="I117">
        <v>7.0870588235294099</v>
      </c>
      <c r="J117">
        <v>0.21204771379239701</v>
      </c>
      <c r="K117">
        <v>100.13798587813601</v>
      </c>
      <c r="L117">
        <v>17.957930151010501</v>
      </c>
      <c r="M117">
        <v>0.21609576606240399</v>
      </c>
      <c r="N117">
        <v>8651.9219798709801</v>
      </c>
      <c r="O117">
        <v>1551.5651650473101</v>
      </c>
      <c r="P117">
        <v>18670.674187791701</v>
      </c>
      <c r="Q117">
        <v>1568.9574020617699</v>
      </c>
      <c r="R117">
        <v>2.1853399224994301</v>
      </c>
      <c r="S117">
        <v>3428.7052474265902</v>
      </c>
    </row>
    <row r="118" spans="1:19" x14ac:dyDescent="0.75">
      <c r="A118" s="1">
        <v>45337</v>
      </c>
      <c r="B118">
        <v>0.120471323004956</v>
      </c>
      <c r="C118">
        <v>-8.2164573399468299</v>
      </c>
      <c r="D118">
        <v>15.1580226011076</v>
      </c>
      <c r="E118" t="s">
        <v>21</v>
      </c>
      <c r="F118">
        <v>-8.0959860169418807</v>
      </c>
      <c r="G118">
        <v>7.3629166666666697</v>
      </c>
      <c r="H118">
        <v>55.44</v>
      </c>
      <c r="I118">
        <v>7.3211764705882398</v>
      </c>
      <c r="J118">
        <v>0.19582552225710501</v>
      </c>
      <c r="K118">
        <v>86.539849708496106</v>
      </c>
      <c r="L118">
        <v>18.0590459085041</v>
      </c>
      <c r="M118">
        <v>0.20355980741740801</v>
      </c>
      <c r="N118">
        <v>7477.0430148140704</v>
      </c>
      <c r="O118">
        <v>1560.30156649475</v>
      </c>
      <c r="P118">
        <v>17587.567360863999</v>
      </c>
      <c r="Q118">
        <v>812.19678031785099</v>
      </c>
      <c r="R118">
        <v>2.1709749475750799</v>
      </c>
      <c r="S118">
        <v>1763.2588625712001</v>
      </c>
    </row>
    <row r="119" spans="1:19" x14ac:dyDescent="0.75">
      <c r="A119" s="1">
        <v>45338</v>
      </c>
      <c r="B119">
        <v>0.15423314782894601</v>
      </c>
      <c r="C119">
        <v>-8.6523285251711997</v>
      </c>
      <c r="D119">
        <v>16.650312603635498</v>
      </c>
      <c r="E119" t="s">
        <v>21</v>
      </c>
      <c r="F119">
        <v>-8.4980953773422492</v>
      </c>
      <c r="G119">
        <v>7.3304166666666699</v>
      </c>
      <c r="H119">
        <v>56.44</v>
      </c>
      <c r="I119">
        <v>7.2888235294117596</v>
      </c>
      <c r="J119">
        <v>0.18533951643660901</v>
      </c>
      <c r="K119">
        <v>78.238553212067501</v>
      </c>
      <c r="L119">
        <v>18.179557441277701</v>
      </c>
      <c r="M119">
        <v>0.195317212660988</v>
      </c>
      <c r="N119">
        <v>6759.8109975226298</v>
      </c>
      <c r="O119">
        <v>1570.7137629264</v>
      </c>
      <c r="P119">
        <v>16875.4071739094</v>
      </c>
      <c r="Q119">
        <v>709.46325771429099</v>
      </c>
      <c r="R119">
        <v>2.1612861348863199</v>
      </c>
      <c r="S119">
        <v>1533.3531021091801</v>
      </c>
    </row>
    <row r="120" spans="1:19" x14ac:dyDescent="0.75">
      <c r="A120" s="1">
        <v>45339</v>
      </c>
      <c r="B120">
        <v>0.16406663517415401</v>
      </c>
      <c r="C120">
        <v>-2.83425624537329</v>
      </c>
      <c r="D120">
        <v>4.7938367094415399</v>
      </c>
      <c r="E120" t="s">
        <v>21</v>
      </c>
      <c r="F120">
        <v>-2.6701896101991398</v>
      </c>
      <c r="G120">
        <v>7.1870833333333302</v>
      </c>
      <c r="H120">
        <v>57.49</v>
      </c>
      <c r="I120">
        <v>7.1664705882352902</v>
      </c>
      <c r="J120">
        <v>0.18705684941672901</v>
      </c>
      <c r="K120">
        <v>79.695385204086904</v>
      </c>
      <c r="L120">
        <v>18.369212971812399</v>
      </c>
      <c r="M120">
        <v>0.196638781770755</v>
      </c>
      <c r="N120">
        <v>6885.6812816331103</v>
      </c>
      <c r="O120">
        <v>1587.10000076459</v>
      </c>
      <c r="P120">
        <v>16989.5907449933</v>
      </c>
      <c r="Q120">
        <v>2480.83408808489</v>
      </c>
      <c r="R120">
        <v>2.1666580953166199</v>
      </c>
      <c r="S120">
        <v>5375.1192600865497</v>
      </c>
    </row>
    <row r="121" spans="1:19" x14ac:dyDescent="0.75">
      <c r="A121" s="1">
        <v>45340</v>
      </c>
      <c r="B121">
        <v>0.17783861364193099</v>
      </c>
      <c r="C121">
        <v>-2.5332780817984801</v>
      </c>
      <c r="D121">
        <v>1.8865331794645499</v>
      </c>
      <c r="E121" t="s">
        <v>21</v>
      </c>
      <c r="F121">
        <v>-2.35543946815655</v>
      </c>
      <c r="G121">
        <v>6.7912499999999998</v>
      </c>
      <c r="H121">
        <v>57.92</v>
      </c>
      <c r="I121">
        <v>6.78</v>
      </c>
      <c r="J121">
        <v>0.304619300450722</v>
      </c>
      <c r="K121">
        <v>197.01323931069399</v>
      </c>
      <c r="L121">
        <v>18.703974738633899</v>
      </c>
      <c r="M121">
        <v>0.28319457208422599</v>
      </c>
      <c r="N121">
        <v>17021.9438764439</v>
      </c>
      <c r="O121">
        <v>1616.02341741797</v>
      </c>
      <c r="P121">
        <v>24468.011028077199</v>
      </c>
      <c r="Q121">
        <v>9078.8796646106694</v>
      </c>
      <c r="R121">
        <v>2.2837737154709101</v>
      </c>
      <c r="S121">
        <v>20734.106743961202</v>
      </c>
    </row>
    <row r="122" spans="1:19" x14ac:dyDescent="0.75">
      <c r="A122" s="1">
        <v>45341</v>
      </c>
      <c r="B122">
        <v>0.10376099070178001</v>
      </c>
      <c r="C122">
        <v>-7.9186091631698501</v>
      </c>
      <c r="D122">
        <v>6.1372865134681698</v>
      </c>
      <c r="E122" t="s">
        <v>21</v>
      </c>
      <c r="F122">
        <v>-7.8148481724680696</v>
      </c>
      <c r="G122">
        <v>6.42</v>
      </c>
      <c r="H122">
        <v>55</v>
      </c>
      <c r="I122">
        <v>6.3876470588235303</v>
      </c>
      <c r="J122">
        <v>0.35667063561399798</v>
      </c>
      <c r="K122">
        <v>259.16419079471098</v>
      </c>
      <c r="L122">
        <v>19.1898470322474</v>
      </c>
      <c r="M122">
        <v>0.31942185608329099</v>
      </c>
      <c r="N122">
        <v>22391.786084662999</v>
      </c>
      <c r="O122">
        <v>1658.0027835861799</v>
      </c>
      <c r="P122">
        <v>27598.0483655963</v>
      </c>
      <c r="Q122">
        <v>3147.7484086042</v>
      </c>
      <c r="R122">
        <v>2.2747988991069898</v>
      </c>
      <c r="S122">
        <v>7160.49461455859</v>
      </c>
    </row>
    <row r="123" spans="1:19" x14ac:dyDescent="0.75">
      <c r="A123" s="1">
        <v>45342</v>
      </c>
      <c r="B123">
        <v>0.107535372639797</v>
      </c>
      <c r="C123">
        <v>-7.8484596499363404</v>
      </c>
      <c r="D123">
        <v>6.8659348670374696</v>
      </c>
      <c r="E123" t="s">
        <v>21</v>
      </c>
      <c r="F123">
        <v>-7.7409242772965401</v>
      </c>
      <c r="G123">
        <v>6.7595833333333299</v>
      </c>
      <c r="H123">
        <v>54.21</v>
      </c>
      <c r="I123">
        <v>6.6988235294117704</v>
      </c>
      <c r="J123">
        <v>0.33706661913323799</v>
      </c>
      <c r="K123">
        <v>233.747846889257</v>
      </c>
      <c r="L123">
        <v>19.831669394700299</v>
      </c>
      <c r="M123">
        <v>0.30612944237963102</v>
      </c>
      <c r="N123">
        <v>20195.813971231801</v>
      </c>
      <c r="O123">
        <v>1713.45623570211</v>
      </c>
      <c r="P123">
        <v>26449.583821600099</v>
      </c>
      <c r="Q123">
        <v>2696.6041819020102</v>
      </c>
      <c r="R123">
        <v>2.26530547052718</v>
      </c>
      <c r="S123">
        <v>6108.6322051090901</v>
      </c>
    </row>
    <row r="124" spans="1:19" x14ac:dyDescent="0.75">
      <c r="A124" s="1">
        <v>45343</v>
      </c>
      <c r="B124">
        <v>0.131320223088882</v>
      </c>
      <c r="C124">
        <v>-8.2505284282185407</v>
      </c>
      <c r="D124">
        <v>7.9984478984888296</v>
      </c>
      <c r="E124" t="s">
        <v>21</v>
      </c>
      <c r="F124">
        <v>-8.1192082051296506</v>
      </c>
      <c r="G124">
        <v>6.9841666666666704</v>
      </c>
      <c r="H124">
        <v>53.92</v>
      </c>
      <c r="I124">
        <v>6.9223529411764702</v>
      </c>
      <c r="J124">
        <v>0.31709271554906698</v>
      </c>
      <c r="K124">
        <v>209.00648289221101</v>
      </c>
      <c r="L124">
        <v>20.634361760920601</v>
      </c>
      <c r="M124">
        <v>0.292399613237875</v>
      </c>
      <c r="N124">
        <v>18058.1601218871</v>
      </c>
      <c r="O124">
        <v>1782.80885614354</v>
      </c>
      <c r="P124">
        <v>25263.326583752401</v>
      </c>
      <c r="Q124">
        <v>2210.9700323193701</v>
      </c>
      <c r="R124">
        <v>2.2542220730485498</v>
      </c>
      <c r="S124">
        <v>4984.0174497031903</v>
      </c>
    </row>
    <row r="125" spans="1:19" x14ac:dyDescent="0.75">
      <c r="A125" s="1">
        <v>45344</v>
      </c>
      <c r="B125">
        <v>0.115492613770787</v>
      </c>
      <c r="C125">
        <v>-7.9862760506285904</v>
      </c>
      <c r="D125">
        <v>8.4693686850727907</v>
      </c>
      <c r="E125" t="s">
        <v>21</v>
      </c>
      <c r="F125">
        <v>-7.8707834368578</v>
      </c>
      <c r="G125">
        <v>7.1041666666666696</v>
      </c>
      <c r="H125">
        <v>53.46</v>
      </c>
      <c r="I125">
        <v>7.0364705882352903</v>
      </c>
      <c r="J125">
        <v>0.29763547966489901</v>
      </c>
      <c r="K125">
        <v>186.16904074607501</v>
      </c>
      <c r="L125">
        <v>21.425799269460299</v>
      </c>
      <c r="M125">
        <v>0.27880722765008897</v>
      </c>
      <c r="N125">
        <v>16085.005120460901</v>
      </c>
      <c r="O125">
        <v>1851.1890568813701</v>
      </c>
      <c r="P125">
        <v>24088.9444689677</v>
      </c>
      <c r="Q125">
        <v>1990.97025472477</v>
      </c>
      <c r="R125">
        <v>2.24346207822044</v>
      </c>
      <c r="S125">
        <v>4466.6662653399098</v>
      </c>
    </row>
    <row r="126" spans="1:19" x14ac:dyDescent="0.75">
      <c r="A126" s="1">
        <v>45345</v>
      </c>
      <c r="B126">
        <v>0.16993762706095</v>
      </c>
      <c r="C126">
        <v>-8.9007557234551005</v>
      </c>
      <c r="D126">
        <v>9.5947349320118001</v>
      </c>
      <c r="E126" t="s">
        <v>21</v>
      </c>
      <c r="F126">
        <v>-8.7308180963941506</v>
      </c>
      <c r="G126">
        <v>6.9270833333333304</v>
      </c>
      <c r="H126">
        <v>54.25</v>
      </c>
      <c r="I126">
        <v>6.8876470588235303</v>
      </c>
      <c r="J126">
        <v>0.28217654723188201</v>
      </c>
      <c r="K126">
        <v>168.81401429246799</v>
      </c>
      <c r="L126">
        <v>22.018348782138901</v>
      </c>
      <c r="M126">
        <v>0.26786327508237301</v>
      </c>
      <c r="N126">
        <v>14585.5308348692</v>
      </c>
      <c r="O126">
        <v>1902.3853347768099</v>
      </c>
      <c r="P126">
        <v>23143.386967117101</v>
      </c>
      <c r="Q126">
        <v>1688.46466231507</v>
      </c>
      <c r="R126">
        <v>2.23344060567613</v>
      </c>
      <c r="S126">
        <v>3771.0855380637199</v>
      </c>
    </row>
    <row r="127" spans="1:19" x14ac:dyDescent="0.75">
      <c r="A127" s="1">
        <v>45346</v>
      </c>
      <c r="B127">
        <v>0.11503993609603801</v>
      </c>
      <c r="C127">
        <v>-5.6547724496286298</v>
      </c>
      <c r="D127">
        <v>6.7192646605929198</v>
      </c>
      <c r="E127" t="s">
        <v>21</v>
      </c>
      <c r="F127">
        <v>-5.5397325135326003</v>
      </c>
      <c r="G127">
        <v>6.8820833333333304</v>
      </c>
      <c r="H127">
        <v>57.49</v>
      </c>
      <c r="I127">
        <v>6.8394117647058801</v>
      </c>
      <c r="J127">
        <v>0.26904261944887498</v>
      </c>
      <c r="K127">
        <v>154.754208703952</v>
      </c>
      <c r="L127">
        <v>22.605221894052299</v>
      </c>
      <c r="M127">
        <v>0.25843189383836102</v>
      </c>
      <c r="N127">
        <v>13370.763632021401</v>
      </c>
      <c r="O127">
        <v>1953.0911716461201</v>
      </c>
      <c r="P127">
        <v>22328.515627634399</v>
      </c>
      <c r="Q127">
        <v>2326.1415837674199</v>
      </c>
      <c r="R127">
        <v>2.2257443318589298</v>
      </c>
      <c r="S127">
        <v>5177.3964451717102</v>
      </c>
    </row>
    <row r="128" spans="1:19" x14ac:dyDescent="0.75">
      <c r="A128" s="1">
        <v>45347</v>
      </c>
      <c r="B128">
        <v>9.4253199440092597E-2</v>
      </c>
      <c r="C128">
        <v>-7.5664201263250899</v>
      </c>
      <c r="D128">
        <v>10.1115485960712</v>
      </c>
      <c r="E128" t="s">
        <v>21</v>
      </c>
      <c r="F128">
        <v>-7.4721669268849897</v>
      </c>
      <c r="G128">
        <v>7.08</v>
      </c>
      <c r="H128">
        <v>56.66</v>
      </c>
      <c r="I128">
        <v>7.0223529411764698</v>
      </c>
      <c r="J128">
        <v>0.25078604884482503</v>
      </c>
      <c r="K128">
        <v>136.091060062867</v>
      </c>
      <c r="L128">
        <v>23.182940015714099</v>
      </c>
      <c r="M128">
        <v>0.24513888583992599</v>
      </c>
      <c r="N128">
        <v>11758.2675894317</v>
      </c>
      <c r="O128">
        <v>2003.0060173577001</v>
      </c>
      <c r="P128">
        <v>21179.9997365696</v>
      </c>
      <c r="Q128">
        <v>1466.2442329911</v>
      </c>
      <c r="R128">
        <v>2.2136757926480399</v>
      </c>
      <c r="S128">
        <v>3245.7893646821999</v>
      </c>
    </row>
    <row r="129" spans="1:19" x14ac:dyDescent="0.75">
      <c r="A129" s="1">
        <v>45348</v>
      </c>
      <c r="B129">
        <v>0.11121023210795</v>
      </c>
      <c r="C129">
        <v>-3.7562211838420398</v>
      </c>
      <c r="D129">
        <v>5.5990538766427704</v>
      </c>
      <c r="E129" t="s">
        <v>21</v>
      </c>
      <c r="F129">
        <v>-3.6450109517340801</v>
      </c>
      <c r="G129">
        <v>7.2850000000000001</v>
      </c>
      <c r="H129">
        <v>55.4</v>
      </c>
      <c r="I129">
        <v>7.2264705882352898</v>
      </c>
      <c r="J129">
        <v>0.23439652742941799</v>
      </c>
      <c r="K129">
        <v>120.27715360928499</v>
      </c>
      <c r="L129">
        <v>23.748296078113601</v>
      </c>
      <c r="M129">
        <v>0.23299674967116599</v>
      </c>
      <c r="N129">
        <v>10391.9460718422</v>
      </c>
      <c r="O129">
        <v>2051.8527811490098</v>
      </c>
      <c r="P129">
        <v>20130.919171588699</v>
      </c>
      <c r="Q129">
        <v>2516.7901096464402</v>
      </c>
      <c r="R129">
        <v>2.2023285351289799</v>
      </c>
      <c r="S129">
        <v>5542.7986754047597</v>
      </c>
    </row>
    <row r="130" spans="1:19" x14ac:dyDescent="0.75">
      <c r="A130" s="1">
        <v>45349</v>
      </c>
      <c r="B130">
        <v>0.13935689970926901</v>
      </c>
      <c r="C130">
        <v>-7.30604158900434</v>
      </c>
      <c r="D130">
        <v>12.127698979731001</v>
      </c>
      <c r="E130" t="s">
        <v>21</v>
      </c>
      <c r="F130">
        <v>-7.16668468929507</v>
      </c>
      <c r="G130">
        <v>7.3541666666666696</v>
      </c>
      <c r="H130">
        <v>55.83</v>
      </c>
      <c r="I130">
        <v>7.3005882352941196</v>
      </c>
      <c r="J130">
        <v>0.21566732330434399</v>
      </c>
      <c r="K130">
        <v>103.26818898755999</v>
      </c>
      <c r="L130">
        <v>24.298136588592701</v>
      </c>
      <c r="M130">
        <v>0.218866657528585</v>
      </c>
      <c r="N130">
        <v>8922.3715285251692</v>
      </c>
      <c r="O130">
        <v>2099.35900125441</v>
      </c>
      <c r="P130">
        <v>18910.079210469699</v>
      </c>
      <c r="Q130">
        <v>1091.47295537693</v>
      </c>
      <c r="R130">
        <v>2.18777475724238</v>
      </c>
      <c r="S130">
        <v>2387.8969799863999</v>
      </c>
    </row>
    <row r="131" spans="1:19" x14ac:dyDescent="0.75">
      <c r="A131" s="1">
        <v>45350</v>
      </c>
      <c r="B131">
        <v>0.17930467782331</v>
      </c>
      <c r="C131">
        <v>-7.7649043402985196</v>
      </c>
      <c r="D131">
        <v>13.346253302757001</v>
      </c>
      <c r="E131" t="s">
        <v>21</v>
      </c>
      <c r="F131">
        <v>-7.58559966247521</v>
      </c>
      <c r="G131">
        <v>7.1295833333333301</v>
      </c>
      <c r="H131">
        <v>57.92</v>
      </c>
      <c r="I131">
        <v>7.0752941176470596</v>
      </c>
      <c r="J131">
        <v>0.20343462838440801</v>
      </c>
      <c r="K131">
        <v>92.811661693509507</v>
      </c>
      <c r="L131">
        <v>24.829726294160299</v>
      </c>
      <c r="M131">
        <v>0.209469209396767</v>
      </c>
      <c r="N131">
        <v>8018.9275703192197</v>
      </c>
      <c r="O131">
        <v>2145.2883518154499</v>
      </c>
      <c r="P131">
        <v>18098.1396918807</v>
      </c>
      <c r="Q131">
        <v>949.23252967927601</v>
      </c>
      <c r="R131">
        <v>2.1779979910715901</v>
      </c>
      <c r="S131">
        <v>2067.4265427012601</v>
      </c>
    </row>
    <row r="132" spans="1:19" x14ac:dyDescent="0.75">
      <c r="A132" s="1">
        <v>45351</v>
      </c>
      <c r="B132">
        <v>0.13798743354773699</v>
      </c>
      <c r="C132">
        <v>-4.34067617681771</v>
      </c>
      <c r="D132">
        <v>8.0258906263784002</v>
      </c>
      <c r="E132" t="s">
        <v>21</v>
      </c>
      <c r="F132">
        <v>-4.2026887432699702</v>
      </c>
      <c r="G132">
        <v>6.97</v>
      </c>
      <c r="H132">
        <v>61.59</v>
      </c>
      <c r="I132">
        <v>6.94176470588235</v>
      </c>
      <c r="J132">
        <v>0.19382049930766501</v>
      </c>
      <c r="K132">
        <v>84.8997621973663</v>
      </c>
      <c r="L132">
        <v>25.340764008463999</v>
      </c>
      <c r="M132">
        <v>0.20199925531583801</v>
      </c>
      <c r="N132">
        <v>7335.3394538524499</v>
      </c>
      <c r="O132">
        <v>2189.44201033129</v>
      </c>
      <c r="P132">
        <v>17452.735659288399</v>
      </c>
      <c r="Q132">
        <v>1522.18806986342</v>
      </c>
      <c r="R132">
        <v>2.1684878710617599</v>
      </c>
      <c r="S132">
        <v>3300.8463669737398</v>
      </c>
    </row>
    <row r="133" spans="1:19" x14ac:dyDescent="0.75">
      <c r="A133" s="1">
        <v>45352</v>
      </c>
      <c r="B133">
        <v>0.25379573327474703</v>
      </c>
      <c r="C133">
        <v>-8.6272279630153008</v>
      </c>
      <c r="D133">
        <v>16.3758332446588</v>
      </c>
      <c r="E133" t="s">
        <v>21</v>
      </c>
      <c r="F133">
        <v>-8.3734322297405495</v>
      </c>
      <c r="G133">
        <v>7.12916666666667</v>
      </c>
      <c r="H133">
        <v>58.96</v>
      </c>
      <c r="I133">
        <v>7.0764705882352903</v>
      </c>
      <c r="J133">
        <v>0.18650788998547699</v>
      </c>
      <c r="K133">
        <v>79.139121720553504</v>
      </c>
      <c r="L133">
        <v>25.829229041384199</v>
      </c>
      <c r="M133">
        <v>0.19624294969721201</v>
      </c>
      <c r="N133">
        <v>6837.6201166558303</v>
      </c>
      <c r="O133">
        <v>2231.64538917559</v>
      </c>
      <c r="P133">
        <v>16955.390853839101</v>
      </c>
      <c r="Q133">
        <v>724.77372115147398</v>
      </c>
      <c r="R133">
        <v>2.1622203692271298</v>
      </c>
      <c r="S133">
        <v>1567.12050295426</v>
      </c>
    </row>
    <row r="134" spans="1:19" x14ac:dyDescent="0.75">
      <c r="A134" s="1">
        <v>45355</v>
      </c>
      <c r="B134">
        <v>0.16948317781948599</v>
      </c>
      <c r="C134">
        <v>-7.7854704116287703</v>
      </c>
      <c r="D134">
        <v>12.8040979673346</v>
      </c>
      <c r="E134" t="s">
        <v>21</v>
      </c>
      <c r="F134">
        <v>-7.6159872338092898</v>
      </c>
      <c r="G134">
        <v>6.5395833333333302</v>
      </c>
      <c r="H134">
        <v>63.28</v>
      </c>
      <c r="I134">
        <v>6.49</v>
      </c>
      <c r="J134">
        <v>0.19603191835754299</v>
      </c>
      <c r="K134">
        <v>86.679437277785496</v>
      </c>
      <c r="L134">
        <v>27.062781630079101</v>
      </c>
      <c r="M134">
        <v>0.203728886632006</v>
      </c>
      <c r="N134">
        <v>7489.1033808006696</v>
      </c>
      <c r="O134">
        <v>2338.2243328388299</v>
      </c>
      <c r="P134">
        <v>17602.175805005299</v>
      </c>
      <c r="Q134">
        <v>962.31090194232604</v>
      </c>
      <c r="R134">
        <v>2.1703845114776001</v>
      </c>
      <c r="S134">
        <v>2088.58467680167</v>
      </c>
    </row>
    <row r="135" spans="1:19" x14ac:dyDescent="0.75">
      <c r="A135" s="1">
        <v>45356</v>
      </c>
      <c r="B135">
        <v>0.201374114408123</v>
      </c>
      <c r="C135">
        <v>-3.0666888729256301</v>
      </c>
      <c r="D135">
        <v>4.4789222171873604</v>
      </c>
      <c r="E135" t="s">
        <v>21</v>
      </c>
      <c r="F135">
        <v>-2.8653147585175098</v>
      </c>
      <c r="G135">
        <v>6.4625000000000004</v>
      </c>
      <c r="H135">
        <v>63.64</v>
      </c>
      <c r="I135">
        <v>6.4264705882352899</v>
      </c>
      <c r="J135">
        <v>0.19252883005766</v>
      </c>
      <c r="K135">
        <v>83.879155273033504</v>
      </c>
      <c r="L135">
        <v>27.351007135934999</v>
      </c>
      <c r="M135">
        <v>0.20098355731939399</v>
      </c>
      <c r="N135">
        <v>7247.1590155900903</v>
      </c>
      <c r="O135">
        <v>2363.12701654478</v>
      </c>
      <c r="P135">
        <v>17364.979352395701</v>
      </c>
      <c r="Q135">
        <v>2713.9309318727701</v>
      </c>
      <c r="R135">
        <v>2.1676928624417702</v>
      </c>
      <c r="S135">
        <v>5882.9687101805603</v>
      </c>
    </row>
    <row r="136" spans="1:19" x14ac:dyDescent="0.75">
      <c r="A136" s="1">
        <v>45357</v>
      </c>
      <c r="B136">
        <v>0.130279552659263</v>
      </c>
      <c r="C136">
        <v>-7.9016855284480902</v>
      </c>
      <c r="D136">
        <v>9.0396033879375999</v>
      </c>
      <c r="E136" t="s">
        <v>21</v>
      </c>
      <c r="F136">
        <v>-7.7714059757888299</v>
      </c>
      <c r="G136">
        <v>6.0254166666666702</v>
      </c>
      <c r="H136">
        <v>64.11</v>
      </c>
      <c r="I136">
        <v>6.00941176470588</v>
      </c>
      <c r="J136">
        <v>0.24003583795046399</v>
      </c>
      <c r="K136">
        <v>125.710510100177</v>
      </c>
      <c r="L136">
        <v>27.5806014834412</v>
      </c>
      <c r="M136">
        <v>0.23717562380828999</v>
      </c>
      <c r="N136">
        <v>10861.3880726553</v>
      </c>
      <c r="O136">
        <v>2382.9639681693202</v>
      </c>
      <c r="P136">
        <v>20491.973897036201</v>
      </c>
      <c r="Q136">
        <v>1586.8375096042901</v>
      </c>
      <c r="R136">
        <v>2.2081341242102299</v>
      </c>
      <c r="S136">
        <v>3503.9500545340002</v>
      </c>
    </row>
    <row r="137" spans="1:19" x14ac:dyDescent="0.75">
      <c r="A137" s="1">
        <v>45358</v>
      </c>
      <c r="B137">
        <v>0.154539015815917</v>
      </c>
      <c r="C137">
        <v>-7.2716123823732</v>
      </c>
      <c r="D137">
        <v>8.7884944553659903</v>
      </c>
      <c r="E137" t="s">
        <v>21</v>
      </c>
      <c r="F137">
        <v>-7.1170733665572898</v>
      </c>
      <c r="G137">
        <v>6.0479166666666702</v>
      </c>
      <c r="H137">
        <v>65.34</v>
      </c>
      <c r="I137">
        <v>6.0011764705882404</v>
      </c>
      <c r="J137">
        <v>0.240344077203306</v>
      </c>
      <c r="K137">
        <v>125.86133368612199</v>
      </c>
      <c r="L137">
        <v>27.754963089028099</v>
      </c>
      <c r="M137">
        <v>0.237438720679121</v>
      </c>
      <c r="N137">
        <v>10874.419230481</v>
      </c>
      <c r="O137">
        <v>2398.0288108920299</v>
      </c>
      <c r="P137">
        <v>20514.705466676001</v>
      </c>
      <c r="Q137">
        <v>1633.9879258733899</v>
      </c>
      <c r="R137">
        <v>2.2055015204804098</v>
      </c>
      <c r="S137">
        <v>3603.7628549603801</v>
      </c>
    </row>
    <row r="138" spans="1:19" x14ac:dyDescent="0.75">
      <c r="A138" s="1">
        <v>45359</v>
      </c>
      <c r="B138">
        <v>0.20653499634226699</v>
      </c>
      <c r="C138">
        <v>-8.1036027066713494</v>
      </c>
      <c r="D138">
        <v>10.5481825939288</v>
      </c>
      <c r="E138" t="s">
        <v>21</v>
      </c>
      <c r="F138">
        <v>-7.8970677103290798</v>
      </c>
      <c r="G138">
        <v>6.1395833333333298</v>
      </c>
      <c r="H138">
        <v>65.19</v>
      </c>
      <c r="I138">
        <v>6.0905882352941196</v>
      </c>
      <c r="J138">
        <v>0.22690778139132001</v>
      </c>
      <c r="K138">
        <v>113.31051057613401</v>
      </c>
      <c r="L138">
        <v>27.880838070574701</v>
      </c>
      <c r="M138">
        <v>0.227387998705079</v>
      </c>
      <c r="N138">
        <v>9790.0281137779493</v>
      </c>
      <c r="O138">
        <v>2408.9044092976601</v>
      </c>
      <c r="P138">
        <v>19646.323088118901</v>
      </c>
      <c r="Q138">
        <v>1303.77209905322</v>
      </c>
      <c r="R138">
        <v>2.19610584400897</v>
      </c>
      <c r="S138">
        <v>2863.2215259866198</v>
      </c>
    </row>
    <row r="139" spans="1:19" x14ac:dyDescent="0.75">
      <c r="A139" s="1">
        <v>45360</v>
      </c>
      <c r="B139">
        <v>0.21020560404024299</v>
      </c>
      <c r="C139">
        <v>-3.7534844614068099</v>
      </c>
      <c r="D139">
        <v>4.2450758388067102</v>
      </c>
      <c r="E139" t="s">
        <v>21</v>
      </c>
      <c r="F139">
        <v>-3.5432788573665701</v>
      </c>
      <c r="G139">
        <v>5.8195833333333304</v>
      </c>
      <c r="H139">
        <v>66.63</v>
      </c>
      <c r="I139">
        <v>5.7752941176470598</v>
      </c>
      <c r="J139">
        <v>0.218092138760035</v>
      </c>
      <c r="K139">
        <v>105.385869004357</v>
      </c>
      <c r="L139">
        <v>27.965450906440999</v>
      </c>
      <c r="M139">
        <v>0.22071743910258301</v>
      </c>
      <c r="N139">
        <v>9105.3390819764099</v>
      </c>
      <c r="O139">
        <v>2416.2149583165101</v>
      </c>
      <c r="P139">
        <v>19069.9867384631</v>
      </c>
      <c r="Q139">
        <v>3144.5823876438899</v>
      </c>
      <c r="R139">
        <v>2.1893022378461899</v>
      </c>
      <c r="S139">
        <v>6884.4412583604899</v>
      </c>
    </row>
    <row r="140" spans="1:19" x14ac:dyDescent="0.75">
      <c r="A140" s="1">
        <v>45361</v>
      </c>
      <c r="B140">
        <v>0.106690886267334</v>
      </c>
      <c r="C140">
        <v>-5.0022853481098002</v>
      </c>
      <c r="D140">
        <v>5.2509824098211801</v>
      </c>
      <c r="E140" t="s">
        <v>21</v>
      </c>
      <c r="F140">
        <v>-4.89559446184247</v>
      </c>
      <c r="G140">
        <v>5.6375000000000002</v>
      </c>
      <c r="H140">
        <v>69.010000000000005</v>
      </c>
      <c r="I140">
        <v>5.6135294117647101</v>
      </c>
      <c r="J140">
        <v>0.259143736014745</v>
      </c>
      <c r="K140">
        <v>144.507907238803</v>
      </c>
      <c r="L140">
        <v>28.015095877464901</v>
      </c>
      <c r="M140">
        <v>0.25125123710541603</v>
      </c>
      <c r="N140">
        <v>12485.4831854326</v>
      </c>
      <c r="O140">
        <v>2420.5042838129698</v>
      </c>
      <c r="P140">
        <v>21708.106885907899</v>
      </c>
      <c r="Q140">
        <v>2893.8727335506401</v>
      </c>
      <c r="R140">
        <v>2.2194363121090501</v>
      </c>
      <c r="S140">
        <v>6422.76622746456</v>
      </c>
    </row>
    <row r="141" spans="1:19" x14ac:dyDescent="0.75">
      <c r="A141" s="1">
        <v>45362</v>
      </c>
      <c r="B141">
        <v>0.123441778173161</v>
      </c>
      <c r="C141">
        <v>-3.46223759989797</v>
      </c>
      <c r="D141">
        <v>4.7073445503470204</v>
      </c>
      <c r="E141" t="s">
        <v>21</v>
      </c>
      <c r="F141">
        <v>-3.3387958217248102</v>
      </c>
      <c r="G141">
        <v>6.4808333333333303</v>
      </c>
      <c r="H141">
        <v>63.75</v>
      </c>
      <c r="I141">
        <v>6.3976470588235301</v>
      </c>
      <c r="J141">
        <v>0.24233148648115499</v>
      </c>
      <c r="K141">
        <v>127.915344307689</v>
      </c>
      <c r="L141">
        <v>28.031154528661599</v>
      </c>
      <c r="M141">
        <v>0.23887957166807</v>
      </c>
      <c r="N141">
        <v>11051.885748184401</v>
      </c>
      <c r="O141">
        <v>2421.8917512763701</v>
      </c>
      <c r="P141">
        <v>20639.194992121302</v>
      </c>
      <c r="Q141">
        <v>3069.1266254176899</v>
      </c>
      <c r="R141">
        <v>2.2097023939348999</v>
      </c>
      <c r="S141">
        <v>6781.8564514747904</v>
      </c>
    </row>
    <row r="142" spans="1:19" x14ac:dyDescent="0.75">
      <c r="A142" s="1">
        <v>45363</v>
      </c>
      <c r="B142">
        <v>0.16145871259271899</v>
      </c>
      <c r="C142">
        <v>-6.4355761788269996</v>
      </c>
      <c r="D142">
        <v>10.0230070667752</v>
      </c>
      <c r="E142" t="s">
        <v>21</v>
      </c>
      <c r="F142">
        <v>-6.2741174662342898</v>
      </c>
      <c r="G142">
        <v>6.8758333333333299</v>
      </c>
      <c r="H142">
        <v>60.12</v>
      </c>
      <c r="I142">
        <v>6.7941176470588198</v>
      </c>
      <c r="J142">
        <v>0.21685624613673499</v>
      </c>
      <c r="K142">
        <v>104.346033279154</v>
      </c>
      <c r="L142">
        <v>28.013357202427098</v>
      </c>
      <c r="M142">
        <v>0.219763865016353</v>
      </c>
      <c r="N142">
        <v>9015.4972753189395</v>
      </c>
      <c r="O142">
        <v>2420.3540622896999</v>
      </c>
      <c r="P142">
        <v>18987.597937412898</v>
      </c>
      <c r="Q142">
        <v>1326.08093236288</v>
      </c>
      <c r="R142">
        <v>2.1895139866038802</v>
      </c>
      <c r="S142">
        <v>2903.4727487772302</v>
      </c>
    </row>
    <row r="143" spans="1:19" x14ac:dyDescent="0.75">
      <c r="A143" s="1">
        <v>45364</v>
      </c>
      <c r="B143">
        <v>0.17405819495987901</v>
      </c>
      <c r="C143">
        <v>-6.1668800305793798</v>
      </c>
      <c r="D143">
        <v>10.5362449549923</v>
      </c>
      <c r="E143" t="s">
        <v>21</v>
      </c>
      <c r="F143">
        <v>-5.9928218356195098</v>
      </c>
      <c r="G143">
        <v>6.7887500000000003</v>
      </c>
      <c r="H143">
        <v>61.02</v>
      </c>
      <c r="I143">
        <v>6.7137500000000001</v>
      </c>
      <c r="J143">
        <v>0.19695573285085999</v>
      </c>
      <c r="K143">
        <v>87.509585176106796</v>
      </c>
      <c r="L143">
        <v>27.788465759572698</v>
      </c>
      <c r="M143">
        <v>0.20442659452876899</v>
      </c>
      <c r="N143">
        <v>7560.82815921563</v>
      </c>
      <c r="O143">
        <v>2400.9234416270901</v>
      </c>
      <c r="P143">
        <v>17662.457767285599</v>
      </c>
      <c r="Q143">
        <v>1173.4465637344399</v>
      </c>
      <c r="R143">
        <v>2.1734497547755698</v>
      </c>
      <c r="S143">
        <v>2550.4271461908502</v>
      </c>
    </row>
    <row r="144" spans="1:19" x14ac:dyDescent="0.75">
      <c r="A144" s="1">
        <v>45367</v>
      </c>
      <c r="B144">
        <v>0.225596368714297</v>
      </c>
      <c r="C144">
        <v>-6.9671758528370598</v>
      </c>
      <c r="D144">
        <v>12.9128300386538</v>
      </c>
      <c r="E144" t="s">
        <v>21</v>
      </c>
      <c r="F144">
        <v>-6.7415794841227701</v>
      </c>
      <c r="G144">
        <v>6.21</v>
      </c>
      <c r="H144">
        <v>65.55</v>
      </c>
      <c r="I144">
        <v>6.1368749999999999</v>
      </c>
      <c r="J144">
        <v>0.160002249852984</v>
      </c>
      <c r="K144">
        <v>59.780434632299901</v>
      </c>
      <c r="L144">
        <v>25.7072732061424</v>
      </c>
      <c r="M144">
        <v>0.174894547394574</v>
      </c>
      <c r="N144">
        <v>5165.0295522307097</v>
      </c>
      <c r="O144">
        <v>2221.1084050107002</v>
      </c>
      <c r="P144">
        <v>15110.888894891201</v>
      </c>
      <c r="Q144">
        <v>819.15600180288595</v>
      </c>
      <c r="R144">
        <v>2.13627279006232</v>
      </c>
      <c r="S144">
        <v>1749.94067746775</v>
      </c>
    </row>
    <row r="145" spans="1:19" x14ac:dyDescent="0.75">
      <c r="A145" s="1">
        <v>45368</v>
      </c>
      <c r="B145">
        <v>0.122834276983898</v>
      </c>
      <c r="C145">
        <v>-4.7882763606424801</v>
      </c>
      <c r="D145">
        <v>9.0073459701012801</v>
      </c>
      <c r="E145" t="s">
        <v>21</v>
      </c>
      <c r="F145">
        <v>-4.6654420836585802</v>
      </c>
      <c r="G145">
        <v>5.9533333333333296</v>
      </c>
      <c r="H145">
        <v>67.569999999999993</v>
      </c>
      <c r="I145">
        <v>5.8756250000000003</v>
      </c>
      <c r="J145">
        <v>0.153499869423981</v>
      </c>
      <c r="K145">
        <v>55.422577218433702</v>
      </c>
      <c r="L145">
        <v>24.988935265239299</v>
      </c>
      <c r="M145">
        <v>0.169521927029122</v>
      </c>
      <c r="N145">
        <v>4788.5106716726696</v>
      </c>
      <c r="O145">
        <v>2159.0440069166798</v>
      </c>
      <c r="P145">
        <v>14646.6944953162</v>
      </c>
      <c r="Q145">
        <v>1138.2582817129201</v>
      </c>
      <c r="R145">
        <v>2.12986867503944</v>
      </c>
      <c r="S145">
        <v>2424.3406583245801</v>
      </c>
    </row>
    <row r="146" spans="1:19" x14ac:dyDescent="0.75">
      <c r="A146" s="1">
        <v>45369</v>
      </c>
      <c r="B146">
        <v>2.6764737535249501E-2</v>
      </c>
      <c r="C146">
        <v>-2.6779334638594099</v>
      </c>
      <c r="D146">
        <v>5.3342775513439502</v>
      </c>
      <c r="E146" t="s">
        <v>21</v>
      </c>
      <c r="F146">
        <v>-2.6511687263241601</v>
      </c>
      <c r="G146">
        <v>5.8920833333333302</v>
      </c>
      <c r="H146">
        <v>68.069999999999993</v>
      </c>
      <c r="I146">
        <v>5.8656249999999996</v>
      </c>
      <c r="J146">
        <v>0.14817173376771001</v>
      </c>
      <c r="K146">
        <v>51.936624015028798</v>
      </c>
      <c r="L146">
        <v>24.2628476556776</v>
      </c>
      <c r="M146">
        <v>0.16508773275535099</v>
      </c>
      <c r="N146">
        <v>4487.3243148984902</v>
      </c>
      <c r="O146">
        <v>2096.3100374505402</v>
      </c>
      <c r="P146">
        <v>14263.580110062399</v>
      </c>
      <c r="Q146">
        <v>1871.7635107922099</v>
      </c>
      <c r="R146">
        <v>2.1232129305504901</v>
      </c>
      <c r="S146">
        <v>3974.1524890466098</v>
      </c>
    </row>
    <row r="147" spans="1:19" x14ac:dyDescent="0.75">
      <c r="A147" s="1">
        <v>45370</v>
      </c>
      <c r="B147">
        <v>1.9294311431083899E-2</v>
      </c>
      <c r="C147">
        <v>-1.27113390867298</v>
      </c>
      <c r="D147">
        <v>3.57857679851878</v>
      </c>
      <c r="E147" t="s">
        <v>21</v>
      </c>
      <c r="F147">
        <v>-1.2518395972419001</v>
      </c>
      <c r="G147">
        <v>6.7649999999999997</v>
      </c>
      <c r="H147">
        <v>65.52</v>
      </c>
      <c r="I147">
        <v>6.6268750000000001</v>
      </c>
      <c r="J147">
        <v>0.14323403449837199</v>
      </c>
      <c r="K147">
        <v>48.866653451996399</v>
      </c>
      <c r="L147">
        <v>23.530817760689001</v>
      </c>
      <c r="M147">
        <v>0.16091515695448599</v>
      </c>
      <c r="N147">
        <v>4222.0788582524901</v>
      </c>
      <c r="O147">
        <v>2033.06265452353</v>
      </c>
      <c r="P147">
        <v>13903.0695608676</v>
      </c>
      <c r="Q147">
        <v>2719.55842798612</v>
      </c>
      <c r="R147">
        <v>2.12016382434373</v>
      </c>
      <c r="S147">
        <v>5765.9093972052797</v>
      </c>
    </row>
    <row r="148" spans="1:19" x14ac:dyDescent="0.75">
      <c r="A148" s="1">
        <v>45371</v>
      </c>
      <c r="B148">
        <v>5.5867266017437002E-2</v>
      </c>
      <c r="C148">
        <v>-2.9629094597237402</v>
      </c>
      <c r="D148">
        <v>8.8914689757568794</v>
      </c>
      <c r="E148" t="s">
        <v>21</v>
      </c>
      <c r="F148">
        <v>-2.9070421937063098</v>
      </c>
      <c r="G148">
        <v>7.55833333333333</v>
      </c>
      <c r="H148">
        <v>57.13</v>
      </c>
      <c r="I148">
        <v>7.4393750000000001</v>
      </c>
      <c r="J148">
        <v>0.13270105888696601</v>
      </c>
      <c r="K148">
        <v>42.499636174679502</v>
      </c>
      <c r="L148">
        <v>22.793912464819499</v>
      </c>
      <c r="M148">
        <v>0.151937125977361</v>
      </c>
      <c r="N148">
        <v>3671.9685654923101</v>
      </c>
      <c r="O148">
        <v>1969.3940369604099</v>
      </c>
      <c r="P148">
        <v>13127.367684444</v>
      </c>
      <c r="Q148">
        <v>1033.48022741412</v>
      </c>
      <c r="R148">
        <v>2.10788501669759</v>
      </c>
      <c r="S148">
        <v>2178.4574864194401</v>
      </c>
    </row>
    <row r="149" spans="1:19" x14ac:dyDescent="0.75">
      <c r="A149" s="1">
        <v>45372</v>
      </c>
      <c r="B149">
        <v>0.14924486154531499</v>
      </c>
      <c r="C149">
        <v>-4.0146367726533096</v>
      </c>
      <c r="D149">
        <v>12.2229498059171</v>
      </c>
      <c r="E149" t="s">
        <v>21</v>
      </c>
      <c r="F149">
        <v>-3.865391911108</v>
      </c>
      <c r="G149">
        <v>7.4891666666666703</v>
      </c>
      <c r="H149">
        <v>57.42</v>
      </c>
      <c r="I149">
        <v>7.3756250000000003</v>
      </c>
      <c r="J149">
        <v>0.123392233451134</v>
      </c>
      <c r="K149">
        <v>37.215422439882403</v>
      </c>
      <c r="L149">
        <v>22.053216959097</v>
      </c>
      <c r="M149">
        <v>0.14385129455627799</v>
      </c>
      <c r="N149">
        <v>3215.4124988058402</v>
      </c>
      <c r="O149">
        <v>1905.3979452659801</v>
      </c>
      <c r="P149">
        <v>12428.7518496624</v>
      </c>
      <c r="Q149">
        <v>711.78614269952698</v>
      </c>
      <c r="R149">
        <v>2.09662786447733</v>
      </c>
      <c r="S149">
        <v>1492.35066033267</v>
      </c>
    </row>
    <row r="150" spans="1:19" x14ac:dyDescent="0.75">
      <c r="A150" s="1">
        <v>45374</v>
      </c>
      <c r="B150">
        <v>0.26072127635227499</v>
      </c>
      <c r="C150">
        <v>-5.0734484022435398</v>
      </c>
      <c r="D150">
        <v>7.3108790691143799</v>
      </c>
      <c r="E150" t="s">
        <v>21</v>
      </c>
      <c r="F150">
        <v>-4.8127271258912598</v>
      </c>
      <c r="G150">
        <v>6.2533333333333303</v>
      </c>
      <c r="H150">
        <v>62.67</v>
      </c>
      <c r="I150">
        <v>6.2112499999999997</v>
      </c>
      <c r="J150">
        <v>0.19023024591503701</v>
      </c>
      <c r="K150">
        <v>82.235467147014006</v>
      </c>
      <c r="L150">
        <v>20.564846592434499</v>
      </c>
      <c r="M150">
        <v>0.19912483107759399</v>
      </c>
      <c r="N150">
        <v>7105.1443615020098</v>
      </c>
      <c r="O150">
        <v>1776.8027455863401</v>
      </c>
      <c r="P150">
        <v>17204.385405104102</v>
      </c>
      <c r="Q150">
        <v>1647.2806716842299</v>
      </c>
      <c r="R150">
        <v>2.17097175957166</v>
      </c>
      <c r="S150">
        <v>3576.1998183147002</v>
      </c>
    </row>
    <row r="151" spans="1:19" x14ac:dyDescent="0.75">
      <c r="A151" s="1">
        <v>45375</v>
      </c>
      <c r="B151">
        <v>0.111083749368229</v>
      </c>
      <c r="C151">
        <v>-4.2547990213585702</v>
      </c>
      <c r="D151">
        <v>6.4574774889205599</v>
      </c>
      <c r="E151" t="s">
        <v>21</v>
      </c>
      <c r="F151">
        <v>-4.1437152719903398</v>
      </c>
      <c r="G151">
        <v>6.4445833333333304</v>
      </c>
      <c r="H151">
        <v>63.75</v>
      </c>
      <c r="I151">
        <v>6.3849999999999998</v>
      </c>
      <c r="J151">
        <v>0.211334360092962</v>
      </c>
      <c r="K151">
        <v>99.472672700788905</v>
      </c>
      <c r="L151">
        <v>19.819223850688299</v>
      </c>
      <c r="M151">
        <v>0.215562477634195</v>
      </c>
      <c r="N151">
        <v>8594.4389213481609</v>
      </c>
      <c r="O151">
        <v>1712.3809406994701</v>
      </c>
      <c r="P151">
        <v>18624.598067594401</v>
      </c>
      <c r="Q151">
        <v>2018.9336578694599</v>
      </c>
      <c r="R151">
        <v>2.1835367575119999</v>
      </c>
      <c r="S151">
        <v>4408.4158529361102</v>
      </c>
    </row>
    <row r="152" spans="1:19" x14ac:dyDescent="0.75">
      <c r="A152" s="1">
        <v>45376</v>
      </c>
      <c r="B152">
        <v>0.17445968125152</v>
      </c>
      <c r="C152">
        <v>-7.2616255183355101</v>
      </c>
      <c r="D152">
        <v>12.368103073258901</v>
      </c>
      <c r="E152" t="s">
        <v>21</v>
      </c>
      <c r="F152">
        <v>-7.0871658370839903</v>
      </c>
      <c r="G152">
        <v>6.6995833333333303</v>
      </c>
      <c r="H152">
        <v>61.02</v>
      </c>
      <c r="I152">
        <v>6.6356250000000001</v>
      </c>
      <c r="J152">
        <v>0.19217278226764301</v>
      </c>
      <c r="K152">
        <v>83.654165289531804</v>
      </c>
      <c r="L152">
        <v>19.073824049997</v>
      </c>
      <c r="M152">
        <v>0.20068685520930399</v>
      </c>
      <c r="N152">
        <v>7227.7198810155496</v>
      </c>
      <c r="O152">
        <v>1647.97839791974</v>
      </c>
      <c r="P152">
        <v>17339.3442900839</v>
      </c>
      <c r="Q152">
        <v>981.35833208742804</v>
      </c>
      <c r="R152">
        <v>2.16908596709836</v>
      </c>
      <c r="S152">
        <v>2128.6505868258901</v>
      </c>
    </row>
    <row r="153" spans="1:19" x14ac:dyDescent="0.75">
      <c r="A153" s="1">
        <v>45379</v>
      </c>
      <c r="B153">
        <v>0.114126106885821</v>
      </c>
      <c r="C153">
        <v>-7.4441202245955598</v>
      </c>
      <c r="D153">
        <v>10.0827179944097</v>
      </c>
      <c r="E153" t="s">
        <v>21</v>
      </c>
      <c r="F153">
        <v>-7.3299941177097301</v>
      </c>
      <c r="G153">
        <v>5.9920833333333299</v>
      </c>
      <c r="H153">
        <v>65.23</v>
      </c>
      <c r="I153">
        <v>5.96533333333333</v>
      </c>
      <c r="J153">
        <v>0.20503453688725601</v>
      </c>
      <c r="K153">
        <v>94.323310019497796</v>
      </c>
      <c r="L153">
        <v>16.861609544359499</v>
      </c>
      <c r="M153">
        <v>0.21065648531355799</v>
      </c>
      <c r="N153">
        <v>8149.5339856846103</v>
      </c>
      <c r="O153">
        <v>1456.8430646326599</v>
      </c>
      <c r="P153">
        <v>18200.720331091401</v>
      </c>
      <c r="Q153">
        <v>1263.5981923552699</v>
      </c>
      <c r="R153">
        <v>2.1838217001603999</v>
      </c>
      <c r="S153">
        <v>2759.4731527488898</v>
      </c>
    </row>
    <row r="154" spans="1:19" x14ac:dyDescent="0.75">
      <c r="A154" s="1">
        <v>45381</v>
      </c>
      <c r="B154">
        <v>2.4969389801380901E-2</v>
      </c>
      <c r="C154">
        <v>-2.8467911054003499</v>
      </c>
      <c r="D154">
        <v>6.0615716511444599</v>
      </c>
      <c r="E154" t="s">
        <v>21</v>
      </c>
      <c r="F154">
        <v>-2.82182171559896</v>
      </c>
      <c r="G154">
        <v>6.7904166666666699</v>
      </c>
      <c r="H154">
        <v>61.05</v>
      </c>
      <c r="I154">
        <v>6.6793333333333296</v>
      </c>
      <c r="J154">
        <v>0.16350737049958999</v>
      </c>
      <c r="K154">
        <v>62.318664649781702</v>
      </c>
      <c r="L154">
        <v>15.5072428643691</v>
      </c>
      <c r="M154">
        <v>0.177723435346541</v>
      </c>
      <c r="N154">
        <v>5384.33262574114</v>
      </c>
      <c r="O154">
        <v>1339.8257834814899</v>
      </c>
      <c r="P154">
        <v>15355.3048139411</v>
      </c>
      <c r="Q154">
        <v>1773.2551866691799</v>
      </c>
      <c r="R154">
        <v>2.1445496483428301</v>
      </c>
      <c r="S154">
        <v>3802.8337869934899</v>
      </c>
    </row>
    <row r="155" spans="1:19" x14ac:dyDescent="0.75">
      <c r="A155" s="1">
        <v>45382</v>
      </c>
      <c r="B155">
        <v>0.102428028263087</v>
      </c>
      <c r="C155">
        <v>-4.9471953489367104</v>
      </c>
      <c r="D155">
        <v>11.352545742328299</v>
      </c>
      <c r="E155" t="s">
        <v>21</v>
      </c>
      <c r="F155">
        <v>-4.8447673206736201</v>
      </c>
      <c r="G155">
        <v>6.7529166666666702</v>
      </c>
      <c r="H155">
        <v>61.27</v>
      </c>
      <c r="I155">
        <v>6.64333333333333</v>
      </c>
      <c r="J155">
        <v>0.145280156014857</v>
      </c>
      <c r="K155">
        <v>50.1616679337831</v>
      </c>
      <c r="L155">
        <v>14.839215600786799</v>
      </c>
      <c r="M155">
        <v>0.16263529985272801</v>
      </c>
      <c r="N155">
        <v>4333.9681094788602</v>
      </c>
      <c r="O155">
        <v>1282.1082279079801</v>
      </c>
      <c r="P155">
        <v>14051.689907275701</v>
      </c>
      <c r="Q155">
        <v>866.42971174461002</v>
      </c>
      <c r="R155">
        <v>2.12300421573245</v>
      </c>
      <c r="S155">
        <v>1839.43393066966</v>
      </c>
    </row>
    <row r="156" spans="1:19" x14ac:dyDescent="0.75">
      <c r="A156" s="1">
        <v>45383</v>
      </c>
      <c r="B156">
        <v>0.21770722908246801</v>
      </c>
      <c r="C156">
        <v>-6.7297433476805502</v>
      </c>
      <c r="D156">
        <v>15.463962807592701</v>
      </c>
      <c r="E156" t="s">
        <v>21</v>
      </c>
      <c r="F156">
        <v>-6.51203611859808</v>
      </c>
      <c r="G156">
        <v>6.4349999999999996</v>
      </c>
      <c r="H156">
        <v>63.39</v>
      </c>
      <c r="I156">
        <v>6.3366666666666696</v>
      </c>
      <c r="J156">
        <v>0.133854754376175</v>
      </c>
      <c r="K156">
        <v>43.163510981991003</v>
      </c>
      <c r="L156">
        <v>14.157358171766001</v>
      </c>
      <c r="M156">
        <v>0.152934896368911</v>
      </c>
      <c r="N156">
        <v>3729.32734884402</v>
      </c>
      <c r="O156">
        <v>1223.1957460405899</v>
      </c>
      <c r="P156">
        <v>13213.5750462739</v>
      </c>
      <c r="Q156">
        <v>598.13274562780998</v>
      </c>
      <c r="R156">
        <v>2.1085134174601001</v>
      </c>
      <c r="S156">
        <v>1261.1709195784899</v>
      </c>
    </row>
    <row r="157" spans="1:19" x14ac:dyDescent="0.75">
      <c r="A157" s="1">
        <v>45384</v>
      </c>
      <c r="B157">
        <v>0.24273530976787799</v>
      </c>
      <c r="C157">
        <v>-7.3477713463856098</v>
      </c>
      <c r="D157">
        <v>16.319371518245799</v>
      </c>
      <c r="E157" t="s">
        <v>21</v>
      </c>
      <c r="F157">
        <v>-7.1050360366177303</v>
      </c>
      <c r="G157">
        <v>6.0779166666666704</v>
      </c>
      <c r="H157">
        <v>65.41</v>
      </c>
      <c r="I157">
        <v>5.9946666666666699</v>
      </c>
      <c r="J157">
        <v>0.12763712830456</v>
      </c>
      <c r="K157">
        <v>39.5500822758288</v>
      </c>
      <c r="L157">
        <v>13.4538510056426</v>
      </c>
      <c r="M157">
        <v>0.14757291063473699</v>
      </c>
      <c r="N157">
        <v>3417.1271086316101</v>
      </c>
      <c r="O157">
        <v>1162.41272688752</v>
      </c>
      <c r="P157">
        <v>12750.2994788413</v>
      </c>
      <c r="Q157">
        <v>546.908906706984</v>
      </c>
      <c r="R157">
        <v>2.0997313074205302</v>
      </c>
      <c r="S157">
        <v>1148.3617537197899</v>
      </c>
    </row>
    <row r="158" spans="1:19" x14ac:dyDescent="0.75">
      <c r="A158" s="1">
        <v>45386</v>
      </c>
      <c r="B158">
        <v>8.0803704776076499E-2</v>
      </c>
      <c r="C158">
        <v>-3.8888811073706799</v>
      </c>
      <c r="D158">
        <v>2.74392562701015</v>
      </c>
      <c r="E158" t="s">
        <v>21</v>
      </c>
      <c r="F158">
        <v>-3.8080774025945998</v>
      </c>
      <c r="G158">
        <v>5.1020833333333302</v>
      </c>
      <c r="H158">
        <v>65.73</v>
      </c>
      <c r="I158">
        <v>5.0606666666666698</v>
      </c>
      <c r="J158">
        <v>0.346721846777027</v>
      </c>
      <c r="K158">
        <v>246.345896533591</v>
      </c>
      <c r="L158">
        <v>11.9521809271571</v>
      </c>
      <c r="M158">
        <v>0.31266367474983098</v>
      </c>
      <c r="N158">
        <v>21284.2854605022</v>
      </c>
      <c r="O158">
        <v>1032.6684321063699</v>
      </c>
      <c r="P158">
        <v>27014.141498385401</v>
      </c>
      <c r="Q158">
        <v>6891.54941472465</v>
      </c>
      <c r="R158">
        <v>2.2724100295233001</v>
      </c>
      <c r="S158">
        <v>15660.426008975701</v>
      </c>
    </row>
    <row r="159" spans="1:19" x14ac:dyDescent="0.75">
      <c r="A159" s="1">
        <v>45387</v>
      </c>
      <c r="B159">
        <v>7.6874419960267407E-2</v>
      </c>
      <c r="C159">
        <v>-4.6791656226386804</v>
      </c>
      <c r="D159">
        <v>4.1647310963709998</v>
      </c>
      <c r="E159" t="s">
        <v>21</v>
      </c>
      <c r="F159">
        <v>-4.6022912026784102</v>
      </c>
      <c r="G159">
        <v>5.7508333333333299</v>
      </c>
      <c r="H159">
        <v>62.46</v>
      </c>
      <c r="I159">
        <v>5.6773333333333298</v>
      </c>
      <c r="J159">
        <v>0.30324249845469398</v>
      </c>
      <c r="K159">
        <v>192.835903893546</v>
      </c>
      <c r="L159">
        <v>11.1503131646665</v>
      </c>
      <c r="M159">
        <v>0.28270858203028398</v>
      </c>
      <c r="N159">
        <v>16661.022096402401</v>
      </c>
      <c r="O159">
        <v>963.38705742718503</v>
      </c>
      <c r="P159">
        <v>24426.021487416601</v>
      </c>
      <c r="Q159">
        <v>4105.4787561411604</v>
      </c>
      <c r="R159">
        <v>2.2493593343183802</v>
      </c>
      <c r="S159">
        <v>9234.6969619719293</v>
      </c>
    </row>
    <row r="160" spans="1:19" x14ac:dyDescent="0.75">
      <c r="A160" s="1">
        <v>45388</v>
      </c>
      <c r="B160">
        <v>8.0353462269307202E-2</v>
      </c>
      <c r="C160">
        <v>-4.1038918496017098</v>
      </c>
      <c r="D160">
        <v>4.5954691218163601</v>
      </c>
      <c r="E160" t="s">
        <v>21</v>
      </c>
      <c r="F160">
        <v>-4.0235383873324002</v>
      </c>
      <c r="G160">
        <v>6.1595833333333303</v>
      </c>
      <c r="H160">
        <v>62.1</v>
      </c>
      <c r="I160">
        <v>6.0940000000000003</v>
      </c>
      <c r="J160">
        <v>0.26420179537328797</v>
      </c>
      <c r="K160">
        <v>149.83501886059</v>
      </c>
      <c r="L160">
        <v>10.3258471442496</v>
      </c>
      <c r="M160">
        <v>0.25490127334977197</v>
      </c>
      <c r="N160">
        <v>12945.7456295549</v>
      </c>
      <c r="O160">
        <v>892.15319326316205</v>
      </c>
      <c r="P160">
        <v>22023.470017420299</v>
      </c>
      <c r="Q160">
        <v>3354.70190388328</v>
      </c>
      <c r="R160">
        <v>2.2248746992297601</v>
      </c>
      <c r="S160">
        <v>7463.7913894078101</v>
      </c>
    </row>
    <row r="161" spans="1:19" x14ac:dyDescent="0.75">
      <c r="A161" s="1">
        <v>45389</v>
      </c>
      <c r="B161">
        <v>6.1134107614131801E-2</v>
      </c>
      <c r="C161">
        <v>-3.95452627814633</v>
      </c>
      <c r="D161">
        <v>5.2785058811140697</v>
      </c>
      <c r="E161" t="s">
        <v>21</v>
      </c>
      <c r="F161">
        <v>-3.8933921705321999</v>
      </c>
      <c r="G161">
        <v>6.4016666666666699</v>
      </c>
      <c r="H161">
        <v>61.2</v>
      </c>
      <c r="I161">
        <v>6.3713333333333297</v>
      </c>
      <c r="J161">
        <v>0.22878363741575999</v>
      </c>
      <c r="K161">
        <v>115.17419837286199</v>
      </c>
      <c r="L161">
        <v>9.6600689380535396</v>
      </c>
      <c r="M161">
        <v>0.2287638005464</v>
      </c>
      <c r="N161">
        <v>9951.0507394152701</v>
      </c>
      <c r="O161">
        <v>834.62995624782604</v>
      </c>
      <c r="P161">
        <v>19765.1923672089</v>
      </c>
      <c r="Q161">
        <v>2621.1270705501402</v>
      </c>
      <c r="R161">
        <v>2.2006092524344099</v>
      </c>
      <c r="S161">
        <v>5768.0764832589603</v>
      </c>
    </row>
    <row r="162" spans="1:19" x14ac:dyDescent="0.75">
      <c r="A162" s="1">
        <v>45390</v>
      </c>
      <c r="B162">
        <v>4.5394583527892003E-2</v>
      </c>
      <c r="C162">
        <v>-1.8018839074516699</v>
      </c>
      <c r="D162">
        <v>2.3104077108700101</v>
      </c>
      <c r="E162" t="s">
        <v>21</v>
      </c>
      <c r="F162">
        <v>-1.75648932392378</v>
      </c>
      <c r="G162">
        <v>5.9737499999999999</v>
      </c>
      <c r="H162">
        <v>61.88</v>
      </c>
      <c r="I162">
        <v>5.9153333333333302</v>
      </c>
      <c r="J162">
        <v>0.20147951083780999</v>
      </c>
      <c r="K162">
        <v>91.244561427799198</v>
      </c>
      <c r="L162">
        <v>9.4062765913982709</v>
      </c>
      <c r="M162">
        <v>0.20793831196274001</v>
      </c>
      <c r="N162">
        <v>7883.5301073618502</v>
      </c>
      <c r="O162">
        <v>812.70229749681096</v>
      </c>
      <c r="P162">
        <v>17965.870153580701</v>
      </c>
      <c r="Q162">
        <v>5443.24235429894</v>
      </c>
      <c r="R162">
        <v>2.1779183106881401</v>
      </c>
      <c r="S162">
        <v>11854.937192940901</v>
      </c>
    </row>
    <row r="163" spans="1:19" x14ac:dyDescent="0.75">
      <c r="A163" s="1">
        <v>45392</v>
      </c>
      <c r="B163">
        <v>0.15126436570379401</v>
      </c>
      <c r="C163">
        <v>-0.22305901691559199</v>
      </c>
      <c r="D163">
        <v>0.24168486589805499</v>
      </c>
      <c r="E163" t="s">
        <v>21</v>
      </c>
      <c r="F163">
        <v>-7.1794651211798496E-2</v>
      </c>
      <c r="G163">
        <v>5.0258333333333303</v>
      </c>
      <c r="H163">
        <v>64.87</v>
      </c>
      <c r="I163">
        <v>5.2033333333333296</v>
      </c>
      <c r="J163">
        <v>0.16498985452516399</v>
      </c>
      <c r="K163">
        <v>63.270074090727803</v>
      </c>
      <c r="L163">
        <v>8.8405921659393698</v>
      </c>
      <c r="M163">
        <v>0.17896278610805999</v>
      </c>
      <c r="N163">
        <v>5466.5344014388802</v>
      </c>
      <c r="O163">
        <v>763.82716313716105</v>
      </c>
      <c r="P163">
        <v>15462.384719736399</v>
      </c>
      <c r="Q163">
        <v>44784.224546277503</v>
      </c>
      <c r="R163">
        <v>2.14278388292013</v>
      </c>
      <c r="S163">
        <v>95962.914566839594</v>
      </c>
    </row>
    <row r="164" spans="1:19" x14ac:dyDescent="0.75">
      <c r="A164" s="1">
        <v>45401</v>
      </c>
      <c r="B164">
        <v>0.122011272139969</v>
      </c>
      <c r="C164">
        <v>-5.9448675852389403</v>
      </c>
      <c r="D164">
        <v>14.9274991252326</v>
      </c>
      <c r="E164" t="s">
        <v>21</v>
      </c>
      <c r="F164">
        <v>-5.8228563130989697</v>
      </c>
      <c r="G164">
        <v>5.4445833333333304</v>
      </c>
      <c r="H164">
        <v>69.69</v>
      </c>
      <c r="I164">
        <v>5.33266666666667</v>
      </c>
      <c r="J164">
        <v>0.10307779888287</v>
      </c>
      <c r="K164">
        <v>26.811091118414399</v>
      </c>
      <c r="L164">
        <v>5.4234425562409401</v>
      </c>
      <c r="M164">
        <v>0.12564556748533201</v>
      </c>
      <c r="N164">
        <v>2316.47827263101</v>
      </c>
      <c r="O164">
        <v>468.585436859217</v>
      </c>
      <c r="P164">
        <v>10855.777030732601</v>
      </c>
      <c r="Q164">
        <v>509.06343103834803</v>
      </c>
      <c r="R164">
        <v>2.0701517418429201</v>
      </c>
      <c r="S164">
        <v>1053.83854847257</v>
      </c>
    </row>
    <row r="165" spans="1:19" x14ac:dyDescent="0.75">
      <c r="A165" s="1">
        <v>45402</v>
      </c>
      <c r="B165">
        <v>0.18584529032879901</v>
      </c>
      <c r="C165">
        <v>-5.9219766812078403</v>
      </c>
      <c r="D165">
        <v>15.5615912418832</v>
      </c>
      <c r="E165" t="s">
        <v>21</v>
      </c>
      <c r="F165">
        <v>-5.7361313908790397</v>
      </c>
      <c r="G165">
        <v>5.2383333333333297</v>
      </c>
      <c r="H165">
        <v>70.63</v>
      </c>
      <c r="I165">
        <v>5.11466666666667</v>
      </c>
      <c r="J165">
        <v>9.2600599898169503E-2</v>
      </c>
      <c r="K165">
        <v>22.042095498807999</v>
      </c>
      <c r="L165">
        <v>4.98531532971601</v>
      </c>
      <c r="M165">
        <v>0.11591900054075201</v>
      </c>
      <c r="N165">
        <v>1904.43705109701</v>
      </c>
      <c r="O165">
        <v>430.73124448746302</v>
      </c>
      <c r="P165">
        <v>10015.4016467209</v>
      </c>
      <c r="Q165">
        <v>450.51826922657602</v>
      </c>
      <c r="R165">
        <v>2.0534515079854399</v>
      </c>
      <c r="S165">
        <v>925.11741931830102</v>
      </c>
    </row>
    <row r="166" spans="1:19" x14ac:dyDescent="0.75">
      <c r="A166" s="1">
        <v>45403</v>
      </c>
      <c r="B166">
        <v>0.115061642417692</v>
      </c>
      <c r="C166">
        <v>-3.1959033343665402</v>
      </c>
      <c r="D166">
        <v>8.7888297483575801</v>
      </c>
      <c r="E166" t="s">
        <v>21</v>
      </c>
      <c r="F166">
        <v>-3.0808416919488502</v>
      </c>
      <c r="G166">
        <v>5.1754166666666697</v>
      </c>
      <c r="H166">
        <v>71.349999999999994</v>
      </c>
      <c r="I166">
        <v>5.0433333333333303</v>
      </c>
      <c r="J166">
        <v>8.6617822781100001E-2</v>
      </c>
      <c r="K166">
        <v>19.487857197469999</v>
      </c>
      <c r="L166">
        <v>4.5416224235296898</v>
      </c>
      <c r="M166">
        <v>0.110257938077719</v>
      </c>
      <c r="N166">
        <v>1683.7508618614099</v>
      </c>
      <c r="O166">
        <v>392.396177392965</v>
      </c>
      <c r="P166">
        <v>9526.2858499149006</v>
      </c>
      <c r="Q166">
        <v>758.73583695105594</v>
      </c>
      <c r="R166">
        <v>2.0405486752458399</v>
      </c>
      <c r="S166">
        <v>1548.2374069520199</v>
      </c>
    </row>
    <row r="167" spans="1:19" x14ac:dyDescent="0.75">
      <c r="A167" s="1">
        <v>45404</v>
      </c>
      <c r="B167">
        <v>2.3317842184066798E-2</v>
      </c>
      <c r="C167">
        <v>-1.42438511484963</v>
      </c>
      <c r="D167">
        <v>4.58088737815992</v>
      </c>
      <c r="E167" t="s">
        <v>21</v>
      </c>
      <c r="F167">
        <v>-1.40106727266557</v>
      </c>
      <c r="G167">
        <v>5.51833333333333</v>
      </c>
      <c r="H167">
        <v>69.84</v>
      </c>
      <c r="I167">
        <v>5.3686666666666696</v>
      </c>
      <c r="J167">
        <v>8.6503333915758707E-2</v>
      </c>
      <c r="K167">
        <v>19.424823263788401</v>
      </c>
      <c r="L167">
        <v>4.0942815921284703</v>
      </c>
      <c r="M167">
        <v>0.110159789930903</v>
      </c>
      <c r="N167">
        <v>1678.3047299913201</v>
      </c>
      <c r="O167">
        <v>353.74592955989999</v>
      </c>
      <c r="P167">
        <v>9517.8058500299903</v>
      </c>
      <c r="Q167">
        <v>1454.4046917165699</v>
      </c>
      <c r="R167">
        <v>2.0384550117818598</v>
      </c>
      <c r="S167">
        <v>2964.7385329886802</v>
      </c>
    </row>
    <row r="168" spans="1:19" x14ac:dyDescent="0.75">
      <c r="A168" s="1">
        <v>45405</v>
      </c>
      <c r="B168">
        <v>0.167448777622796</v>
      </c>
      <c r="C168">
        <v>-3.24830478978823</v>
      </c>
      <c r="D168">
        <v>11.518864696265901</v>
      </c>
      <c r="E168" t="s">
        <v>21</v>
      </c>
      <c r="F168">
        <v>-3.08085601216544</v>
      </c>
      <c r="G168">
        <v>6.1983333333333297</v>
      </c>
      <c r="H168">
        <v>64.58</v>
      </c>
      <c r="I168">
        <v>5.9826666666666704</v>
      </c>
      <c r="J168">
        <v>8.0746598917440099E-2</v>
      </c>
      <c r="K168">
        <v>17.1520306611995</v>
      </c>
      <c r="L168">
        <v>3.6443995003488898</v>
      </c>
      <c r="M168">
        <v>0.10458432523993599</v>
      </c>
      <c r="N168">
        <v>1481.9354491276399</v>
      </c>
      <c r="O168">
        <v>314.87611683014399</v>
      </c>
      <c r="P168">
        <v>9036.0857007304294</v>
      </c>
      <c r="Q168">
        <v>549.12182383406196</v>
      </c>
      <c r="R168">
        <v>2.0310691369085299</v>
      </c>
      <c r="S168">
        <v>1115.30438879229</v>
      </c>
    </row>
    <row r="169" spans="1:19" x14ac:dyDescent="0.75">
      <c r="A169" s="1">
        <v>45406</v>
      </c>
      <c r="B169">
        <v>0.168100565272088</v>
      </c>
      <c r="C169">
        <v>-2.8296825154063301</v>
      </c>
      <c r="D169">
        <v>10.823485164955599</v>
      </c>
      <c r="E169" t="s">
        <v>21</v>
      </c>
      <c r="F169">
        <v>-2.6615819501342401</v>
      </c>
      <c r="G169">
        <v>6.2312500000000002</v>
      </c>
      <c r="H169">
        <v>64.180000000000007</v>
      </c>
      <c r="I169">
        <v>6.0213333333333301</v>
      </c>
      <c r="J169">
        <v>7.4208991145255102E-2</v>
      </c>
      <c r="K169">
        <v>14.7228979943706</v>
      </c>
      <c r="L169">
        <v>3.1973680614896001</v>
      </c>
      <c r="M169">
        <v>9.8133969993005193E-2</v>
      </c>
      <c r="N169">
        <v>1272.0583867136199</v>
      </c>
      <c r="O169">
        <v>276.25260051270101</v>
      </c>
      <c r="P169">
        <v>8478.7750073956504</v>
      </c>
      <c r="Q169">
        <v>548.35779924139797</v>
      </c>
      <c r="R169">
        <v>2.0217032402263602</v>
      </c>
      <c r="S169">
        <v>1108.61673952973</v>
      </c>
    </row>
    <row r="170" spans="1:19" x14ac:dyDescent="0.75">
      <c r="A170" s="1">
        <v>45407</v>
      </c>
      <c r="B170">
        <v>0.190356129745783</v>
      </c>
      <c r="C170">
        <v>-2.51915749213271</v>
      </c>
      <c r="D170">
        <v>9.6274841262010007</v>
      </c>
      <c r="E170" t="s">
        <v>21</v>
      </c>
      <c r="F170">
        <v>-2.3288013623869199</v>
      </c>
      <c r="G170">
        <v>5.9524999999999997</v>
      </c>
      <c r="H170">
        <v>65.05</v>
      </c>
      <c r="I170">
        <v>5.7393333333333301</v>
      </c>
      <c r="J170">
        <v>6.6781892957725297E-2</v>
      </c>
      <c r="K170">
        <v>12.1343106474599</v>
      </c>
      <c r="L170">
        <v>2.7809377914192202</v>
      </c>
      <c r="M170">
        <v>9.0662669182536501E-2</v>
      </c>
      <c r="N170">
        <v>1048.40443994053</v>
      </c>
      <c r="O170">
        <v>240.273025178621</v>
      </c>
      <c r="P170">
        <v>7833.2546173711598</v>
      </c>
      <c r="Q170">
        <v>569.54425063524002</v>
      </c>
      <c r="R170">
        <v>2.0041392012902399</v>
      </c>
      <c r="S170">
        <v>1141.4459595675601</v>
      </c>
    </row>
    <row r="171" spans="1:19" x14ac:dyDescent="0.75">
      <c r="A171" s="1">
        <v>45408</v>
      </c>
      <c r="B171">
        <v>0.10501029816895199</v>
      </c>
      <c r="C171">
        <v>-1.55736636433576</v>
      </c>
      <c r="D171">
        <v>6.1730112745886396</v>
      </c>
      <c r="E171" t="s">
        <v>21</v>
      </c>
      <c r="F171">
        <v>-1.45235606616681</v>
      </c>
      <c r="G171">
        <v>5.5108333333333297</v>
      </c>
      <c r="H171">
        <v>67.64</v>
      </c>
      <c r="I171">
        <v>5.3520000000000003</v>
      </c>
      <c r="J171">
        <v>6.0737467990087501E-2</v>
      </c>
      <c r="K171">
        <v>10.2151095635421</v>
      </c>
      <c r="L171">
        <v>2.3981192622712699</v>
      </c>
      <c r="M171">
        <v>8.4410305304356698E-2</v>
      </c>
      <c r="N171">
        <v>882.58546629003695</v>
      </c>
      <c r="O171">
        <v>207.19750426023799</v>
      </c>
      <c r="P171">
        <v>7293.0503782964197</v>
      </c>
      <c r="Q171">
        <v>827.00890014941604</v>
      </c>
      <c r="R171">
        <v>1.9924657963222701</v>
      </c>
      <c r="S171">
        <v>1647.78694680181</v>
      </c>
    </row>
    <row r="172" spans="1:19" x14ac:dyDescent="0.75">
      <c r="A172" s="1">
        <v>45409</v>
      </c>
      <c r="B172">
        <v>7.09849111605418E-2</v>
      </c>
      <c r="C172">
        <v>-1.3802319924536299</v>
      </c>
      <c r="D172">
        <v>5.1644040883239697</v>
      </c>
      <c r="E172" t="s">
        <v>21</v>
      </c>
      <c r="F172">
        <v>-1.3092470812930901</v>
      </c>
      <c r="G172">
        <v>5.25875</v>
      </c>
      <c r="H172">
        <v>67.959999999999994</v>
      </c>
      <c r="I172">
        <v>5.1646666666666698</v>
      </c>
      <c r="J172">
        <v>6.0449778020768202E-2</v>
      </c>
      <c r="K172">
        <v>10.077210660969399</v>
      </c>
      <c r="L172">
        <v>2.0489363492261599</v>
      </c>
      <c r="M172">
        <v>8.4160348308346997E-2</v>
      </c>
      <c r="N172">
        <v>870.671001107758</v>
      </c>
      <c r="O172">
        <v>177.02810057313999</v>
      </c>
      <c r="P172">
        <v>7271.4540938411801</v>
      </c>
      <c r="Q172">
        <v>985.59635896747204</v>
      </c>
      <c r="R172">
        <v>1.9807884858699201</v>
      </c>
      <c r="S172">
        <v>1952.25791955809</v>
      </c>
    </row>
    <row r="173" spans="1:19" x14ac:dyDescent="0.75">
      <c r="A173" s="1">
        <v>45410</v>
      </c>
      <c r="B173">
        <v>5.5141303076912299E-2</v>
      </c>
      <c r="C173">
        <v>-1.2514307527817401</v>
      </c>
      <c r="D173">
        <v>4.9158529869360903</v>
      </c>
      <c r="E173" t="s">
        <v>21</v>
      </c>
      <c r="F173">
        <v>-1.19628944970482</v>
      </c>
      <c r="G173">
        <v>5.2162499999999996</v>
      </c>
      <c r="H173">
        <v>68.36</v>
      </c>
      <c r="I173">
        <v>5.08</v>
      </c>
      <c r="J173">
        <v>5.9507446590650798E-2</v>
      </c>
      <c r="K173">
        <v>9.8357050312761594</v>
      </c>
      <c r="L173">
        <v>1.74300845000112</v>
      </c>
      <c r="M173">
        <v>8.3126414545654698E-2</v>
      </c>
      <c r="N173">
        <v>849.80491470226104</v>
      </c>
      <c r="O173">
        <v>150.59593008009699</v>
      </c>
      <c r="P173">
        <v>7182.1222167445603</v>
      </c>
      <c r="Q173">
        <v>1022.7086865863899</v>
      </c>
      <c r="R173">
        <v>1.98836052177311</v>
      </c>
      <c r="S173">
        <v>2033.5135776827999</v>
      </c>
    </row>
    <row r="174" spans="1:19" x14ac:dyDescent="0.75">
      <c r="A174" s="1">
        <v>45411</v>
      </c>
      <c r="B174">
        <v>9.0830677937594195E-2</v>
      </c>
      <c r="C174">
        <v>-1.11436146146384</v>
      </c>
      <c r="D174">
        <v>4.5717356580877402</v>
      </c>
      <c r="E174" t="s">
        <v>21</v>
      </c>
      <c r="F174">
        <v>-1.0235307835262499</v>
      </c>
      <c r="G174">
        <v>5.0625</v>
      </c>
      <c r="H174">
        <v>67.53</v>
      </c>
      <c r="I174">
        <v>4.8959999999999999</v>
      </c>
      <c r="J174">
        <v>5.1196729211640202E-2</v>
      </c>
      <c r="K174">
        <v>7.4839497557363899</v>
      </c>
      <c r="L174">
        <v>1.48195646564959</v>
      </c>
      <c r="M174">
        <v>7.4224372050013296E-2</v>
      </c>
      <c r="N174">
        <v>646.61325889562499</v>
      </c>
      <c r="O174">
        <v>128.04103863212401</v>
      </c>
      <c r="P174">
        <v>6412.9857451211501</v>
      </c>
      <c r="Q174">
        <v>981.92248137603303</v>
      </c>
      <c r="R174">
        <v>1.96943709997774</v>
      </c>
      <c r="S174">
        <v>1933.8345641241599</v>
      </c>
    </row>
    <row r="175" spans="1:19" x14ac:dyDescent="0.75">
      <c r="A175" s="1">
        <v>45412</v>
      </c>
      <c r="B175">
        <v>5.77583808954686E-2</v>
      </c>
      <c r="C175">
        <v>-0.71202261907069198</v>
      </c>
      <c r="D175">
        <v>3.0561724309145699</v>
      </c>
      <c r="E175" t="s">
        <v>21</v>
      </c>
      <c r="F175">
        <v>-0.65426423817522406</v>
      </c>
      <c r="G175">
        <v>4.5729166666666696</v>
      </c>
      <c r="H175">
        <v>69.150000000000006</v>
      </c>
      <c r="I175">
        <v>4.4566666666666697</v>
      </c>
      <c r="J175">
        <v>4.4342075350817502E-2</v>
      </c>
      <c r="K175">
        <v>5.7621175606943202</v>
      </c>
      <c r="L175">
        <v>1.26315250845604</v>
      </c>
      <c r="M175">
        <v>6.6612193587946594E-2</v>
      </c>
      <c r="N175">
        <v>497.84695724398898</v>
      </c>
      <c r="O175">
        <v>109.136376730602</v>
      </c>
      <c r="P175">
        <v>5755.2935259985798</v>
      </c>
      <c r="Q175">
        <v>1318.2192953011499</v>
      </c>
      <c r="R175">
        <v>1.9507982777722701</v>
      </c>
      <c r="S175">
        <v>2571.5799309996601</v>
      </c>
    </row>
    <row r="176" spans="1:19" x14ac:dyDescent="0.75">
      <c r="A176" s="1">
        <v>45413</v>
      </c>
      <c r="B176">
        <v>5.7038331366564402E-2</v>
      </c>
      <c r="C176">
        <v>-0.60929745403152702</v>
      </c>
      <c r="D176">
        <v>2.6191732184007201</v>
      </c>
      <c r="E176" t="s">
        <v>21</v>
      </c>
      <c r="F176">
        <v>-0.55225912266496202</v>
      </c>
      <c r="G176">
        <v>4.2020833333333298</v>
      </c>
      <c r="H176">
        <v>70.16</v>
      </c>
      <c r="I176">
        <v>4.1059999999999999</v>
      </c>
      <c r="J176">
        <v>4.0073695601936798E-2</v>
      </c>
      <c r="K176">
        <v>4.8034468655045197</v>
      </c>
      <c r="L176">
        <v>1.07782050405334</v>
      </c>
      <c r="M176">
        <v>6.17098966704357E-2</v>
      </c>
      <c r="N176">
        <v>415.01780917959098</v>
      </c>
      <c r="O176">
        <v>93.123691550208207</v>
      </c>
      <c r="P176">
        <v>5331.7350723256504</v>
      </c>
      <c r="Q176">
        <v>1424.95903837428</v>
      </c>
      <c r="R176">
        <v>1.9424004804480199</v>
      </c>
      <c r="S176">
        <v>2767.8411207569502</v>
      </c>
    </row>
    <row r="177" spans="1:19" x14ac:dyDescent="0.75">
      <c r="A177" s="1">
        <v>45414</v>
      </c>
      <c r="B177">
        <v>3.6869223970230298E-2</v>
      </c>
      <c r="C177">
        <v>-0.44727473787236699</v>
      </c>
      <c r="D177">
        <v>2.0459358016125</v>
      </c>
      <c r="E177" t="s">
        <v>21</v>
      </c>
      <c r="F177">
        <v>-0.41040551390213598</v>
      </c>
      <c r="G177">
        <v>3.79416666666667</v>
      </c>
      <c r="H177">
        <v>70.45</v>
      </c>
      <c r="I177">
        <v>3.7173333333333298</v>
      </c>
      <c r="J177">
        <v>3.6251528866693999E-2</v>
      </c>
      <c r="K177">
        <v>4.0197726646808203</v>
      </c>
      <c r="L177">
        <v>0.91952985948570698</v>
      </c>
      <c r="M177">
        <v>5.7193103624099302E-2</v>
      </c>
      <c r="N177">
        <v>347.308358228423</v>
      </c>
      <c r="O177">
        <v>79.447379859565103</v>
      </c>
      <c r="P177">
        <v>4941.48415312218</v>
      </c>
      <c r="Q177">
        <v>1690.6879015750601</v>
      </c>
      <c r="R177">
        <v>1.9387932584190699</v>
      </c>
      <c r="S177">
        <v>3277.8943056644098</v>
      </c>
    </row>
    <row r="178" spans="1:19" x14ac:dyDescent="0.75">
      <c r="A178" s="1">
        <v>45415</v>
      </c>
      <c r="B178">
        <v>3.5878029464906203E-2</v>
      </c>
      <c r="C178">
        <v>-0.35053682089676202</v>
      </c>
      <c r="D178">
        <v>1.7610071910715901</v>
      </c>
      <c r="E178" t="s">
        <v>21</v>
      </c>
      <c r="F178">
        <v>-0.31465879143185599</v>
      </c>
      <c r="G178">
        <v>3.3387500000000001</v>
      </c>
      <c r="H178">
        <v>71.13</v>
      </c>
      <c r="I178">
        <v>3.2919999999999998</v>
      </c>
      <c r="J178">
        <v>2.87745252763233E-2</v>
      </c>
      <c r="K178">
        <v>2.6565249494168599</v>
      </c>
      <c r="L178">
        <v>0.78334564817090202</v>
      </c>
      <c r="M178">
        <v>4.8026136948997898E-2</v>
      </c>
      <c r="N178">
        <v>229.52375562961601</v>
      </c>
      <c r="O178">
        <v>67.681064001965893</v>
      </c>
      <c r="P178">
        <v>4149.4582323934201</v>
      </c>
      <c r="Q178">
        <v>1649.4088027590101</v>
      </c>
      <c r="R178">
        <v>1.92233058929669</v>
      </c>
      <c r="S178">
        <v>3170.7089957988701</v>
      </c>
    </row>
    <row r="179" spans="1:19" x14ac:dyDescent="0.75">
      <c r="A179" s="1">
        <v>45416</v>
      </c>
      <c r="B179">
        <v>3.4874074287842199E-2</v>
      </c>
      <c r="C179">
        <v>-0.38270530517314699</v>
      </c>
      <c r="D179">
        <v>1.9987056525242399</v>
      </c>
      <c r="E179" t="s">
        <v>21</v>
      </c>
      <c r="F179">
        <v>-0.34783123088530499</v>
      </c>
      <c r="G179">
        <v>3.1887500000000002</v>
      </c>
      <c r="H179">
        <v>72</v>
      </c>
      <c r="I179">
        <v>3.11933333333333</v>
      </c>
      <c r="J179">
        <v>2.9446780408712299E-2</v>
      </c>
      <c r="K179">
        <v>2.7466458201747201</v>
      </c>
      <c r="L179">
        <v>0.66483527623925098</v>
      </c>
      <c r="M179">
        <v>4.89252285782747E-2</v>
      </c>
      <c r="N179">
        <v>237.31019886309599</v>
      </c>
      <c r="O179">
        <v>57.441767867071299</v>
      </c>
      <c r="P179">
        <v>4227.1397491629295</v>
      </c>
      <c r="Q179">
        <v>1480.45702511374</v>
      </c>
      <c r="R179">
        <v>1.9064787974075099</v>
      </c>
      <c r="S179">
        <v>2822.45992885234</v>
      </c>
    </row>
    <row r="180" spans="1:19" x14ac:dyDescent="0.75">
      <c r="A180" s="1">
        <v>45417</v>
      </c>
      <c r="B180">
        <v>7.8300341424013598E-2</v>
      </c>
      <c r="C180">
        <v>-0.26607278707821602</v>
      </c>
      <c r="D180">
        <v>0.55747903522252196</v>
      </c>
      <c r="E180" t="s">
        <v>21</v>
      </c>
      <c r="F180">
        <v>-0.18777244565420201</v>
      </c>
      <c r="G180">
        <v>3.3216666666666699</v>
      </c>
      <c r="H180">
        <v>71.06</v>
      </c>
      <c r="I180">
        <v>3.30866666666667</v>
      </c>
      <c r="J180">
        <v>4.2108074670694801E-2</v>
      </c>
      <c r="K180">
        <v>6.1952205567533696</v>
      </c>
      <c r="L180">
        <v>0.56199712009771896</v>
      </c>
      <c r="M180">
        <v>6.2703767244258607E-2</v>
      </c>
      <c r="N180">
        <v>535.26705610349097</v>
      </c>
      <c r="O180">
        <v>48.556551176442902</v>
      </c>
      <c r="P180">
        <v>5417.60548990394</v>
      </c>
      <c r="Q180">
        <v>6802.6304189520297</v>
      </c>
      <c r="R180">
        <v>2.3463767894186098</v>
      </c>
      <c r="S180">
        <v>15961.534122022</v>
      </c>
    </row>
    <row r="181" spans="1:19" x14ac:dyDescent="0.75">
      <c r="A181" s="1">
        <v>45418</v>
      </c>
      <c r="B181">
        <v>3.1204478083884699E-2</v>
      </c>
      <c r="C181">
        <v>-0.69245772540142303</v>
      </c>
      <c r="D181">
        <v>2.33796834896952</v>
      </c>
      <c r="E181" t="s">
        <v>21</v>
      </c>
      <c r="F181">
        <v>-0.66125324731753798</v>
      </c>
      <c r="G181">
        <v>3.6658333333333299</v>
      </c>
      <c r="H181">
        <v>72.03</v>
      </c>
      <c r="I181">
        <v>3.5713333333333299</v>
      </c>
      <c r="J181">
        <v>5.1557809479255298E-2</v>
      </c>
      <c r="K181">
        <v>7.6983338549690696</v>
      </c>
      <c r="L181">
        <v>0.474700020777166</v>
      </c>
      <c r="M181">
        <v>7.4478320648509497E-2</v>
      </c>
      <c r="N181">
        <v>665.13604506932802</v>
      </c>
      <c r="O181">
        <v>41.014081795147199</v>
      </c>
      <c r="P181">
        <v>6434.9269040312201</v>
      </c>
      <c r="Q181">
        <v>1926.6509038957799</v>
      </c>
      <c r="R181">
        <v>2.0048062539505902</v>
      </c>
      <c r="S181">
        <v>3862.5617813098302</v>
      </c>
    </row>
    <row r="182" spans="1:19" x14ac:dyDescent="0.75">
      <c r="A182" s="1">
        <v>45419</v>
      </c>
      <c r="B182">
        <v>3.1176727662208699E-2</v>
      </c>
      <c r="C182">
        <v>-0.32005538240964498</v>
      </c>
      <c r="D182">
        <v>1.44318006337955</v>
      </c>
      <c r="E182" t="s">
        <v>21</v>
      </c>
      <c r="F182">
        <v>-0.28887865474743601</v>
      </c>
      <c r="G182">
        <v>3.1808333333333301</v>
      </c>
      <c r="H182">
        <v>72.790000000000006</v>
      </c>
      <c r="I182">
        <v>3.1333333333333302</v>
      </c>
      <c r="J182">
        <v>3.3007677682022001E-2</v>
      </c>
      <c r="K182">
        <v>3.4779405648780801</v>
      </c>
      <c r="L182">
        <v>0.40188631063788</v>
      </c>
      <c r="M182">
        <v>5.3121823925830397E-2</v>
      </c>
      <c r="N182">
        <v>300.494064805466</v>
      </c>
      <c r="O182">
        <v>34.7229772391129</v>
      </c>
      <c r="P182">
        <v>4589.7255871917496</v>
      </c>
      <c r="Q182">
        <v>2226.2003145405702</v>
      </c>
      <c r="R182">
        <v>1.98350914980326</v>
      </c>
      <c r="S182">
        <v>4415.68869318612</v>
      </c>
    </row>
    <row r="183" spans="1:19" x14ac:dyDescent="0.75">
      <c r="A183" s="1">
        <v>45420</v>
      </c>
      <c r="B183">
        <v>2.7445002251363301E-2</v>
      </c>
      <c r="C183">
        <v>-0.139711054837833</v>
      </c>
      <c r="D183">
        <v>0.987943908751302</v>
      </c>
      <c r="E183" t="s">
        <v>21</v>
      </c>
      <c r="F183">
        <v>-0.11226605258647</v>
      </c>
      <c r="G183">
        <v>2.7987500000000001</v>
      </c>
      <c r="H183">
        <v>72.5</v>
      </c>
      <c r="I183">
        <v>2.8193333333333301</v>
      </c>
      <c r="J183">
        <v>1.85825000221429E-2</v>
      </c>
      <c r="K183">
        <v>1.3520320746747001</v>
      </c>
      <c r="L183">
        <v>0.34069242641367797</v>
      </c>
      <c r="M183">
        <v>3.3968523898393797E-2</v>
      </c>
      <c r="N183">
        <v>116.815571251894</v>
      </c>
      <c r="O183">
        <v>29.435825642141801</v>
      </c>
      <c r="P183">
        <v>2934.8804648212299</v>
      </c>
      <c r="Q183">
        <v>2079.4868080835799</v>
      </c>
      <c r="R183">
        <v>2.14193445842576</v>
      </c>
      <c r="S183">
        <v>4454.1244500760104</v>
      </c>
    </row>
    <row r="184" spans="1:19" x14ac:dyDescent="0.75">
      <c r="A184" s="1">
        <v>45423</v>
      </c>
      <c r="B184">
        <v>2.6778331518966299E-2</v>
      </c>
      <c r="C184">
        <v>-0.12424214633554501</v>
      </c>
      <c r="D184">
        <v>0.97175739242111403</v>
      </c>
      <c r="E184" t="s">
        <v>21</v>
      </c>
      <c r="F184">
        <v>-9.74638148165788E-2</v>
      </c>
      <c r="G184">
        <v>2.7358333333333298</v>
      </c>
      <c r="H184">
        <v>72.930000000000007</v>
      </c>
      <c r="I184">
        <v>2.7873333333333301</v>
      </c>
      <c r="J184">
        <v>1.6982172146162499E-2</v>
      </c>
      <c r="K184">
        <v>1.18069043321128</v>
      </c>
      <c r="L184">
        <v>0.20599032279193599</v>
      </c>
      <c r="M184">
        <v>3.1510064650329503E-2</v>
      </c>
      <c r="N184">
        <v>102.011653429454</v>
      </c>
      <c r="O184">
        <v>17.797563889223301</v>
      </c>
      <c r="P184">
        <v>2722.4695857884699</v>
      </c>
      <c r="Q184">
        <v>1961.11573209013</v>
      </c>
      <c r="R184">
        <v>2.2064470567715699</v>
      </c>
      <c r="S184">
        <v>4327.0980350586797</v>
      </c>
    </row>
    <row r="185" spans="1:19" x14ac:dyDescent="0.75">
      <c r="A185" s="1">
        <v>45426</v>
      </c>
      <c r="B185">
        <v>1.29794410751112E-2</v>
      </c>
      <c r="C185">
        <v>-0.480357760029825</v>
      </c>
      <c r="D185">
        <v>1.13509358518068</v>
      </c>
      <c r="E185" t="s">
        <v>21</v>
      </c>
      <c r="F185">
        <v>-0.46737831895471399</v>
      </c>
      <c r="G185">
        <v>4.2516666666666696</v>
      </c>
      <c r="H185">
        <v>69.58</v>
      </c>
      <c r="I185">
        <v>4.1026666666666696</v>
      </c>
      <c r="J185">
        <v>8.3056925507790397E-2</v>
      </c>
      <c r="K185">
        <v>18.1561843417551</v>
      </c>
      <c r="L185">
        <v>0.124492297937195</v>
      </c>
      <c r="M185">
        <v>0.106756234015178</v>
      </c>
      <c r="N185">
        <v>1568.69432712764</v>
      </c>
      <c r="O185">
        <v>10.756134541773701</v>
      </c>
      <c r="P185">
        <v>9223.7386189113895</v>
      </c>
      <c r="Q185">
        <v>5688.1803558164102</v>
      </c>
      <c r="R185">
        <v>2.0476488773371102</v>
      </c>
      <c r="S185">
        <v>11647.3961196785</v>
      </c>
    </row>
    <row r="186" spans="1:19" x14ac:dyDescent="0.75">
      <c r="A186" s="1">
        <v>45427</v>
      </c>
      <c r="B186">
        <v>1.40093658575535E-2</v>
      </c>
      <c r="C186">
        <v>-0.212924448216014</v>
      </c>
      <c r="D186">
        <v>0.42170491533107701</v>
      </c>
      <c r="E186" t="s">
        <v>21</v>
      </c>
      <c r="F186">
        <v>-0.19891508235846</v>
      </c>
      <c r="G186">
        <v>4.3404166666666697</v>
      </c>
      <c r="H186">
        <v>74.16</v>
      </c>
      <c r="I186">
        <v>4.2773333333333303</v>
      </c>
      <c r="J186">
        <v>9.5506855710681099E-2</v>
      </c>
      <c r="K186">
        <v>24.264592380221998</v>
      </c>
      <c r="L186">
        <v>0.10567347751681901</v>
      </c>
      <c r="M186">
        <v>0.118044252581467</v>
      </c>
      <c r="N186">
        <v>2096.4607816511798</v>
      </c>
      <c r="O186">
        <v>9.1301884574531602</v>
      </c>
      <c r="P186">
        <v>10199.0234230387</v>
      </c>
      <c r="Q186">
        <v>16929.649469516102</v>
      </c>
      <c r="R186">
        <v>2.15225440775732</v>
      </c>
      <c r="S186">
        <v>36436.912692552498</v>
      </c>
    </row>
    <row r="187" spans="1:19" x14ac:dyDescent="0.75">
      <c r="A187" s="1">
        <v>45428</v>
      </c>
      <c r="B187">
        <v>1.22644438027983E-2</v>
      </c>
      <c r="C187">
        <v>-1.62393463328691</v>
      </c>
      <c r="D187">
        <v>3.39532059254122</v>
      </c>
      <c r="E187" t="s">
        <v>21</v>
      </c>
      <c r="F187">
        <v>-1.6116701894841099</v>
      </c>
      <c r="G187">
        <v>4.4641666666666699</v>
      </c>
      <c r="H187">
        <v>72.75</v>
      </c>
      <c r="I187">
        <v>4.3626666666666702</v>
      </c>
      <c r="J187">
        <v>0.103447685986281</v>
      </c>
      <c r="K187">
        <v>27.099727650074499</v>
      </c>
      <c r="L187">
        <v>9.3236045018121702E-2</v>
      </c>
      <c r="M187">
        <v>0.125919791059804</v>
      </c>
      <c r="N187">
        <v>2341.4164689664399</v>
      </c>
      <c r="O187">
        <v>8.0555942895657093</v>
      </c>
      <c r="P187">
        <v>10879.469947567</v>
      </c>
      <c r="Q187">
        <v>2242.9778737321099</v>
      </c>
      <c r="R187">
        <v>2.08041583859112</v>
      </c>
      <c r="S187">
        <v>4666.3266941216998</v>
      </c>
    </row>
    <row r="188" spans="1:19" x14ac:dyDescent="0.75">
      <c r="A188" s="1">
        <v>45429</v>
      </c>
      <c r="B188">
        <v>3.3610534266994299E-2</v>
      </c>
      <c r="C188">
        <v>-1.9970798472416</v>
      </c>
      <c r="D188">
        <v>5.1396049096462901</v>
      </c>
      <c r="E188" t="s">
        <v>21</v>
      </c>
      <c r="F188">
        <v>-1.9634693129745999</v>
      </c>
      <c r="G188">
        <v>4.44166666666667</v>
      </c>
      <c r="H188">
        <v>74.16</v>
      </c>
      <c r="I188">
        <v>4.3206666666666704</v>
      </c>
      <c r="J188">
        <v>8.15626990344889E-2</v>
      </c>
      <c r="K188">
        <v>17.486768577930601</v>
      </c>
      <c r="L188">
        <v>8.8595450153218999E-2</v>
      </c>
      <c r="M188">
        <v>0.105365019418552</v>
      </c>
      <c r="N188">
        <v>1510.8568051332099</v>
      </c>
      <c r="O188">
        <v>7.6546468932381204</v>
      </c>
      <c r="P188">
        <v>9103.5376777628499</v>
      </c>
      <c r="Q188">
        <v>1239.87669995291</v>
      </c>
      <c r="R188">
        <v>2.03479903139415</v>
      </c>
      <c r="S188">
        <v>2522.8999081123502</v>
      </c>
    </row>
    <row r="189" spans="1:19" x14ac:dyDescent="0.75">
      <c r="A189" s="1">
        <v>45430</v>
      </c>
      <c r="B189">
        <v>8.02473134075362E-2</v>
      </c>
      <c r="C189">
        <v>-3.3556367816597601</v>
      </c>
      <c r="D189">
        <v>9.0801554028496607</v>
      </c>
      <c r="E189" t="s">
        <v>21</v>
      </c>
      <c r="F189">
        <v>-3.27538946825223</v>
      </c>
      <c r="G189">
        <v>4.1458333333333304</v>
      </c>
      <c r="H189">
        <v>74.19</v>
      </c>
      <c r="I189">
        <v>4.0753333333333304</v>
      </c>
      <c r="J189">
        <v>7.1399610526493698E-2</v>
      </c>
      <c r="K189">
        <v>13.672719117665601</v>
      </c>
      <c r="L189">
        <v>9.1727321100729106E-2</v>
      </c>
      <c r="M189">
        <v>9.5368837036013496E-2</v>
      </c>
      <c r="N189">
        <v>1181.3229317662999</v>
      </c>
      <c r="O189">
        <v>7.9252405431029898</v>
      </c>
      <c r="P189">
        <v>8239.8675199115696</v>
      </c>
      <c r="Q189">
        <v>635.22120580975195</v>
      </c>
      <c r="R189">
        <v>2.00794846658472</v>
      </c>
      <c r="S189">
        <v>1275.4914461477899</v>
      </c>
    </row>
    <row r="190" spans="1:19" x14ac:dyDescent="0.75">
      <c r="A190" s="1">
        <v>45431</v>
      </c>
      <c r="B190">
        <v>2.76215032028653E-2</v>
      </c>
      <c r="C190">
        <v>-0.889120079007647</v>
      </c>
      <c r="D190">
        <v>2.7158732560141101</v>
      </c>
      <c r="E190" t="s">
        <v>21</v>
      </c>
      <c r="F190">
        <v>-0.86149857580478195</v>
      </c>
      <c r="G190">
        <v>3.9512499999999999</v>
      </c>
      <c r="H190">
        <v>73.72</v>
      </c>
      <c r="I190">
        <v>3.8553333333333302</v>
      </c>
      <c r="J190">
        <v>6.0537846378723101E-2</v>
      </c>
      <c r="K190">
        <v>10.2109567709402</v>
      </c>
      <c r="L190">
        <v>0.10217852366584899</v>
      </c>
      <c r="M190">
        <v>8.4141772748222807E-2</v>
      </c>
      <c r="N190">
        <v>882.22666500923503</v>
      </c>
      <c r="O190">
        <v>8.8282244447293596</v>
      </c>
      <c r="P190">
        <v>7269.8491654464497</v>
      </c>
      <c r="Q190">
        <v>1873.75990560072</v>
      </c>
      <c r="R190">
        <v>2.00460040082976</v>
      </c>
      <c r="S190">
        <v>3756.13985782593</v>
      </c>
    </row>
    <row r="191" spans="1:19" x14ac:dyDescent="0.75">
      <c r="A191" s="1">
        <v>45432</v>
      </c>
      <c r="B191">
        <v>4.0067270262548603E-2</v>
      </c>
      <c r="C191">
        <v>-1.0999061120534801</v>
      </c>
      <c r="D191">
        <v>3.8481969378457102</v>
      </c>
      <c r="E191" t="s">
        <v>21</v>
      </c>
      <c r="F191">
        <v>-1.0598388417909299</v>
      </c>
      <c r="G191">
        <v>3.8833333333333302</v>
      </c>
      <c r="H191">
        <v>73.760000000000005</v>
      </c>
      <c r="I191">
        <v>3.7766666666666699</v>
      </c>
      <c r="J191">
        <v>5.2823058221873997E-2</v>
      </c>
      <c r="K191">
        <v>7.8983219693081201</v>
      </c>
      <c r="L191">
        <v>0.11950498679043201</v>
      </c>
      <c r="M191">
        <v>7.6020269837739296E-2</v>
      </c>
      <c r="N191">
        <v>682.41501814822198</v>
      </c>
      <c r="O191">
        <v>10.325230858693301</v>
      </c>
      <c r="P191">
        <v>6568.1513139806802</v>
      </c>
      <c r="Q191">
        <v>1194.76887333119</v>
      </c>
      <c r="R191">
        <v>1.9668982109547799</v>
      </c>
      <c r="S191">
        <v>2349.9887594595898</v>
      </c>
    </row>
    <row r="192" spans="1:19" x14ac:dyDescent="0.75">
      <c r="A192" s="1">
        <v>45433</v>
      </c>
      <c r="B192">
        <v>4.0565334009319297E-2</v>
      </c>
      <c r="C192">
        <v>-0.55374479368122598</v>
      </c>
      <c r="D192">
        <v>2.1799053035235398</v>
      </c>
      <c r="E192" t="s">
        <v>21</v>
      </c>
      <c r="F192">
        <v>-0.51317945967190604</v>
      </c>
      <c r="G192">
        <v>4</v>
      </c>
      <c r="H192">
        <v>71.38</v>
      </c>
      <c r="I192">
        <v>3.87266666666667</v>
      </c>
      <c r="J192">
        <v>4.5601452869572401E-2</v>
      </c>
      <c r="K192">
        <v>6.1203387731506602</v>
      </c>
      <c r="L192">
        <v>0.14755364681466299</v>
      </c>
      <c r="M192">
        <v>6.7950904725627495E-2</v>
      </c>
      <c r="N192">
        <v>528.79727000021705</v>
      </c>
      <c r="O192">
        <v>12.748635084786899</v>
      </c>
      <c r="P192">
        <v>5870.9581682942098</v>
      </c>
      <c r="Q192">
        <v>1885.25194702871</v>
      </c>
      <c r="R192">
        <v>1.9751566206215401</v>
      </c>
      <c r="S192">
        <v>3723.6678647133999</v>
      </c>
    </row>
    <row r="193" spans="1:19" x14ac:dyDescent="0.75">
      <c r="A193" s="1">
        <v>45434</v>
      </c>
      <c r="B193">
        <v>3.3279641213302798E-2</v>
      </c>
      <c r="C193">
        <v>-0.387295044323274</v>
      </c>
      <c r="D193">
        <v>1.6986169092304</v>
      </c>
      <c r="E193" t="s">
        <v>21</v>
      </c>
      <c r="F193">
        <v>-0.35401540310997098</v>
      </c>
      <c r="G193">
        <v>3.5770833333333298</v>
      </c>
      <c r="H193">
        <v>72</v>
      </c>
      <c r="I193">
        <v>3.5059999999999998</v>
      </c>
      <c r="J193">
        <v>3.6844522476923602E-2</v>
      </c>
      <c r="K193">
        <v>4.1672947157168396</v>
      </c>
      <c r="L193">
        <v>0.18843901725999801</v>
      </c>
      <c r="M193">
        <v>5.7848689740243903E-2</v>
      </c>
      <c r="N193">
        <v>360.05426343793499</v>
      </c>
      <c r="O193">
        <v>16.281131091263902</v>
      </c>
      <c r="P193">
        <v>4998.1267935570704</v>
      </c>
      <c r="Q193">
        <v>2059.7279683711099</v>
      </c>
      <c r="R193">
        <v>1.9551845483218999</v>
      </c>
      <c r="S193">
        <v>4027.1482975056501</v>
      </c>
    </row>
    <row r="194" spans="1:19" x14ac:dyDescent="0.75">
      <c r="A194" s="1">
        <v>45435</v>
      </c>
      <c r="B194">
        <v>3.3043936483410502E-2</v>
      </c>
      <c r="C194">
        <v>-0.23122750213907201</v>
      </c>
      <c r="D194">
        <v>1.20354670624286</v>
      </c>
      <c r="E194" t="s">
        <v>21</v>
      </c>
      <c r="F194">
        <v>-0.198183565655662</v>
      </c>
      <c r="G194">
        <v>3.2574999999999998</v>
      </c>
      <c r="H194">
        <v>73.290000000000006</v>
      </c>
      <c r="I194">
        <v>3.2320000000000002</v>
      </c>
      <c r="J194">
        <v>2.7911455368365E-2</v>
      </c>
      <c r="K194">
        <v>2.5903467018235098</v>
      </c>
      <c r="L194">
        <v>0.234981719766892</v>
      </c>
      <c r="M194">
        <v>4.6751599585787902E-2</v>
      </c>
      <c r="N194">
        <v>223.805955037551</v>
      </c>
      <c r="O194">
        <v>20.302420587859501</v>
      </c>
      <c r="P194">
        <v>4039.3382042120702</v>
      </c>
      <c r="Q194">
        <v>2349.33694578022</v>
      </c>
      <c r="R194">
        <v>1.9850842276715199</v>
      </c>
      <c r="S194">
        <v>4663.6317165542796</v>
      </c>
    </row>
    <row r="195" spans="1:19" x14ac:dyDescent="0.75">
      <c r="A195" s="1">
        <v>45436</v>
      </c>
      <c r="B195">
        <v>2.6867116764973401E-2</v>
      </c>
      <c r="C195">
        <v>-0.113278916950416</v>
      </c>
      <c r="D195">
        <v>0.91603683036647199</v>
      </c>
      <c r="E195" t="s">
        <v>21</v>
      </c>
      <c r="F195">
        <v>-8.6411800185442506E-2</v>
      </c>
      <c r="G195">
        <v>3.0533333333333301</v>
      </c>
      <c r="H195">
        <v>73.62</v>
      </c>
      <c r="I195">
        <v>3.0926666666666698</v>
      </c>
      <c r="J195">
        <v>1.6122037850136401E-2</v>
      </c>
      <c r="K195">
        <v>1.1698854484577701</v>
      </c>
      <c r="L195">
        <v>0.28902423317311698</v>
      </c>
      <c r="M195">
        <v>2.9717555381171001E-2</v>
      </c>
      <c r="N195">
        <v>101.078102746751</v>
      </c>
      <c r="O195">
        <v>24.9716937461573</v>
      </c>
      <c r="P195">
        <v>2567.5967849331801</v>
      </c>
      <c r="Q195">
        <v>1962.05839096468</v>
      </c>
      <c r="R195">
        <v>2.4418013073289702</v>
      </c>
      <c r="S195">
        <v>4790.9567441133304</v>
      </c>
    </row>
    <row r="196" spans="1:19" x14ac:dyDescent="0.75">
      <c r="A196" s="1">
        <v>45499</v>
      </c>
      <c r="B196">
        <v>0.45249769558778302</v>
      </c>
      <c r="C196">
        <v>-3.5220704417285802</v>
      </c>
      <c r="D196">
        <v>3.0384663395623299</v>
      </c>
      <c r="E196" t="s">
        <v>21</v>
      </c>
      <c r="F196">
        <v>-3.0695727461407998</v>
      </c>
      <c r="G196">
        <v>5.0220833333333301</v>
      </c>
      <c r="H196">
        <v>77.72</v>
      </c>
      <c r="I196">
        <v>5.0999999999999996</v>
      </c>
      <c r="J196">
        <v>0.23528308223283101</v>
      </c>
      <c r="K196">
        <v>122.21726354124399</v>
      </c>
      <c r="L196">
        <v>0.60935336337257995</v>
      </c>
      <c r="M196">
        <v>0.233404685855084</v>
      </c>
      <c r="N196">
        <v>10559.5715699634</v>
      </c>
      <c r="O196">
        <v>52.648130595390903</v>
      </c>
      <c r="P196">
        <v>20166.164857879299</v>
      </c>
      <c r="Q196">
        <v>4645.8686136206597</v>
      </c>
      <c r="R196">
        <v>2.2255240099875699</v>
      </c>
      <c r="S196">
        <v>10339.492146860501</v>
      </c>
    </row>
    <row r="197" spans="1:19" x14ac:dyDescent="0.75">
      <c r="A197" s="1">
        <v>45500</v>
      </c>
      <c r="B197">
        <v>6.6907290418725299E-2</v>
      </c>
      <c r="C197">
        <v>-2.4365160357747602</v>
      </c>
      <c r="D197">
        <v>2.2622119916900401</v>
      </c>
      <c r="E197" t="s">
        <v>21</v>
      </c>
      <c r="F197">
        <v>-2.3696087453560302</v>
      </c>
      <c r="G197">
        <v>4.6583333333333297</v>
      </c>
      <c r="H197">
        <v>78.08</v>
      </c>
      <c r="I197">
        <v>4.65933333333333</v>
      </c>
      <c r="J197">
        <v>0.260138908459635</v>
      </c>
      <c r="K197">
        <v>146.331814398695</v>
      </c>
      <c r="L197">
        <v>0.85009179632385001</v>
      </c>
      <c r="M197">
        <v>0.25180091774019497</v>
      </c>
      <c r="N197">
        <v>12643.068764047201</v>
      </c>
      <c r="O197">
        <v>73.447931202380701</v>
      </c>
      <c r="P197">
        <v>21755.599292752901</v>
      </c>
      <c r="Q197">
        <v>6731.8710893888701</v>
      </c>
      <c r="R197">
        <v>2.2339638201012502</v>
      </c>
      <c r="S197">
        <v>15038.7564552803</v>
      </c>
    </row>
    <row r="198" spans="1:19" x14ac:dyDescent="0.75">
      <c r="A198" s="1">
        <v>45502</v>
      </c>
      <c r="B198">
        <v>7.8447704414666294E-2</v>
      </c>
      <c r="C198">
        <v>-0.74643535671281303</v>
      </c>
      <c r="D198">
        <v>0.98073572520324204</v>
      </c>
      <c r="E198" t="s">
        <v>21</v>
      </c>
      <c r="F198">
        <v>-0.66798765229814605</v>
      </c>
      <c r="G198">
        <v>4.76</v>
      </c>
      <c r="H198">
        <v>77.650000000000006</v>
      </c>
      <c r="I198">
        <v>4.6393333333333304</v>
      </c>
      <c r="J198">
        <v>0.14969712289074899</v>
      </c>
      <c r="K198">
        <v>53.049521358984101</v>
      </c>
      <c r="L198">
        <v>1.6230476997122001</v>
      </c>
      <c r="M198">
        <v>0.16631256003216399</v>
      </c>
      <c r="N198">
        <v>4583.4786454162304</v>
      </c>
      <c r="O198">
        <v>140.23132125513399</v>
      </c>
      <c r="P198">
        <v>14369.4051867789</v>
      </c>
      <c r="Q198">
        <v>10256.161137253101</v>
      </c>
      <c r="R198">
        <v>2.1308013716343699</v>
      </c>
      <c r="S198">
        <v>21853.842218962</v>
      </c>
    </row>
    <row r="199" spans="1:19" x14ac:dyDescent="0.75">
      <c r="A199" s="1">
        <v>45503</v>
      </c>
      <c r="B199">
        <v>1.35452512644379E-2</v>
      </c>
      <c r="C199">
        <v>-1.4788253854486</v>
      </c>
      <c r="D199">
        <v>2.2428341751088499</v>
      </c>
      <c r="E199" t="s">
        <v>21</v>
      </c>
      <c r="F199">
        <v>-1.4652801341841599</v>
      </c>
      <c r="G199">
        <v>4.4754166666666704</v>
      </c>
      <c r="H199">
        <v>79.3</v>
      </c>
      <c r="I199">
        <v>4.3920000000000003</v>
      </c>
      <c r="J199">
        <v>0.14281130638018799</v>
      </c>
      <c r="K199">
        <v>48.642097092608097</v>
      </c>
      <c r="L199">
        <v>2.1488502627284101</v>
      </c>
      <c r="M199">
        <v>0.160542245662261</v>
      </c>
      <c r="N199">
        <v>4202.67718880134</v>
      </c>
      <c r="O199">
        <v>185.66066269973501</v>
      </c>
      <c r="P199">
        <v>13870.850025219301</v>
      </c>
      <c r="Q199">
        <v>4329.1631300304698</v>
      </c>
      <c r="R199">
        <v>2.1215846510899299</v>
      </c>
      <c r="S199">
        <v>9184.6860487370905</v>
      </c>
    </row>
    <row r="200" spans="1:19" x14ac:dyDescent="0.75">
      <c r="A200" s="1">
        <v>45504</v>
      </c>
      <c r="B200">
        <v>2.1104059394665101E-2</v>
      </c>
      <c r="C200">
        <v>-0.87478288478062904</v>
      </c>
      <c r="D200">
        <v>1.8029589632738501</v>
      </c>
      <c r="E200" t="s">
        <v>21</v>
      </c>
      <c r="F200">
        <v>-0.85367882538596396</v>
      </c>
      <c r="G200">
        <v>4.2445833333333303</v>
      </c>
      <c r="H200">
        <v>80.02</v>
      </c>
      <c r="I200">
        <v>4.1546666666666701</v>
      </c>
      <c r="J200">
        <v>0.103139446733439</v>
      </c>
      <c r="K200">
        <v>27.301294040430701</v>
      </c>
      <c r="L200">
        <v>2.7615964926809302</v>
      </c>
      <c r="M200">
        <v>0.12543558366360999</v>
      </c>
      <c r="N200">
        <v>2358.8318050932098</v>
      </c>
      <c r="O200">
        <v>238.60193696763301</v>
      </c>
      <c r="P200">
        <v>10837.634428535899</v>
      </c>
      <c r="Q200">
        <v>4207.7186749717503</v>
      </c>
      <c r="R200">
        <v>2.1102683240508302</v>
      </c>
      <c r="S200">
        <v>8879.4154363100097</v>
      </c>
    </row>
    <row r="201" spans="1:19" x14ac:dyDescent="0.75">
      <c r="A201" s="1">
        <v>45505</v>
      </c>
      <c r="B201">
        <v>2.7956764966149399E-2</v>
      </c>
      <c r="C201">
        <v>-0.51450730955623203</v>
      </c>
      <c r="D201">
        <v>1.43796422806441</v>
      </c>
      <c r="E201" t="s">
        <v>21</v>
      </c>
      <c r="F201">
        <v>-0.48655054459008301</v>
      </c>
      <c r="G201">
        <v>3.8612500000000001</v>
      </c>
      <c r="H201">
        <v>79.92</v>
      </c>
      <c r="I201">
        <v>3.8013333333333299</v>
      </c>
      <c r="J201">
        <v>6.6444297585564999E-2</v>
      </c>
      <c r="K201">
        <v>12.308460959358801</v>
      </c>
      <c r="L201">
        <v>3.4562445824244401</v>
      </c>
      <c r="M201">
        <v>9.0052002616430302E-2</v>
      </c>
      <c r="N201">
        <v>1063.4510268885999</v>
      </c>
      <c r="O201">
        <v>298.61953192147098</v>
      </c>
      <c r="P201">
        <v>7780.4930260595802</v>
      </c>
      <c r="Q201">
        <v>3787.5386688671801</v>
      </c>
      <c r="R201">
        <v>2.0570870137770201</v>
      </c>
      <c r="S201">
        <v>7791.29660990496</v>
      </c>
    </row>
    <row r="202" spans="1:19" x14ac:dyDescent="0.75">
      <c r="A202" s="1">
        <v>45509</v>
      </c>
      <c r="B202">
        <v>2.8774753814742E-2</v>
      </c>
      <c r="C202">
        <v>-2.7101552936919102</v>
      </c>
      <c r="D202">
        <v>0.197009490676161</v>
      </c>
      <c r="E202" t="s">
        <v>21</v>
      </c>
      <c r="F202">
        <v>-2.68138053987717</v>
      </c>
      <c r="G202">
        <v>4.8679166666666696</v>
      </c>
      <c r="H202">
        <v>77.790000000000006</v>
      </c>
      <c r="I202">
        <v>4.6126666666666702</v>
      </c>
      <c r="J202">
        <v>0.64616600627140597</v>
      </c>
      <c r="K202">
        <v>858.541002642737</v>
      </c>
      <c r="L202">
        <v>6.9462138467077699</v>
      </c>
      <c r="M202">
        <v>0.490639014188814</v>
      </c>
      <c r="N202">
        <v>74177.942628332501</v>
      </c>
      <c r="O202">
        <v>600.15287635555103</v>
      </c>
      <c r="P202">
        <v>42391.210825913498</v>
      </c>
      <c r="Q202">
        <v>150621.411569032</v>
      </c>
      <c r="R202">
        <v>2.70803863103722</v>
      </c>
      <c r="S202">
        <v>407888.601190296</v>
      </c>
    </row>
    <row r="203" spans="1:19" x14ac:dyDescent="0.75">
      <c r="A203" s="1">
        <v>45510</v>
      </c>
      <c r="B203">
        <v>0.33795104156917199</v>
      </c>
      <c r="C203">
        <v>-11.2094553416512</v>
      </c>
      <c r="D203">
        <v>2.39104345105474</v>
      </c>
      <c r="E203" t="s">
        <v>21</v>
      </c>
      <c r="F203">
        <v>-10.871504300082</v>
      </c>
      <c r="G203">
        <v>3.0945833333333299</v>
      </c>
      <c r="H203">
        <v>76.06</v>
      </c>
      <c r="I203">
        <v>3.1173333333333302</v>
      </c>
      <c r="J203">
        <v>0.69015615106987804</v>
      </c>
      <c r="K203">
        <v>867.53470295695502</v>
      </c>
      <c r="L203">
        <v>7.9674179102704503</v>
      </c>
      <c r="M203">
        <v>0.52450910621187696</v>
      </c>
      <c r="N203">
        <v>74954.998335480894</v>
      </c>
      <c r="O203">
        <v>688.38490744736703</v>
      </c>
      <c r="P203">
        <v>45317.586776706099</v>
      </c>
      <c r="Q203">
        <v>13267.1410591476</v>
      </c>
      <c r="R203">
        <v>2.3965498154168698</v>
      </c>
      <c r="S203">
        <v>31795.364456409799</v>
      </c>
    </row>
    <row r="204" spans="1:19" x14ac:dyDescent="0.75">
      <c r="A204" s="1">
        <v>45511</v>
      </c>
      <c r="B204">
        <v>0.34208957311883698</v>
      </c>
      <c r="C204">
        <v>-10.815327429940201</v>
      </c>
      <c r="D204">
        <v>2.01999351062832</v>
      </c>
      <c r="E204" t="s">
        <v>21</v>
      </c>
      <c r="F204">
        <v>-10.473237856821299</v>
      </c>
      <c r="G204">
        <v>2.6666666666666701</v>
      </c>
      <c r="H204">
        <v>76.709999999999994</v>
      </c>
      <c r="I204">
        <v>2.6333333333333302</v>
      </c>
      <c r="J204">
        <v>0.73599279577346999</v>
      </c>
      <c r="K204">
        <v>975.81163082205103</v>
      </c>
      <c r="L204">
        <v>9.0348900297276291</v>
      </c>
      <c r="M204">
        <v>0.55047596784817199</v>
      </c>
      <c r="N204">
        <v>84310.124903025193</v>
      </c>
      <c r="O204">
        <v>780.61449856846696</v>
      </c>
      <c r="P204">
        <v>47561.123622082101</v>
      </c>
      <c r="Q204">
        <v>16481.630441031299</v>
      </c>
      <c r="R204">
        <v>2.4085411087938899</v>
      </c>
      <c r="S204">
        <v>39696.6844571728</v>
      </c>
    </row>
    <row r="205" spans="1:19" x14ac:dyDescent="0.75">
      <c r="A205" s="1">
        <v>45512</v>
      </c>
      <c r="B205">
        <v>0.86779941190443</v>
      </c>
      <c r="C205">
        <v>-6.9027450183666001</v>
      </c>
      <c r="D205">
        <v>0.86859877524422702</v>
      </c>
      <c r="E205" t="s">
        <v>21</v>
      </c>
      <c r="F205">
        <v>-6.0349456064621698</v>
      </c>
      <c r="G205">
        <v>2.2162500000000001</v>
      </c>
      <c r="H205">
        <v>78.040000000000006</v>
      </c>
      <c r="I205">
        <v>2.1760000000000002</v>
      </c>
      <c r="J205">
        <v>0.77099703244860995</v>
      </c>
      <c r="K205">
        <v>1061.8931915109599</v>
      </c>
      <c r="L205">
        <v>10.1416304882424</v>
      </c>
      <c r="M205">
        <v>0.57006763197501698</v>
      </c>
      <c r="N205">
        <v>91747.571746546702</v>
      </c>
      <c r="O205">
        <v>876.23687418413897</v>
      </c>
      <c r="P205">
        <v>49253.843402641403</v>
      </c>
      <c r="Q205">
        <v>39693.459586279998</v>
      </c>
      <c r="R205">
        <v>2.41602679774181</v>
      </c>
      <c r="S205">
        <v>95900.462055533906</v>
      </c>
    </row>
    <row r="206" spans="1:19" x14ac:dyDescent="0.75">
      <c r="A206" s="1">
        <v>45513</v>
      </c>
      <c r="B206">
        <v>0.21225097084880501</v>
      </c>
      <c r="C206">
        <v>-15.060393445228399</v>
      </c>
      <c r="D206">
        <v>2.3592584173265498</v>
      </c>
      <c r="E206" t="s">
        <v>21</v>
      </c>
      <c r="F206">
        <v>-14.8481424743796</v>
      </c>
      <c r="G206">
        <v>1.39791666666667</v>
      </c>
      <c r="H206">
        <v>79.88</v>
      </c>
      <c r="I206">
        <v>1.38866666666667</v>
      </c>
      <c r="J206">
        <v>0.75591092273093596</v>
      </c>
      <c r="K206">
        <v>1024.30559752049</v>
      </c>
      <c r="L206">
        <v>11.2787806088125</v>
      </c>
      <c r="M206">
        <v>0.56165747002933197</v>
      </c>
      <c r="N206">
        <v>88500.003625770594</v>
      </c>
      <c r="O206">
        <v>974.48664460139696</v>
      </c>
      <c r="P206">
        <v>48527.205410534298</v>
      </c>
      <c r="Q206">
        <v>14398.186963286</v>
      </c>
      <c r="R206">
        <v>2.4126114566852799</v>
      </c>
      <c r="S206">
        <v>34737.230823120597</v>
      </c>
    </row>
    <row r="207" spans="1:19" x14ac:dyDescent="0.75">
      <c r="A207" s="1">
        <v>45514</v>
      </c>
      <c r="B207">
        <v>0.15737193573</v>
      </c>
      <c r="C207">
        <v>-19.738524520282802</v>
      </c>
      <c r="D207">
        <v>2.9331258631438701</v>
      </c>
      <c r="E207" t="s">
        <v>21</v>
      </c>
      <c r="F207">
        <v>-19.5811525845528</v>
      </c>
      <c r="G207">
        <v>0.85541666666666705</v>
      </c>
      <c r="H207">
        <v>80.709999999999994</v>
      </c>
      <c r="I207">
        <v>0.89466666666666705</v>
      </c>
      <c r="J207">
        <v>0.72043992375863497</v>
      </c>
      <c r="K207">
        <v>938.13184953576194</v>
      </c>
      <c r="L207">
        <v>12.439422165503601</v>
      </c>
      <c r="M207">
        <v>0.54173226954048304</v>
      </c>
      <c r="N207">
        <v>81054.591799889793</v>
      </c>
      <c r="O207">
        <v>1074.7660750995101</v>
      </c>
      <c r="P207">
        <v>46805.668088297702</v>
      </c>
      <c r="Q207">
        <v>11170.324490163701</v>
      </c>
      <c r="R207">
        <v>2.4037063058074999</v>
      </c>
      <c r="S207">
        <v>26850.179414922401</v>
      </c>
    </row>
    <row r="208" spans="1:19" x14ac:dyDescent="0.75">
      <c r="A208" s="1">
        <v>45528</v>
      </c>
      <c r="B208">
        <v>7.8286433325178997E-2</v>
      </c>
      <c r="C208">
        <v>-6.0871085520572699</v>
      </c>
      <c r="D208">
        <v>4.5201961708750398</v>
      </c>
      <c r="E208" t="s">
        <v>21</v>
      </c>
      <c r="F208">
        <v>-6.0088221187320903</v>
      </c>
      <c r="G208">
        <v>2.4895833333333299</v>
      </c>
      <c r="H208">
        <v>76.75</v>
      </c>
      <c r="I208">
        <v>2.4860000000000002</v>
      </c>
      <c r="J208">
        <v>0.196618137478699</v>
      </c>
      <c r="K208">
        <v>87.190418307551795</v>
      </c>
      <c r="L208">
        <v>28.905450047330099</v>
      </c>
      <c r="M208">
        <v>0.20417606209751099</v>
      </c>
      <c r="N208">
        <v>7533.2521417724702</v>
      </c>
      <c r="O208">
        <v>2497.43088408932</v>
      </c>
      <c r="P208">
        <v>17640.811765225</v>
      </c>
      <c r="Q208">
        <v>2731.8655582301899</v>
      </c>
      <c r="R208">
        <v>2.1719026741355898</v>
      </c>
      <c r="S208">
        <v>5933.3461112990699</v>
      </c>
    </row>
    <row r="209" spans="1:19" x14ac:dyDescent="0.75">
      <c r="A209" s="1">
        <v>45531</v>
      </c>
      <c r="B209">
        <v>0.20479897747508</v>
      </c>
      <c r="C209">
        <v>-9.6581323765673908</v>
      </c>
      <c r="D209">
        <v>5.4459232035585501</v>
      </c>
      <c r="E209" t="s">
        <v>21</v>
      </c>
      <c r="F209">
        <v>-9.4533333990923101</v>
      </c>
      <c r="G209">
        <v>2.7291666666666701</v>
      </c>
      <c r="H209">
        <v>78.12</v>
      </c>
      <c r="I209">
        <v>2.7413333333333298</v>
      </c>
      <c r="J209">
        <v>0.25475206056472699</v>
      </c>
      <c r="K209">
        <v>140.144038501995</v>
      </c>
      <c r="L209">
        <v>31.179421097777901</v>
      </c>
      <c r="M209">
        <v>0.24802613491377701</v>
      </c>
      <c r="N209">
        <v>12108.4449265724</v>
      </c>
      <c r="O209">
        <v>2693.90198284801</v>
      </c>
      <c r="P209">
        <v>21429.4580565504</v>
      </c>
      <c r="Q209">
        <v>2754.4678980752701</v>
      </c>
      <c r="R209">
        <v>2.2179894561649398</v>
      </c>
      <c r="S209">
        <v>6109.3807552757398</v>
      </c>
    </row>
    <row r="210" spans="1:19" x14ac:dyDescent="0.75">
      <c r="A210" s="1">
        <v>45532</v>
      </c>
      <c r="B210">
        <v>7.2962980689766394E-2</v>
      </c>
      <c r="C210">
        <v>-7.9700086430682804</v>
      </c>
      <c r="D210">
        <v>4.5469047699518104</v>
      </c>
      <c r="E210" t="s">
        <v>21</v>
      </c>
      <c r="F210">
        <v>-7.8970456623785203</v>
      </c>
      <c r="G210">
        <v>2.6516666666666699</v>
      </c>
      <c r="H210">
        <v>78.260000000000005</v>
      </c>
      <c r="I210">
        <v>2.6419999999999999</v>
      </c>
      <c r="J210">
        <v>0.26256372391532701</v>
      </c>
      <c r="K210">
        <v>148.01110967915699</v>
      </c>
      <c r="L210">
        <v>31.812819013265202</v>
      </c>
      <c r="M210">
        <v>0.25373992373683202</v>
      </c>
      <c r="N210">
        <v>12788.1598762792</v>
      </c>
      <c r="O210">
        <v>2748.62756274611</v>
      </c>
      <c r="P210">
        <v>21923.129410862301</v>
      </c>
      <c r="Q210">
        <v>3375.0851104291401</v>
      </c>
      <c r="R210">
        <v>2.2216251660246402</v>
      </c>
      <c r="S210">
        <v>7498.1740188044196</v>
      </c>
    </row>
    <row r="211" spans="1:19" x14ac:dyDescent="0.75">
      <c r="A211" s="1">
        <v>45533</v>
      </c>
      <c r="B211">
        <v>7.4379801607952406E-2</v>
      </c>
      <c r="C211">
        <v>-6.1180240438028797</v>
      </c>
      <c r="D211">
        <v>3.9585507181175998</v>
      </c>
      <c r="E211" t="s">
        <v>21</v>
      </c>
      <c r="F211">
        <v>-6.0436442421949303</v>
      </c>
      <c r="G211">
        <v>2.74291666666667</v>
      </c>
      <c r="H211">
        <v>78.91</v>
      </c>
      <c r="I211">
        <v>2.7360000000000002</v>
      </c>
      <c r="J211">
        <v>0.237886970016364</v>
      </c>
      <c r="K211">
        <v>123.627652124034</v>
      </c>
      <c r="L211">
        <v>32.394785408856798</v>
      </c>
      <c r="M211">
        <v>0.235586473832153</v>
      </c>
      <c r="N211">
        <v>10681.4291435166</v>
      </c>
      <c r="O211">
        <v>2798.9094593252298</v>
      </c>
      <c r="P211">
        <v>20354.671339098</v>
      </c>
      <c r="Q211">
        <v>3599.3652606638998</v>
      </c>
      <c r="R211">
        <v>2.20594466830625</v>
      </c>
      <c r="S211">
        <v>7940.0006060482601</v>
      </c>
    </row>
    <row r="212" spans="1:19" x14ac:dyDescent="0.75">
      <c r="A212" s="1">
        <v>45534</v>
      </c>
      <c r="B212">
        <v>9.5092763779791506E-2</v>
      </c>
      <c r="C212">
        <v>-8.35214038184942</v>
      </c>
      <c r="D212">
        <v>5.9700323719705599</v>
      </c>
      <c r="E212" t="s">
        <v>21</v>
      </c>
      <c r="F212">
        <v>-8.2570476180696293</v>
      </c>
      <c r="G212">
        <v>2.9066666666666698</v>
      </c>
      <c r="H212">
        <v>78.8</v>
      </c>
      <c r="I212">
        <v>2.8986666666666698</v>
      </c>
      <c r="J212">
        <v>0.219871119590724</v>
      </c>
      <c r="K212">
        <v>106.960241075529</v>
      </c>
      <c r="L212">
        <v>32.932280814273703</v>
      </c>
      <c r="M212">
        <v>0.222069683586124</v>
      </c>
      <c r="N212">
        <v>9241.3648289256707</v>
      </c>
      <c r="O212">
        <v>2845.3490623532498</v>
      </c>
      <c r="P212">
        <v>19186.820661841099</v>
      </c>
      <c r="Q212">
        <v>2249.69876651701</v>
      </c>
      <c r="R212">
        <v>2.19060922124799</v>
      </c>
      <c r="S212">
        <v>4928.2108629623899</v>
      </c>
    </row>
    <row r="213" spans="1:19" x14ac:dyDescent="0.75">
      <c r="A213" s="1">
        <v>45535</v>
      </c>
      <c r="B213">
        <v>7.4453255341465394E-2</v>
      </c>
      <c r="C213">
        <v>-6.0222651204359297</v>
      </c>
      <c r="D213">
        <v>4.89160038468248</v>
      </c>
      <c r="E213" t="s">
        <v>21</v>
      </c>
      <c r="F213">
        <v>-5.9478118650944696</v>
      </c>
      <c r="G213">
        <v>3.1183333333333301</v>
      </c>
      <c r="H213">
        <v>78.55</v>
      </c>
      <c r="I213">
        <v>3.1093333333333302</v>
      </c>
      <c r="J213">
        <v>0.20412743280032</v>
      </c>
      <c r="K213">
        <v>93.434466101829102</v>
      </c>
      <c r="L213">
        <v>33.432281963635702</v>
      </c>
      <c r="M213">
        <v>0.20999304440649499</v>
      </c>
      <c r="N213">
        <v>8072.73787119803</v>
      </c>
      <c r="O213">
        <v>2888.5491616581198</v>
      </c>
      <c r="P213">
        <v>18143.399036721199</v>
      </c>
      <c r="Q213">
        <v>2596.36485545195</v>
      </c>
      <c r="R213">
        <v>2.17972058054294</v>
      </c>
      <c r="S213">
        <v>5659.3499100270201</v>
      </c>
    </row>
    <row r="214" spans="1:19" x14ac:dyDescent="0.75">
      <c r="A214" s="1">
        <v>45538</v>
      </c>
      <c r="B214">
        <v>8.2163205154428508E-3</v>
      </c>
      <c r="C214">
        <v>-1.3289334827892001</v>
      </c>
      <c r="D214">
        <v>1.5414680526924101</v>
      </c>
      <c r="E214" t="s">
        <v>21</v>
      </c>
      <c r="F214">
        <v>-1.3207171622737499</v>
      </c>
      <c r="G214">
        <v>3.5841666666666701</v>
      </c>
      <c r="H214">
        <v>78.760000000000005</v>
      </c>
      <c r="I214">
        <v>3.5833333333333299</v>
      </c>
      <c r="J214">
        <v>0.158540315110933</v>
      </c>
      <c r="K214">
        <v>58.810094618892698</v>
      </c>
      <c r="L214">
        <v>34.788450688779399</v>
      </c>
      <c r="M214">
        <v>0.17368325179105301</v>
      </c>
      <c r="N214">
        <v>5081.1921750723304</v>
      </c>
      <c r="O214">
        <v>3005.7221395105398</v>
      </c>
      <c r="P214">
        <v>15006.232954747</v>
      </c>
      <c r="Q214">
        <v>6814.5188283178404</v>
      </c>
      <c r="R214">
        <v>2.13576870930601</v>
      </c>
      <c r="S214">
        <v>14554.2360824979</v>
      </c>
    </row>
    <row r="215" spans="1:19" x14ac:dyDescent="0.75">
      <c r="A215" s="1">
        <v>45539</v>
      </c>
      <c r="B215">
        <v>1.2123918277433501E-2</v>
      </c>
      <c r="C215">
        <v>-3.3020642291599298</v>
      </c>
      <c r="D215">
        <v>4.0807663835618397</v>
      </c>
      <c r="E215" t="s">
        <v>21</v>
      </c>
      <c r="F215">
        <v>-3.2899403108824901</v>
      </c>
      <c r="G215">
        <v>3.7320833333333301</v>
      </c>
      <c r="H215">
        <v>78.22</v>
      </c>
      <c r="I215">
        <v>3.738</v>
      </c>
      <c r="J215">
        <v>0.150966436326812</v>
      </c>
      <c r="K215">
        <v>53.748396616201298</v>
      </c>
      <c r="L215">
        <v>35.213748601244298</v>
      </c>
      <c r="M215">
        <v>0.16741987914491499</v>
      </c>
      <c r="N215">
        <v>4643.8614676397901</v>
      </c>
      <c r="O215">
        <v>3042.4678791475098</v>
      </c>
      <c r="P215">
        <v>14465.0775581207</v>
      </c>
      <c r="Q215">
        <v>2481.2874198023901</v>
      </c>
      <c r="R215">
        <v>2.1265621796555099</v>
      </c>
      <c r="S215">
        <v>5276.6119838067698</v>
      </c>
    </row>
    <row r="216" spans="1:19" x14ac:dyDescent="0.75">
      <c r="A216" s="1">
        <v>45540</v>
      </c>
      <c r="B216">
        <v>1.2610898662790099E-2</v>
      </c>
      <c r="C216">
        <v>-5.1347139455513604</v>
      </c>
      <c r="D216">
        <v>6.4334366419833797</v>
      </c>
      <c r="E216" t="s">
        <v>21</v>
      </c>
      <c r="F216">
        <v>-5.1221030468885704</v>
      </c>
      <c r="G216">
        <v>3.76541666666667</v>
      </c>
      <c r="H216">
        <v>77.83</v>
      </c>
      <c r="I216">
        <v>3.7526666666666699</v>
      </c>
      <c r="J216">
        <v>0.148732435646689</v>
      </c>
      <c r="K216">
        <v>52.295786784874203</v>
      </c>
      <c r="L216">
        <v>35.6297262312493</v>
      </c>
      <c r="M216">
        <v>0.165557304153781</v>
      </c>
      <c r="N216">
        <v>4518.3559782131397</v>
      </c>
      <c r="O216">
        <v>3078.4083463799402</v>
      </c>
      <c r="P216">
        <v>14304.1510788867</v>
      </c>
      <c r="Q216">
        <v>1556.38522805655</v>
      </c>
      <c r="R216">
        <v>2.1237953486620098</v>
      </c>
      <c r="S216">
        <v>3305.4437080727598</v>
      </c>
    </row>
    <row r="217" spans="1:19" x14ac:dyDescent="0.75">
      <c r="A217" s="1">
        <v>45544</v>
      </c>
      <c r="B217">
        <v>8.6520636735457596E-2</v>
      </c>
      <c r="C217">
        <v>-9.1267679336249898</v>
      </c>
      <c r="D217">
        <v>7.98738070509589</v>
      </c>
      <c r="E217" t="s">
        <v>21</v>
      </c>
      <c r="F217">
        <v>-9.0402472968895307</v>
      </c>
      <c r="G217">
        <v>3.6524999999999999</v>
      </c>
      <c r="H217">
        <v>77.61</v>
      </c>
      <c r="I217">
        <v>3.67533333333333</v>
      </c>
      <c r="J217">
        <v>0.202809343042929</v>
      </c>
      <c r="K217">
        <v>92.287433484476296</v>
      </c>
      <c r="L217">
        <v>37.242144162093098</v>
      </c>
      <c r="M217">
        <v>0.208985729541842</v>
      </c>
      <c r="N217">
        <v>7973.6342530587599</v>
      </c>
      <c r="O217">
        <v>3217.7212556048398</v>
      </c>
      <c r="P217">
        <v>18056.367032415099</v>
      </c>
      <c r="Q217">
        <v>1582.4282564404</v>
      </c>
      <c r="R217">
        <v>2.1773987966448698</v>
      </c>
      <c r="S217">
        <v>3445.5773813501601</v>
      </c>
    </row>
    <row r="218" spans="1:19" x14ac:dyDescent="0.75">
      <c r="A218" s="1">
        <v>45545</v>
      </c>
      <c r="B218">
        <v>9.9031783967010997E-2</v>
      </c>
      <c r="C218">
        <v>-7.9939917182110403</v>
      </c>
      <c r="D218">
        <v>7.44531986263849</v>
      </c>
      <c r="E218" t="s">
        <v>21</v>
      </c>
      <c r="F218">
        <v>-7.8949599342440298</v>
      </c>
      <c r="G218">
        <v>3.7591666666666699</v>
      </c>
      <c r="H218">
        <v>77.290000000000006</v>
      </c>
      <c r="I218">
        <v>3.7513333333333301</v>
      </c>
      <c r="J218">
        <v>0.199348256575301</v>
      </c>
      <c r="K218">
        <v>89.398069427251599</v>
      </c>
      <c r="L218">
        <v>37.636323114483901</v>
      </c>
      <c r="M218">
        <v>0.20630843549115199</v>
      </c>
      <c r="N218">
        <v>7723.9931985145404</v>
      </c>
      <c r="O218">
        <v>3251.7783170913999</v>
      </c>
      <c r="P218">
        <v>17825.048826435501</v>
      </c>
      <c r="Q218">
        <v>1675.88960698904</v>
      </c>
      <c r="R218">
        <v>2.1736955320424398</v>
      </c>
      <c r="S218">
        <v>3642.8737509084299</v>
      </c>
    </row>
    <row r="219" spans="1:19" x14ac:dyDescent="0.75">
      <c r="A219" s="1">
        <v>45546</v>
      </c>
      <c r="B219">
        <v>0.21700810766407599</v>
      </c>
      <c r="C219">
        <v>-8.2439714951641498</v>
      </c>
      <c r="D219">
        <v>7.52669209441299</v>
      </c>
      <c r="E219" t="s">
        <v>21</v>
      </c>
      <c r="F219">
        <v>-8.0269633875000697</v>
      </c>
      <c r="G219">
        <v>3.77958333333333</v>
      </c>
      <c r="H219">
        <v>77</v>
      </c>
      <c r="I219">
        <v>3.7753333333333301</v>
      </c>
      <c r="J219">
        <v>0.194818607364487</v>
      </c>
      <c r="K219">
        <v>85.7186855047417</v>
      </c>
      <c r="L219">
        <v>38.026968901405397</v>
      </c>
      <c r="M219">
        <v>0.20277542730086301</v>
      </c>
      <c r="N219">
        <v>7406.0944276096898</v>
      </c>
      <c r="O219">
        <v>3285.53011308142</v>
      </c>
      <c r="P219">
        <v>17519.796918794498</v>
      </c>
      <c r="Q219">
        <v>1629.3821627510899</v>
      </c>
      <c r="R219">
        <v>2.1698501513614001</v>
      </c>
      <c r="S219">
        <v>3535.51513247102</v>
      </c>
    </row>
    <row r="220" spans="1:19" x14ac:dyDescent="0.75">
      <c r="A220" s="1">
        <v>45547</v>
      </c>
      <c r="B220">
        <v>0.250537422765929</v>
      </c>
      <c r="C220">
        <v>-5.2130300422858502</v>
      </c>
      <c r="D220">
        <v>3.9153721554996102</v>
      </c>
      <c r="E220" t="s">
        <v>21</v>
      </c>
      <c r="F220">
        <v>-4.9624926195199199</v>
      </c>
      <c r="G220">
        <v>3.6429166666666699</v>
      </c>
      <c r="H220">
        <v>76.819999999999993</v>
      </c>
      <c r="I220">
        <v>3.6626666666666701</v>
      </c>
      <c r="J220">
        <v>0.216914958375371</v>
      </c>
      <c r="K220">
        <v>104.47478428661201</v>
      </c>
      <c r="L220">
        <v>38.414156114032899</v>
      </c>
      <c r="M220">
        <v>0.21978901219161401</v>
      </c>
      <c r="N220">
        <v>9026.6213623632702</v>
      </c>
      <c r="O220">
        <v>3318.9830882524402</v>
      </c>
      <c r="P220">
        <v>18989.770653355401</v>
      </c>
      <c r="Q220">
        <v>3395.0385632378302</v>
      </c>
      <c r="R220">
        <v>2.19137147485432</v>
      </c>
      <c r="S220">
        <v>7439.7906635097897</v>
      </c>
    </row>
    <row r="221" spans="1:19" x14ac:dyDescent="0.75">
      <c r="A221" s="1">
        <v>45548</v>
      </c>
      <c r="B221">
        <v>0.15457638278897401</v>
      </c>
      <c r="C221">
        <v>-10.071140182290399</v>
      </c>
      <c r="D221">
        <v>6.5511847039164097</v>
      </c>
      <c r="E221" t="s">
        <v>21</v>
      </c>
      <c r="F221">
        <v>-9.9165637995014499</v>
      </c>
      <c r="G221">
        <v>3.34375</v>
      </c>
      <c r="H221">
        <v>75.88</v>
      </c>
      <c r="I221">
        <v>3.3506666666666698</v>
      </c>
      <c r="J221">
        <v>0.25082669577926597</v>
      </c>
      <c r="K221">
        <v>136.119728430707</v>
      </c>
      <c r="L221">
        <v>38.798147929141798</v>
      </c>
      <c r="M221">
        <v>0.24517124926812001</v>
      </c>
      <c r="N221">
        <v>11760.7445364131</v>
      </c>
      <c r="O221">
        <v>3352.1599810778498</v>
      </c>
      <c r="P221">
        <v>21182.7959367656</v>
      </c>
      <c r="Q221">
        <v>2263.4008695971502</v>
      </c>
      <c r="R221">
        <v>2.21349108354406</v>
      </c>
      <c r="S221">
        <v>5010.0176433391598</v>
      </c>
    </row>
    <row r="222" spans="1:19" x14ac:dyDescent="0.75">
      <c r="A222" s="1">
        <v>45549</v>
      </c>
      <c r="B222">
        <v>8.6497277618306695E-2</v>
      </c>
      <c r="C222">
        <v>-10.1287101297488</v>
      </c>
      <c r="D222">
        <v>6.5143606323565297</v>
      </c>
      <c r="E222" t="s">
        <v>21</v>
      </c>
      <c r="F222">
        <v>-10.042212852130501</v>
      </c>
      <c r="G222">
        <v>3.2712500000000002</v>
      </c>
      <c r="H222">
        <v>76.03</v>
      </c>
      <c r="I222">
        <v>3.27</v>
      </c>
      <c r="J222">
        <v>0.25765244515337499</v>
      </c>
      <c r="K222">
        <v>142.92865657381401</v>
      </c>
      <c r="L222">
        <v>39.179417335173397</v>
      </c>
      <c r="M222">
        <v>0.25017742434770501</v>
      </c>
      <c r="N222">
        <v>12349.0359279776</v>
      </c>
      <c r="O222">
        <v>3385.1016577589899</v>
      </c>
      <c r="P222">
        <v>21615.329463641701</v>
      </c>
      <c r="Q222">
        <v>2322.6731644845599</v>
      </c>
      <c r="R222">
        <v>2.2173636633958802</v>
      </c>
      <c r="S222">
        <v>5150.2110768727898</v>
      </c>
    </row>
    <row r="223" spans="1:19" x14ac:dyDescent="0.75">
      <c r="A223" s="1">
        <v>45550</v>
      </c>
      <c r="B223">
        <v>0.12541595920260901</v>
      </c>
      <c r="C223">
        <v>-10.269101495014599</v>
      </c>
      <c r="D223">
        <v>6.8288564441814303</v>
      </c>
      <c r="E223" t="s">
        <v>21</v>
      </c>
      <c r="F223">
        <v>-10.143685535812001</v>
      </c>
      <c r="G223">
        <v>3.3025000000000002</v>
      </c>
      <c r="H223">
        <v>76.819999999999993</v>
      </c>
      <c r="I223">
        <v>3.302</v>
      </c>
      <c r="J223">
        <v>0.25004333902607201</v>
      </c>
      <c r="K223">
        <v>135.31463659693901</v>
      </c>
      <c r="L223">
        <v>39.558962980016503</v>
      </c>
      <c r="M223">
        <v>0.244602010039427</v>
      </c>
      <c r="N223">
        <v>11691.184601975599</v>
      </c>
      <c r="O223">
        <v>3417.8944014734302</v>
      </c>
      <c r="P223">
        <v>21133.613667406498</v>
      </c>
      <c r="Q223">
        <v>2166.3260442075102</v>
      </c>
      <c r="R223">
        <v>2.21242962022585</v>
      </c>
      <c r="S223">
        <v>4792.8439072714</v>
      </c>
    </row>
    <row r="224" spans="1:19" x14ac:dyDescent="0.75">
      <c r="A224" s="1">
        <v>45551</v>
      </c>
      <c r="B224">
        <v>8.3616658599551294E-2</v>
      </c>
      <c r="C224">
        <v>-8.2907501432000092</v>
      </c>
      <c r="D224">
        <v>5.5332536815402698</v>
      </c>
      <c r="E224" t="s">
        <v>21</v>
      </c>
      <c r="F224">
        <v>-8.20713348460046</v>
      </c>
      <c r="G224">
        <v>3.2858333333333301</v>
      </c>
      <c r="H224">
        <v>76.5</v>
      </c>
      <c r="I224">
        <v>3.2866666666666702</v>
      </c>
      <c r="J224">
        <v>0.25038680562209598</v>
      </c>
      <c r="K224">
        <v>135.656379774762</v>
      </c>
      <c r="L224">
        <v>39.939202306208998</v>
      </c>
      <c r="M224">
        <v>0.244854122480998</v>
      </c>
      <c r="N224">
        <v>11720.7112125394</v>
      </c>
      <c r="O224">
        <v>3450.74707925645</v>
      </c>
      <c r="P224">
        <v>21155.396182358199</v>
      </c>
      <c r="Q224">
        <v>2676.3235846306802</v>
      </c>
      <c r="R224">
        <v>2.2126940244524</v>
      </c>
      <c r="S224">
        <v>5921.88520321332</v>
      </c>
    </row>
    <row r="225" spans="1:19" x14ac:dyDescent="0.75">
      <c r="A225" s="1">
        <v>45552</v>
      </c>
      <c r="B225">
        <v>7.6000885040495098E-2</v>
      </c>
      <c r="C225">
        <v>-7.6460111221337197</v>
      </c>
      <c r="D225">
        <v>5.5414481575598602</v>
      </c>
      <c r="E225" t="s">
        <v>21</v>
      </c>
      <c r="F225">
        <v>-7.5700102370932303</v>
      </c>
      <c r="G225">
        <v>3.3312499999999998</v>
      </c>
      <c r="H225">
        <v>75.45</v>
      </c>
      <c r="I225">
        <v>3.32</v>
      </c>
      <c r="J225">
        <v>0.23292872146350299</v>
      </c>
      <c r="K225">
        <v>118.901095760064</v>
      </c>
      <c r="L225">
        <v>40.321836839447798</v>
      </c>
      <c r="M225">
        <v>0.23189992093238301</v>
      </c>
      <c r="N225">
        <v>10273.0546736696</v>
      </c>
      <c r="O225">
        <v>3483.8067029282902</v>
      </c>
      <c r="P225">
        <v>20036.153168557899</v>
      </c>
      <c r="Q225">
        <v>2530.9823026778099</v>
      </c>
      <c r="R225">
        <v>2.2012137325399599</v>
      </c>
      <c r="S225">
        <v>5571.2330014700201</v>
      </c>
    </row>
    <row r="226" spans="1:19" x14ac:dyDescent="0.75">
      <c r="A226" s="1">
        <v>45553</v>
      </c>
      <c r="B226">
        <v>0.19954891792419499</v>
      </c>
      <c r="C226">
        <v>-11.003295385778101</v>
      </c>
      <c r="D226">
        <v>8.3884870841853107</v>
      </c>
      <c r="E226" t="s">
        <v>21</v>
      </c>
      <c r="F226">
        <v>-10.8037464678539</v>
      </c>
      <c r="G226">
        <v>3.3612500000000001</v>
      </c>
      <c r="H226">
        <v>76.03</v>
      </c>
      <c r="I226">
        <v>3.34375</v>
      </c>
      <c r="J226">
        <v>0.217252553747532</v>
      </c>
      <c r="K226">
        <v>104.621326284079</v>
      </c>
      <c r="L226">
        <v>40.707034477293199</v>
      </c>
      <c r="M226">
        <v>0.22008462451469399</v>
      </c>
      <c r="N226">
        <v>9039.2825909444091</v>
      </c>
      <c r="O226">
        <v>3517.0877788381299</v>
      </c>
      <c r="P226">
        <v>19015.311558069599</v>
      </c>
      <c r="Q226">
        <v>1586.7841193608299</v>
      </c>
      <c r="R226">
        <v>2.1880922506702301</v>
      </c>
      <c r="S226">
        <v>3472.0300350600201</v>
      </c>
    </row>
    <row r="227" spans="1:19" x14ac:dyDescent="0.75">
      <c r="A227" s="1">
        <v>45554</v>
      </c>
      <c r="B227">
        <v>9.1615542313913806E-2</v>
      </c>
      <c r="C227">
        <v>-8.6280631954870302</v>
      </c>
      <c r="D227">
        <v>5.9621694437748296</v>
      </c>
      <c r="E227" t="s">
        <v>21</v>
      </c>
      <c r="F227">
        <v>-8.5364476531731199</v>
      </c>
      <c r="G227">
        <v>3.2495833333333302</v>
      </c>
      <c r="H227">
        <v>76.03</v>
      </c>
      <c r="I227">
        <v>3.2481249999999999</v>
      </c>
      <c r="J227">
        <v>0.23380646943112099</v>
      </c>
      <c r="K227">
        <v>119.697551567632</v>
      </c>
      <c r="L227">
        <v>41.094750708228602</v>
      </c>
      <c r="M227">
        <v>0.232562038523002</v>
      </c>
      <c r="N227">
        <v>10341.8684554434</v>
      </c>
      <c r="O227">
        <v>3550.5864611909501</v>
      </c>
      <c r="P227">
        <v>20093.360128387401</v>
      </c>
      <c r="Q227">
        <v>2359.0996905592701</v>
      </c>
      <c r="R227">
        <v>2.2013541535747798</v>
      </c>
      <c r="S227">
        <v>5193.2139025096303</v>
      </c>
    </row>
    <row r="228" spans="1:19" x14ac:dyDescent="0.75">
      <c r="A228" s="1">
        <v>45555</v>
      </c>
      <c r="B228">
        <v>6.4646605656995398E-2</v>
      </c>
      <c r="C228">
        <v>-4.52792342592282</v>
      </c>
      <c r="D228">
        <v>3.4351386116261602</v>
      </c>
      <c r="E228" t="s">
        <v>21</v>
      </c>
      <c r="F228">
        <v>-4.4632768202658202</v>
      </c>
      <c r="G228">
        <v>3.2958333333333298</v>
      </c>
      <c r="H228">
        <v>76.819999999999993</v>
      </c>
      <c r="I228">
        <v>3.285625</v>
      </c>
      <c r="J228">
        <v>0.226162135960636</v>
      </c>
      <c r="K228">
        <v>112.71095326811</v>
      </c>
      <c r="L228">
        <v>41.484611722501697</v>
      </c>
      <c r="M228">
        <v>0.22680607937343</v>
      </c>
      <c r="N228">
        <v>9738.2263623647304</v>
      </c>
      <c r="O228">
        <v>3584.2704528241502</v>
      </c>
      <c r="P228">
        <v>19596.045257864302</v>
      </c>
      <c r="Q228">
        <v>3993.2105313245102</v>
      </c>
      <c r="R228">
        <v>2.1973110231926598</v>
      </c>
      <c r="S228">
        <v>8774.32551840835</v>
      </c>
    </row>
    <row r="229" spans="1:19" x14ac:dyDescent="0.75">
      <c r="A229" s="1">
        <v>45556</v>
      </c>
      <c r="B229">
        <v>7.5983863009657704E-2</v>
      </c>
      <c r="C229">
        <v>-6.9285526671905098</v>
      </c>
      <c r="D229">
        <v>6.1645412108087099</v>
      </c>
      <c r="E229" t="s">
        <v>21</v>
      </c>
      <c r="F229">
        <v>-6.8525688041808497</v>
      </c>
      <c r="G229">
        <v>3.5416666666666701</v>
      </c>
      <c r="H229">
        <v>76.680000000000007</v>
      </c>
      <c r="I229">
        <v>3.5325000000000002</v>
      </c>
      <c r="J229">
        <v>0.20044911104973701</v>
      </c>
      <c r="K229">
        <v>90.333685584228505</v>
      </c>
      <c r="L229">
        <v>41.875731775848003</v>
      </c>
      <c r="M229">
        <v>0.207155390504175</v>
      </c>
      <c r="N229">
        <v>7804.8304344773396</v>
      </c>
      <c r="O229">
        <v>3618.06322543327</v>
      </c>
      <c r="P229">
        <v>17898.225739560701</v>
      </c>
      <c r="Q229">
        <v>2032.3909905452399</v>
      </c>
      <c r="R229">
        <v>2.1754512535676702</v>
      </c>
      <c r="S229">
        <v>4421.36752812129</v>
      </c>
    </row>
    <row r="230" spans="1:19" x14ac:dyDescent="0.75">
      <c r="A230" s="1">
        <v>45557</v>
      </c>
      <c r="B230">
        <v>8.1892055757506299E-2</v>
      </c>
      <c r="C230">
        <v>-7.3096405034898897</v>
      </c>
      <c r="D230">
        <v>7.1505733332613604</v>
      </c>
      <c r="E230" t="s">
        <v>21</v>
      </c>
      <c r="F230">
        <v>-7.2277484477323801</v>
      </c>
      <c r="G230">
        <v>3.7637499999999999</v>
      </c>
      <c r="H230">
        <v>75.63</v>
      </c>
      <c r="I230">
        <v>3.74125</v>
      </c>
      <c r="J230">
        <v>0.18872721260594</v>
      </c>
      <c r="K230">
        <v>80.912694517021905</v>
      </c>
      <c r="L230">
        <v>42.267659203299601</v>
      </c>
      <c r="M230">
        <v>0.19798233771344201</v>
      </c>
      <c r="N230">
        <v>6990.85680627069</v>
      </c>
      <c r="O230">
        <v>3651.9257551650799</v>
      </c>
      <c r="P230">
        <v>17105.673978441399</v>
      </c>
      <c r="Q230">
        <v>1674.5470924983399</v>
      </c>
      <c r="R230">
        <v>2.1654875463458199</v>
      </c>
      <c r="S230">
        <v>3626.2108745747601</v>
      </c>
    </row>
    <row r="231" spans="1:19" x14ac:dyDescent="0.75">
      <c r="A231" s="1">
        <v>45559</v>
      </c>
      <c r="B231">
        <v>9.7452888193689299E-3</v>
      </c>
      <c r="C231">
        <v>-4.2579139124529801</v>
      </c>
      <c r="D231">
        <v>4.9571501830517803</v>
      </c>
      <c r="E231" t="s">
        <v>21</v>
      </c>
      <c r="F231">
        <v>-4.2481686236336103</v>
      </c>
      <c r="G231">
        <v>3.95583333333333</v>
      </c>
      <c r="H231">
        <v>75.27</v>
      </c>
      <c r="I231">
        <v>3.93</v>
      </c>
      <c r="J231">
        <v>0.166081902163804</v>
      </c>
      <c r="K231">
        <v>64.027066410808601</v>
      </c>
      <c r="L231">
        <v>43.047403653920803</v>
      </c>
      <c r="M231">
        <v>0.179856050807644</v>
      </c>
      <c r="N231">
        <v>5531.9385378938596</v>
      </c>
      <c r="O231">
        <v>3719.2956756987601</v>
      </c>
      <c r="P231">
        <v>15539.562789780401</v>
      </c>
      <c r="Q231">
        <v>2194.3442403735398</v>
      </c>
      <c r="R231">
        <v>2.1434642298533801</v>
      </c>
      <c r="S231">
        <v>4703.4983872254597</v>
      </c>
    </row>
    <row r="232" spans="1:19" x14ac:dyDescent="0.75">
      <c r="A232" s="1">
        <v>45560</v>
      </c>
      <c r="B232">
        <v>1.6857573253898198E-2</v>
      </c>
      <c r="C232">
        <v>-4.0032592504774698</v>
      </c>
      <c r="D232">
        <v>4.90203682255488</v>
      </c>
      <c r="E232" t="s">
        <v>21</v>
      </c>
      <c r="F232">
        <v>-3.98640167722357</v>
      </c>
      <c r="G232">
        <v>4.0154166666666704</v>
      </c>
      <c r="H232">
        <v>75.959999999999994</v>
      </c>
      <c r="I232">
        <v>3.9981249999999999</v>
      </c>
      <c r="J232">
        <v>0.15965291203309701</v>
      </c>
      <c r="K232">
        <v>59.558930457337297</v>
      </c>
      <c r="L232">
        <v>43.4318659427611</v>
      </c>
      <c r="M232">
        <v>0.174601390028711</v>
      </c>
      <c r="N232">
        <v>5145.8915915139396</v>
      </c>
      <c r="O232">
        <v>3752.5132174545602</v>
      </c>
      <c r="P232">
        <v>15085.560098480601</v>
      </c>
      <c r="Q232">
        <v>2154.18456678029</v>
      </c>
      <c r="R232">
        <v>2.1365956947869802</v>
      </c>
      <c r="S232">
        <v>4602.6214711593202</v>
      </c>
    </row>
    <row r="233" spans="1:19" x14ac:dyDescent="0.75">
      <c r="A233" s="1">
        <v>45562</v>
      </c>
      <c r="B233">
        <v>9.6256390248969995E-2</v>
      </c>
      <c r="C233">
        <v>-6.5345448817717404</v>
      </c>
      <c r="D233">
        <v>4.1174526082319103</v>
      </c>
      <c r="E233" t="s">
        <v>21</v>
      </c>
      <c r="F233">
        <v>-6.4382884915227701</v>
      </c>
      <c r="G233">
        <v>3.1733333333333298</v>
      </c>
      <c r="H233">
        <v>77</v>
      </c>
      <c r="I233">
        <v>3.2112500000000002</v>
      </c>
      <c r="J233">
        <v>0.24231974403342699</v>
      </c>
      <c r="K233">
        <v>128.16676561931999</v>
      </c>
      <c r="L233">
        <v>44.177389770488197</v>
      </c>
      <c r="M233">
        <v>0.23880786643577001</v>
      </c>
      <c r="N233">
        <v>11073.608549509199</v>
      </c>
      <c r="O233">
        <v>3816.9264761701802</v>
      </c>
      <c r="P233">
        <v>20632.9996600505</v>
      </c>
      <c r="Q233">
        <v>3507.7755924038302</v>
      </c>
      <c r="R233">
        <v>2.21481774605367</v>
      </c>
      <c r="S233">
        <v>7769.0836312299298</v>
      </c>
    </row>
    <row r="234" spans="1:19" x14ac:dyDescent="0.75">
      <c r="A234" s="1">
        <v>45563</v>
      </c>
      <c r="B234">
        <v>0.12232722706303201</v>
      </c>
      <c r="C234">
        <v>-12.3636846374954</v>
      </c>
      <c r="D234">
        <v>7.9762113065888904</v>
      </c>
      <c r="E234" t="s">
        <v>21</v>
      </c>
      <c r="F234">
        <v>-12.2413574104323</v>
      </c>
      <c r="G234">
        <v>3.04416666666667</v>
      </c>
      <c r="H234">
        <v>76.569999999999993</v>
      </c>
      <c r="I234">
        <v>3.0137499999999999</v>
      </c>
      <c r="J234">
        <v>0.24499408650332399</v>
      </c>
      <c r="K234">
        <v>130.34272837513899</v>
      </c>
      <c r="L234">
        <v>44.5335257313494</v>
      </c>
      <c r="M234">
        <v>0.24088445836676001</v>
      </c>
      <c r="N234">
        <v>11261.611731612</v>
      </c>
      <c r="O234">
        <v>3847.6966231885899</v>
      </c>
      <c r="P234">
        <v>20812.417202887998</v>
      </c>
      <c r="Q234">
        <v>1826.5178142894599</v>
      </c>
      <c r="R234">
        <v>2.2086272445580502</v>
      </c>
      <c r="S234">
        <v>4034.0970073103299</v>
      </c>
    </row>
    <row r="235" spans="1:19" x14ac:dyDescent="0.75">
      <c r="A235" s="1">
        <v>45564</v>
      </c>
      <c r="B235">
        <v>9.7780900609782201E-2</v>
      </c>
      <c r="C235">
        <v>-8.4088644362125091</v>
      </c>
      <c r="D235">
        <v>5.7843247680395002</v>
      </c>
      <c r="E235" t="s">
        <v>21</v>
      </c>
      <c r="F235">
        <v>-8.3110835356027195</v>
      </c>
      <c r="G235">
        <v>2.9745833333333298</v>
      </c>
      <c r="H235">
        <v>76.680000000000007</v>
      </c>
      <c r="I235">
        <v>2.9575</v>
      </c>
      <c r="J235">
        <v>0.229934397293037</v>
      </c>
      <c r="K235">
        <v>116.153086364288</v>
      </c>
      <c r="L235">
        <v>44.876943350033699</v>
      </c>
      <c r="M235">
        <v>0.229648229144997</v>
      </c>
      <c r="N235">
        <v>10035.626661874499</v>
      </c>
      <c r="O235">
        <v>3877.3679054429099</v>
      </c>
      <c r="P235">
        <v>19841.6069981277</v>
      </c>
      <c r="Q235">
        <v>2401.1661612487401</v>
      </c>
      <c r="R235">
        <v>2.1997012844688002</v>
      </c>
      <c r="S235">
        <v>5281.84828912188</v>
      </c>
    </row>
    <row r="236" spans="1:19" x14ac:dyDescent="0.75">
      <c r="A236" s="1">
        <v>45565</v>
      </c>
      <c r="B236">
        <v>0.24756532519805299</v>
      </c>
      <c r="C236">
        <v>-5.5297683336780201</v>
      </c>
      <c r="D236">
        <v>3.6371899744838898</v>
      </c>
      <c r="E236" t="s">
        <v>21</v>
      </c>
      <c r="F236">
        <v>-5.2822030084799696</v>
      </c>
      <c r="G236">
        <v>3.00166666666667</v>
      </c>
      <c r="H236">
        <v>76.53</v>
      </c>
      <c r="I236">
        <v>2.9987499999999998</v>
      </c>
      <c r="J236">
        <v>0.22290947794016799</v>
      </c>
      <c r="K236">
        <v>109.82579997690399</v>
      </c>
      <c r="L236">
        <v>45.206773713649604</v>
      </c>
      <c r="M236">
        <v>0.22433558195132799</v>
      </c>
      <c r="N236">
        <v>9488.9491180045407</v>
      </c>
      <c r="O236">
        <v>3905.8652488593202</v>
      </c>
      <c r="P236">
        <v>19382.594280594702</v>
      </c>
      <c r="Q236">
        <v>3730.3017141252199</v>
      </c>
      <c r="R236">
        <v>2.1962292837301201</v>
      </c>
      <c r="S236">
        <v>8192.5978617104793</v>
      </c>
    </row>
    <row r="237" spans="1:19" x14ac:dyDescent="0.75">
      <c r="A237" s="1">
        <v>45566</v>
      </c>
      <c r="B237">
        <v>8.0793885764888898E-2</v>
      </c>
      <c r="C237">
        <v>-8.1946602624062095</v>
      </c>
      <c r="D237">
        <v>5.2007521350840298</v>
      </c>
      <c r="E237" t="s">
        <v>21</v>
      </c>
      <c r="F237">
        <v>-8.1138663766413206</v>
      </c>
      <c r="G237">
        <v>2.8116666666666701</v>
      </c>
      <c r="H237">
        <v>76.709999999999994</v>
      </c>
      <c r="I237">
        <v>2.8137500000000002</v>
      </c>
      <c r="J237">
        <v>0.240972298156718</v>
      </c>
      <c r="K237">
        <v>126.47501151125201</v>
      </c>
      <c r="L237">
        <v>45.5219404588196</v>
      </c>
      <c r="M237">
        <v>0.23790233512436901</v>
      </c>
      <c r="N237">
        <v>10927.4409945721</v>
      </c>
      <c r="O237">
        <v>3933.0956556420101</v>
      </c>
      <c r="P237">
        <v>20554.761754745501</v>
      </c>
      <c r="Q237">
        <v>2766.5869963805499</v>
      </c>
      <c r="R237">
        <v>2.2061696369733799</v>
      </c>
      <c r="S237">
        <v>6103.5602294601504</v>
      </c>
    </row>
    <row r="238" spans="1:19" x14ac:dyDescent="0.75">
      <c r="A238" s="1">
        <v>45567</v>
      </c>
      <c r="B238">
        <v>7.4841132622816497E-2</v>
      </c>
      <c r="C238">
        <v>-6.6554004184558</v>
      </c>
      <c r="D238">
        <v>4.6480699414734099</v>
      </c>
      <c r="E238" t="s">
        <v>21</v>
      </c>
      <c r="F238">
        <v>-6.5805592858329804</v>
      </c>
      <c r="G238">
        <v>2.87333333333333</v>
      </c>
      <c r="H238">
        <v>77.25</v>
      </c>
      <c r="I238">
        <v>2.86625</v>
      </c>
      <c r="J238">
        <v>0.22388997232539901</v>
      </c>
      <c r="K238">
        <v>110.60322860367801</v>
      </c>
      <c r="L238">
        <v>45.820268997546201</v>
      </c>
      <c r="M238">
        <v>0.22510311250096601</v>
      </c>
      <c r="N238">
        <v>9556.1189513577392</v>
      </c>
      <c r="O238">
        <v>3958.8712413879898</v>
      </c>
      <c r="P238">
        <v>19448.908920083399</v>
      </c>
      <c r="Q238">
        <v>2929.0084735133701</v>
      </c>
      <c r="R238">
        <v>2.1945812375056399</v>
      </c>
      <c r="S238">
        <v>6427.9470404674803</v>
      </c>
    </row>
    <row r="239" spans="1:19" x14ac:dyDescent="0.75">
      <c r="A239" s="1">
        <v>45568</v>
      </c>
      <c r="B239">
        <v>8.17718276540952E-2</v>
      </c>
      <c r="C239">
        <v>-7.6694336077920902</v>
      </c>
      <c r="D239">
        <v>5.9284385225473804</v>
      </c>
      <c r="E239" t="s">
        <v>21</v>
      </c>
      <c r="F239">
        <v>-7.5876617801380002</v>
      </c>
      <c r="G239">
        <v>3.0145833333333298</v>
      </c>
      <c r="H239">
        <v>76.930000000000007</v>
      </c>
      <c r="I239">
        <v>3.0031249999999998</v>
      </c>
      <c r="J239">
        <v>0.20683113138953499</v>
      </c>
      <c r="K239">
        <v>95.665558167648896</v>
      </c>
      <c r="L239">
        <v>46.048447693606697</v>
      </c>
      <c r="M239">
        <v>0.21209183420625399</v>
      </c>
      <c r="N239">
        <v>8265.5042256848592</v>
      </c>
      <c r="O239">
        <v>3978.58588072762</v>
      </c>
      <c r="P239">
        <v>18324.7344754203</v>
      </c>
      <c r="Q239">
        <v>2163.6918530922899</v>
      </c>
      <c r="R239">
        <v>2.18079957674018</v>
      </c>
      <c r="S239">
        <v>4718.5782774198397</v>
      </c>
    </row>
    <row r="240" spans="1:19" x14ac:dyDescent="0.75">
      <c r="A240" s="1">
        <v>45569</v>
      </c>
      <c r="B240">
        <v>7.2297942486163794E-2</v>
      </c>
      <c r="C240">
        <v>-5.95292899062889</v>
      </c>
      <c r="D240">
        <v>4.9903138740709796</v>
      </c>
      <c r="E240" t="s">
        <v>21</v>
      </c>
      <c r="F240">
        <v>-5.88063104814273</v>
      </c>
      <c r="G240">
        <v>3.09541666666667</v>
      </c>
      <c r="H240">
        <v>76.86</v>
      </c>
      <c r="I240">
        <v>3.0923529411764701</v>
      </c>
      <c r="J240">
        <v>0.19368252554686899</v>
      </c>
      <c r="K240">
        <v>84.849376312328204</v>
      </c>
      <c r="L240">
        <v>46.171831335339299</v>
      </c>
      <c r="M240">
        <v>0.20187349021154199</v>
      </c>
      <c r="N240">
        <v>7330.98611338516</v>
      </c>
      <c r="O240">
        <v>3989.2462273733099</v>
      </c>
      <c r="P240">
        <v>17441.869554277298</v>
      </c>
      <c r="Q240">
        <v>2446.6013553640501</v>
      </c>
      <c r="R240">
        <v>2.1700958838988198</v>
      </c>
      <c r="S240">
        <v>5309.3595308168096</v>
      </c>
    </row>
    <row r="241" spans="1:19" x14ac:dyDescent="0.75">
      <c r="A241" s="1">
        <v>45570</v>
      </c>
      <c r="B241">
        <v>7.5934749965087103E-2</v>
      </c>
      <c r="C241">
        <v>-9.4824695935217598</v>
      </c>
      <c r="D241">
        <v>8.3709528263308393</v>
      </c>
      <c r="E241" t="s">
        <v>21</v>
      </c>
      <c r="F241">
        <v>-9.4065348435566793</v>
      </c>
      <c r="G241">
        <v>3.1645833333333302</v>
      </c>
      <c r="H241">
        <v>77.14</v>
      </c>
      <c r="I241">
        <v>3.1658823529411801</v>
      </c>
      <c r="J241">
        <v>0.184993114228652</v>
      </c>
      <c r="K241">
        <v>77.957932270898596</v>
      </c>
      <c r="L241">
        <v>46.185324305933499</v>
      </c>
      <c r="M241">
        <v>0.195046923624936</v>
      </c>
      <c r="N241">
        <v>6735.5653482056396</v>
      </c>
      <c r="O241">
        <v>3990.4120200326502</v>
      </c>
      <c r="P241">
        <v>16852.0542011945</v>
      </c>
      <c r="Q241">
        <v>1409.2108969639</v>
      </c>
      <c r="R241">
        <v>2.1605565763302899</v>
      </c>
      <c r="S241">
        <v>3044.6798708716501</v>
      </c>
    </row>
    <row r="242" spans="1:19" x14ac:dyDescent="0.75">
      <c r="A242" s="1">
        <v>45571</v>
      </c>
      <c r="B242">
        <v>5.5481019515117101E-2</v>
      </c>
      <c r="C242">
        <v>-1.9051073545700701</v>
      </c>
      <c r="D242">
        <v>0.85605261839288804</v>
      </c>
      <c r="E242" t="s">
        <v>21</v>
      </c>
      <c r="F242">
        <v>-1.84962633505495</v>
      </c>
      <c r="G242">
        <v>3.1575000000000002</v>
      </c>
      <c r="H242">
        <v>76.680000000000007</v>
      </c>
      <c r="I242">
        <v>3.1205882352941199</v>
      </c>
      <c r="J242">
        <v>0.277227105514817</v>
      </c>
      <c r="K242">
        <v>169.621612385844</v>
      </c>
      <c r="L242">
        <v>46.084711735262097</v>
      </c>
      <c r="M242">
        <v>0.26302732741509</v>
      </c>
      <c r="N242">
        <v>14655.307310136899</v>
      </c>
      <c r="O242">
        <v>3981.7190939266502</v>
      </c>
      <c r="P242">
        <v>22725.561088663799</v>
      </c>
      <c r="Q242">
        <v>18582.8445825321</v>
      </c>
      <c r="R242">
        <v>2.3261870006255898</v>
      </c>
      <c r="S242">
        <v>43227.171502531797</v>
      </c>
    </row>
    <row r="243" spans="1:19" x14ac:dyDescent="0.75">
      <c r="A243" s="1">
        <v>45572</v>
      </c>
      <c r="B243">
        <v>9.7304918942949598E-2</v>
      </c>
      <c r="C243">
        <v>-10.787451210335499</v>
      </c>
      <c r="D243">
        <v>4.6979130395552398</v>
      </c>
      <c r="E243" t="s">
        <v>21</v>
      </c>
      <c r="F243">
        <v>-10.690146291392599</v>
      </c>
      <c r="G243">
        <v>2.83958333333333</v>
      </c>
      <c r="H243">
        <v>74.88</v>
      </c>
      <c r="I243">
        <v>2.8358823529411801</v>
      </c>
      <c r="J243">
        <v>0.35110471539124899</v>
      </c>
      <c r="K243">
        <v>251.79025663196299</v>
      </c>
      <c r="L243">
        <v>45.866491924242602</v>
      </c>
      <c r="M243">
        <v>0.31567250217492698</v>
      </c>
      <c r="N243">
        <v>21754.678173001601</v>
      </c>
      <c r="O243">
        <v>3962.8649022545601</v>
      </c>
      <c r="P243">
        <v>27274.104187913701</v>
      </c>
      <c r="Q243">
        <v>4063.9051363426302</v>
      </c>
      <c r="R243">
        <v>2.2717759919551499</v>
      </c>
      <c r="S243">
        <v>9232.2821223264</v>
      </c>
    </row>
    <row r="244" spans="1:19" x14ac:dyDescent="0.75">
      <c r="A244" s="1">
        <v>45573</v>
      </c>
      <c r="B244">
        <v>7.3922857550495602E-2</v>
      </c>
      <c r="C244">
        <v>-6.7336502732287196</v>
      </c>
      <c r="D244">
        <v>3.2171311187994198</v>
      </c>
      <c r="E244" t="s">
        <v>21</v>
      </c>
      <c r="F244">
        <v>-6.65972741567822</v>
      </c>
      <c r="G244">
        <v>2.9408333333333299</v>
      </c>
      <c r="H244">
        <v>74.16</v>
      </c>
      <c r="I244">
        <v>2.9329411764705902</v>
      </c>
      <c r="J244">
        <v>0.32994776019855099</v>
      </c>
      <c r="K244">
        <v>224.86966230355199</v>
      </c>
      <c r="L244">
        <v>45.527517066139701</v>
      </c>
      <c r="M244">
        <v>0.30124593801819799</v>
      </c>
      <c r="N244">
        <v>19428.738823026899</v>
      </c>
      <c r="O244">
        <v>3933.5774745144699</v>
      </c>
      <c r="P244">
        <v>26027.649044772301</v>
      </c>
      <c r="Q244">
        <v>5663.2302690043198</v>
      </c>
      <c r="R244">
        <v>2.2623744293938</v>
      </c>
      <c r="S244">
        <v>12812.347348364299</v>
      </c>
    </row>
    <row r="245" spans="1:19" x14ac:dyDescent="0.75">
      <c r="A245" s="1">
        <v>45574</v>
      </c>
      <c r="B245">
        <v>0.427399362427691</v>
      </c>
      <c r="C245">
        <v>-4.2095627438548098</v>
      </c>
      <c r="D245">
        <v>1.7511873196458101</v>
      </c>
      <c r="E245" t="s">
        <v>21</v>
      </c>
      <c r="F245">
        <v>-3.7821633814271198</v>
      </c>
      <c r="G245">
        <v>3.1479166666666698</v>
      </c>
      <c r="H245">
        <v>74.23</v>
      </c>
      <c r="I245">
        <v>3.1088235294117599</v>
      </c>
      <c r="J245">
        <v>0.336890482417328</v>
      </c>
      <c r="K245">
        <v>235.57507873660899</v>
      </c>
      <c r="L245">
        <v>45.066194633292199</v>
      </c>
      <c r="M245">
        <v>0.30569032503825599</v>
      </c>
      <c r="N245">
        <v>20353.686802843102</v>
      </c>
      <c r="O245">
        <v>3893.71921631644</v>
      </c>
      <c r="P245">
        <v>26411.644083305298</v>
      </c>
      <c r="Q245">
        <v>10557.4947071071</v>
      </c>
      <c r="R245">
        <v>2.2874884475767598</v>
      </c>
      <c r="S245">
        <v>24150.147177860301</v>
      </c>
    </row>
    <row r="246" spans="1:19" x14ac:dyDescent="0.75">
      <c r="A246" s="1">
        <v>45575</v>
      </c>
      <c r="B246">
        <v>0.109023402483203</v>
      </c>
      <c r="C246">
        <v>-13.1601272844012</v>
      </c>
      <c r="D246">
        <v>4.0556847171145902</v>
      </c>
      <c r="E246" t="s">
        <v>21</v>
      </c>
      <c r="F246">
        <v>-13.051103881917999</v>
      </c>
      <c r="G246">
        <v>2.9570833333333302</v>
      </c>
      <c r="H246">
        <v>72.819999999999993</v>
      </c>
      <c r="I246">
        <v>2.97235294117647</v>
      </c>
      <c r="J246">
        <v>0.48006908316846902</v>
      </c>
      <c r="K246">
        <v>446.61925410146398</v>
      </c>
      <c r="L246">
        <v>44.491021147302902</v>
      </c>
      <c r="M246">
        <v>0.39929017197004302</v>
      </c>
      <c r="N246">
        <v>38587.903554366501</v>
      </c>
      <c r="O246">
        <v>3844.0242271269699</v>
      </c>
      <c r="P246">
        <v>34498.670858211699</v>
      </c>
      <c r="Q246">
        <v>5954.3754717523998</v>
      </c>
      <c r="R246">
        <v>2.3299418557649401</v>
      </c>
      <c r="S246">
        <v>13873.348636576</v>
      </c>
    </row>
    <row r="247" spans="1:19" x14ac:dyDescent="0.75">
      <c r="A247" s="1">
        <v>45576</v>
      </c>
      <c r="B247">
        <v>0.14956956384992701</v>
      </c>
      <c r="C247">
        <v>-13.8637394750039</v>
      </c>
      <c r="D247">
        <v>4.36774480708696</v>
      </c>
      <c r="E247" t="s">
        <v>21</v>
      </c>
      <c r="F247">
        <v>-13.714169911154</v>
      </c>
      <c r="G247">
        <v>2.6370833333333299</v>
      </c>
      <c r="H247">
        <v>72</v>
      </c>
      <c r="I247">
        <v>2.6147058823529399</v>
      </c>
      <c r="J247">
        <v>0.45685719962348997</v>
      </c>
      <c r="K247">
        <v>407.65957552094102</v>
      </c>
      <c r="L247">
        <v>43.811908170532099</v>
      </c>
      <c r="M247">
        <v>0.38472335982112199</v>
      </c>
      <c r="N247">
        <v>35221.787325009303</v>
      </c>
      <c r="O247">
        <v>3785.3488659339801</v>
      </c>
      <c r="P247">
        <v>33240.098288544999</v>
      </c>
      <c r="Q247">
        <v>5327.2500637462799</v>
      </c>
      <c r="R247">
        <v>2.3193624287049599</v>
      </c>
      <c r="S247">
        <v>12355.8236461693</v>
      </c>
    </row>
    <row r="248" spans="1:19" x14ac:dyDescent="0.75">
      <c r="A248" s="1">
        <v>45577</v>
      </c>
      <c r="B248">
        <v>0.113743882177972</v>
      </c>
      <c r="C248">
        <v>-13.634556974228</v>
      </c>
      <c r="D248">
        <v>4.2904860297234801</v>
      </c>
      <c r="E248" t="s">
        <v>21</v>
      </c>
      <c r="F248">
        <v>-13.5208130920501</v>
      </c>
      <c r="G248">
        <v>2.4183333333333299</v>
      </c>
      <c r="H248">
        <v>70.27</v>
      </c>
      <c r="I248">
        <v>2.4035294117647101</v>
      </c>
      <c r="J248">
        <v>0.44247563676945501</v>
      </c>
      <c r="K248">
        <v>384.48460280046299</v>
      </c>
      <c r="L248">
        <v>43.039162508279098</v>
      </c>
      <c r="M248">
        <v>0.37558748114988999</v>
      </c>
      <c r="N248">
        <v>33219.469681959999</v>
      </c>
      <c r="O248">
        <v>3718.5836407153101</v>
      </c>
      <c r="P248">
        <v>32450.758371350501</v>
      </c>
      <c r="Q248">
        <v>5294.3957170766798</v>
      </c>
      <c r="R248">
        <v>2.3135478245601799</v>
      </c>
      <c r="S248">
        <v>12248.8376936035</v>
      </c>
    </row>
    <row r="249" spans="1:19" x14ac:dyDescent="0.75">
      <c r="A249" s="1">
        <v>45578</v>
      </c>
      <c r="B249">
        <v>8.4947938804131595E-2</v>
      </c>
      <c r="C249">
        <v>-12.599486907693001</v>
      </c>
      <c r="D249">
        <v>4.0667875822801998</v>
      </c>
      <c r="E249" t="s">
        <v>21</v>
      </c>
      <c r="F249">
        <v>-12.5145389688888</v>
      </c>
      <c r="G249">
        <v>2.2549999999999999</v>
      </c>
      <c r="H249">
        <v>69.98</v>
      </c>
      <c r="I249">
        <v>2.24411764705882</v>
      </c>
      <c r="J249">
        <v>0.42650297224836897</v>
      </c>
      <c r="K249">
        <v>359.477638927003</v>
      </c>
      <c r="L249">
        <v>42.181662857338402</v>
      </c>
      <c r="M249">
        <v>0.36535274319461902</v>
      </c>
      <c r="N249">
        <v>31058.868003293101</v>
      </c>
      <c r="O249">
        <v>3644.4956708740401</v>
      </c>
      <c r="P249">
        <v>31566.477012015101</v>
      </c>
      <c r="Q249">
        <v>5433.4123583659903</v>
      </c>
      <c r="R249">
        <v>2.3069460908572901</v>
      </c>
      <c r="S249">
        <v>12534.589400148099</v>
      </c>
    </row>
    <row r="250" spans="1:19" x14ac:dyDescent="0.75">
      <c r="A250" s="1">
        <v>45579</v>
      </c>
      <c r="B250">
        <v>8.1768295050105702E-2</v>
      </c>
      <c r="C250">
        <v>-10.8303031911568</v>
      </c>
      <c r="D250">
        <v>3.7406456131156398</v>
      </c>
      <c r="E250" t="s">
        <v>21</v>
      </c>
      <c r="F250">
        <v>-10.748534896106699</v>
      </c>
      <c r="G250">
        <v>2.2437499999999999</v>
      </c>
      <c r="H250">
        <v>69.73</v>
      </c>
      <c r="I250">
        <v>2.22705882352941</v>
      </c>
      <c r="J250">
        <v>0.398855379074394</v>
      </c>
      <c r="K250">
        <v>318.13726383017001</v>
      </c>
      <c r="L250">
        <v>41.248748903963303</v>
      </c>
      <c r="M250">
        <v>0.34739008004649002</v>
      </c>
      <c r="N250">
        <v>27487.059594926701</v>
      </c>
      <c r="O250">
        <v>3563.8919053024301</v>
      </c>
      <c r="P250">
        <v>30014.5029160167</v>
      </c>
      <c r="Q250">
        <v>5616.7181321707803</v>
      </c>
      <c r="R250">
        <v>2.2960517665618001</v>
      </c>
      <c r="S250">
        <v>12896.2755896504</v>
      </c>
    </row>
    <row r="251" spans="1:19" x14ac:dyDescent="0.75">
      <c r="A251" s="1">
        <v>45580</v>
      </c>
      <c r="B251">
        <v>8.31228405503181E-2</v>
      </c>
      <c r="C251">
        <v>-7.4529867994706001</v>
      </c>
      <c r="D251">
        <v>2.8438970566201198</v>
      </c>
      <c r="E251" t="s">
        <v>21</v>
      </c>
      <c r="F251">
        <v>-7.3698639589202797</v>
      </c>
      <c r="G251">
        <v>2.2408333333333301</v>
      </c>
      <c r="H251">
        <v>70.38</v>
      </c>
      <c r="I251">
        <v>2.2335294117647102</v>
      </c>
      <c r="J251">
        <v>0.366534291704947</v>
      </c>
      <c r="K251">
        <v>272.55445782114202</v>
      </c>
      <c r="L251">
        <v>40.251082561028198</v>
      </c>
      <c r="M251">
        <v>0.32601818602471699</v>
      </c>
      <c r="N251">
        <v>23548.705155746698</v>
      </c>
      <c r="O251">
        <v>3477.6935332728399</v>
      </c>
      <c r="P251">
        <v>28167.971272535498</v>
      </c>
      <c r="Q251">
        <v>6933.2959309745902</v>
      </c>
      <c r="R251">
        <v>2.2808506622490898</v>
      </c>
      <c r="S251">
        <v>15813.8126157323</v>
      </c>
    </row>
    <row r="252" spans="1:19" x14ac:dyDescent="0.75">
      <c r="A252" s="1">
        <v>45581</v>
      </c>
      <c r="B252">
        <v>7.6244793152382598E-2</v>
      </c>
      <c r="C252">
        <v>-6.4289038444740099</v>
      </c>
      <c r="D252">
        <v>2.8055328518701801</v>
      </c>
      <c r="E252" t="s">
        <v>21</v>
      </c>
      <c r="F252">
        <v>-6.3526590513216297</v>
      </c>
      <c r="G252">
        <v>2.5020833333333301</v>
      </c>
      <c r="H252">
        <v>69.98</v>
      </c>
      <c r="I252">
        <v>2.49411764705882</v>
      </c>
      <c r="J252">
        <v>0.33807940524971902</v>
      </c>
      <c r="K252">
        <v>235.03856340432301</v>
      </c>
      <c r="L252">
        <v>39.1971986165548</v>
      </c>
      <c r="M252">
        <v>0.30681963464455603</v>
      </c>
      <c r="N252">
        <v>20307.3318781335</v>
      </c>
      <c r="O252">
        <v>3386.6379604703302</v>
      </c>
      <c r="P252">
        <v>26509.216433289599</v>
      </c>
      <c r="Q252">
        <v>6614.2342588977099</v>
      </c>
      <c r="R252">
        <v>2.2658818455679399</v>
      </c>
      <c r="S252">
        <v>14987.073329569799</v>
      </c>
    </row>
    <row r="253" spans="1:19" x14ac:dyDescent="0.75">
      <c r="A253" s="1">
        <v>45582</v>
      </c>
      <c r="B253">
        <v>7.1489271111454894E-2</v>
      </c>
      <c r="C253">
        <v>-7.7870466843172004</v>
      </c>
      <c r="D253">
        <v>3.8293708681604399</v>
      </c>
      <c r="E253" t="s">
        <v>21</v>
      </c>
      <c r="F253">
        <v>-7.7155574132057501</v>
      </c>
      <c r="G253">
        <v>2.9316666666666702</v>
      </c>
      <c r="H253">
        <v>64.83</v>
      </c>
      <c r="I253">
        <v>2.9082352941176501</v>
      </c>
      <c r="J253">
        <v>0.31373143988712199</v>
      </c>
      <c r="K253">
        <v>205.02944497057501</v>
      </c>
      <c r="L253">
        <v>38.090702645128196</v>
      </c>
      <c r="M253">
        <v>0.29005731059060402</v>
      </c>
      <c r="N253">
        <v>17714.5440454577</v>
      </c>
      <c r="O253">
        <v>3291.0367085390799</v>
      </c>
      <c r="P253">
        <v>25060.951635028199</v>
      </c>
      <c r="Q253">
        <v>4581.0830939304997</v>
      </c>
      <c r="R253">
        <v>2.25306840486473</v>
      </c>
      <c r="S253">
        <v>10321.493578994799</v>
      </c>
    </row>
    <row r="254" spans="1:19" x14ac:dyDescent="0.75">
      <c r="A254" s="1">
        <v>45583</v>
      </c>
      <c r="B254">
        <v>8.5142006258584202E-2</v>
      </c>
      <c r="C254">
        <v>-9.1950461500602891</v>
      </c>
      <c r="D254">
        <v>4.9734179252958999</v>
      </c>
      <c r="E254" t="s">
        <v>21</v>
      </c>
      <c r="F254">
        <v>-9.1099041438017103</v>
      </c>
      <c r="G254">
        <v>3.145</v>
      </c>
      <c r="H254">
        <v>62.1</v>
      </c>
      <c r="I254">
        <v>3.1276470588235301</v>
      </c>
      <c r="J254">
        <v>0.29005866526884599</v>
      </c>
      <c r="K254">
        <v>177.58172523262999</v>
      </c>
      <c r="L254">
        <v>36.934135761073399</v>
      </c>
      <c r="M254">
        <v>0.27345857927873202</v>
      </c>
      <c r="N254">
        <v>15343.0610600992</v>
      </c>
      <c r="O254">
        <v>3191.10932975675</v>
      </c>
      <c r="P254">
        <v>23626.821249682402</v>
      </c>
      <c r="Q254">
        <v>3325.4343638924502</v>
      </c>
      <c r="R254">
        <v>2.2388287411805798</v>
      </c>
      <c r="S254">
        <v>7445.0780307919804</v>
      </c>
    </row>
    <row r="255" spans="1:19" x14ac:dyDescent="0.75">
      <c r="A255" s="1">
        <v>45584</v>
      </c>
      <c r="B255">
        <v>7.3478405755168494E-2</v>
      </c>
      <c r="C255">
        <v>-8.6241823842001804</v>
      </c>
      <c r="D255">
        <v>5.0894307283071303</v>
      </c>
      <c r="E255" t="s">
        <v>21</v>
      </c>
      <c r="F255">
        <v>-8.5507039784450107</v>
      </c>
      <c r="G255">
        <v>3.2512500000000002</v>
      </c>
      <c r="H255">
        <v>63.61</v>
      </c>
      <c r="I255">
        <v>3.24529411764706</v>
      </c>
      <c r="J255">
        <v>0.27304972973582298</v>
      </c>
      <c r="K255">
        <v>158.98312533373701</v>
      </c>
      <c r="L255">
        <v>35.729196304954399</v>
      </c>
      <c r="M255">
        <v>0.26132167870716</v>
      </c>
      <c r="N255">
        <v>13736.1420288348</v>
      </c>
      <c r="O255">
        <v>3087.0025607480602</v>
      </c>
      <c r="P255">
        <v>22578.1930402986</v>
      </c>
      <c r="Q255">
        <v>3105.4033293554799</v>
      </c>
      <c r="R255">
        <v>2.2280956964917702</v>
      </c>
      <c r="S255">
        <v>6919.1357940081698</v>
      </c>
    </row>
    <row r="256" spans="1:19" x14ac:dyDescent="0.75">
      <c r="A256" s="1">
        <v>45585</v>
      </c>
      <c r="B256">
        <v>7.7136205402236993E-2</v>
      </c>
      <c r="C256">
        <v>-8.2026650910924204</v>
      </c>
      <c r="D256">
        <v>5.2220811781443199</v>
      </c>
      <c r="E256" t="s">
        <v>21</v>
      </c>
      <c r="F256">
        <v>-8.1255288856901906</v>
      </c>
      <c r="G256">
        <v>3.38625</v>
      </c>
      <c r="H256">
        <v>65.05</v>
      </c>
      <c r="I256">
        <v>3.3735294117647099</v>
      </c>
      <c r="J256">
        <v>0.25874155718008401</v>
      </c>
      <c r="K256">
        <v>144.07465229167801</v>
      </c>
      <c r="L256">
        <v>34.480165581088201</v>
      </c>
      <c r="M256">
        <v>0.25096335788657997</v>
      </c>
      <c r="N256">
        <v>12448.049958001</v>
      </c>
      <c r="O256">
        <v>2979.0863062060198</v>
      </c>
      <c r="P256">
        <v>21683.234121400499</v>
      </c>
      <c r="Q256">
        <v>2906.5545645872198</v>
      </c>
      <c r="R256">
        <v>2.2187638226898199</v>
      </c>
      <c r="S256">
        <v>6448.9581165801001</v>
      </c>
    </row>
    <row r="257" spans="1:19" x14ac:dyDescent="0.75">
      <c r="A257" s="1">
        <v>45586</v>
      </c>
      <c r="B257">
        <v>7.1643698354196206E-2</v>
      </c>
      <c r="C257">
        <v>-8.4652496035602205</v>
      </c>
      <c r="D257">
        <v>5.8499315953755797</v>
      </c>
      <c r="E257" t="s">
        <v>21</v>
      </c>
      <c r="F257">
        <v>-8.3936059052060195</v>
      </c>
      <c r="G257">
        <v>3.5404166666666699</v>
      </c>
      <c r="H257">
        <v>66.31</v>
      </c>
      <c r="I257">
        <v>3.52</v>
      </c>
      <c r="J257">
        <v>0.24483262784707399</v>
      </c>
      <c r="K257">
        <v>130.229543134723</v>
      </c>
      <c r="L257">
        <v>33.190435316405797</v>
      </c>
      <c r="M257">
        <v>0.24075517824008799</v>
      </c>
      <c r="N257">
        <v>11251.8325268401</v>
      </c>
      <c r="O257">
        <v>2867.65361133746</v>
      </c>
      <c r="P257">
        <v>20801.247399943601</v>
      </c>
      <c r="Q257">
        <v>2489.0672553284198</v>
      </c>
      <c r="R257">
        <v>2.2093503303297699</v>
      </c>
      <c r="S257">
        <v>5499.2215627728501</v>
      </c>
    </row>
    <row r="258" spans="1:19" x14ac:dyDescent="0.75">
      <c r="A258" s="1">
        <v>45587</v>
      </c>
      <c r="B258">
        <v>7.5678136843279106E-2</v>
      </c>
      <c r="C258">
        <v>-8.2690351186827105</v>
      </c>
      <c r="D258">
        <v>6.1632063048686501</v>
      </c>
      <c r="E258" t="s">
        <v>21</v>
      </c>
      <c r="F258">
        <v>-8.1933569818394307</v>
      </c>
      <c r="G258">
        <v>3.5745833333333299</v>
      </c>
      <c r="H258">
        <v>66.81</v>
      </c>
      <c r="I258">
        <v>3.5717647058823498</v>
      </c>
      <c r="J258">
        <v>0.229317918787353</v>
      </c>
      <c r="K258">
        <v>115.513667401795</v>
      </c>
      <c r="L258">
        <v>31.862874977177601</v>
      </c>
      <c r="M258">
        <v>0.229202503108213</v>
      </c>
      <c r="N258">
        <v>9980.3808635151308</v>
      </c>
      <c r="O258">
        <v>2752.9523980281501</v>
      </c>
      <c r="P258">
        <v>19803.096268549602</v>
      </c>
      <c r="Q258">
        <v>2249.1811408347999</v>
      </c>
      <c r="R258">
        <v>2.1977385418723898</v>
      </c>
      <c r="S258">
        <v>4943.1120808651503</v>
      </c>
    </row>
    <row r="259" spans="1:19" x14ac:dyDescent="0.75">
      <c r="A259" s="1">
        <v>45588</v>
      </c>
      <c r="B259">
        <v>6.9403545959755994E-2</v>
      </c>
      <c r="C259">
        <v>-7.0028917930263503</v>
      </c>
      <c r="D259">
        <v>5.6768032681329501</v>
      </c>
      <c r="E259" t="s">
        <v>21</v>
      </c>
      <c r="F259">
        <v>-6.9334882470665899</v>
      </c>
      <c r="G259">
        <v>3.6541666666666699</v>
      </c>
      <c r="H259">
        <v>68.97</v>
      </c>
      <c r="I259">
        <v>3.6494117647058801</v>
      </c>
      <c r="J259">
        <v>0.21604308163161801</v>
      </c>
      <c r="K259">
        <v>103.584431799369</v>
      </c>
      <c r="L259">
        <v>30.501164409010102</v>
      </c>
      <c r="M259">
        <v>0.21915647899757801</v>
      </c>
      <c r="N259">
        <v>8949.6949074655004</v>
      </c>
      <c r="O259">
        <v>2635.3006049384699</v>
      </c>
      <c r="P259">
        <v>18935.119785390802</v>
      </c>
      <c r="Q259">
        <v>2334.8675696018699</v>
      </c>
      <c r="R259">
        <v>2.1877606684536701</v>
      </c>
      <c r="S259">
        <v>5108.1314348229898</v>
      </c>
    </row>
    <row r="260" spans="1:19" x14ac:dyDescent="0.75">
      <c r="A260" s="1">
        <v>45589</v>
      </c>
      <c r="B260">
        <v>7.6560118516916603E-2</v>
      </c>
      <c r="C260">
        <v>-6.4243077965216298</v>
      </c>
      <c r="D260">
        <v>5.7636317983323204</v>
      </c>
      <c r="E260" t="s">
        <v>21</v>
      </c>
      <c r="F260">
        <v>-6.3477476780047102</v>
      </c>
      <c r="G260">
        <v>3.8604166666666702</v>
      </c>
      <c r="H260">
        <v>68.61</v>
      </c>
      <c r="I260">
        <v>3.8417647058823499</v>
      </c>
      <c r="J260">
        <v>0.20285337722190599</v>
      </c>
      <c r="K260">
        <v>92.331344670583206</v>
      </c>
      <c r="L260">
        <v>29.108580173791299</v>
      </c>
      <c r="M260">
        <v>0.20901813601948599</v>
      </c>
      <c r="N260">
        <v>7977.4281795383904</v>
      </c>
      <c r="O260">
        <v>2514.9813270155701</v>
      </c>
      <c r="P260">
        <v>18059.1669520836</v>
      </c>
      <c r="Q260">
        <v>2193.3075027652299</v>
      </c>
      <c r="R260">
        <v>2.1776242666577099</v>
      </c>
      <c r="S260">
        <v>4776.1996422639804</v>
      </c>
    </row>
    <row r="261" spans="1:19" x14ac:dyDescent="0.75">
      <c r="A261" s="1">
        <v>45590</v>
      </c>
      <c r="B261">
        <v>7.5544391477825906E-2</v>
      </c>
      <c r="C261">
        <v>-6.6342421735446102</v>
      </c>
      <c r="D261">
        <v>6.7139439421372398</v>
      </c>
      <c r="E261" t="s">
        <v>21</v>
      </c>
      <c r="F261">
        <v>-6.5586977820667798</v>
      </c>
      <c r="G261">
        <v>4.1204166666666699</v>
      </c>
      <c r="H261">
        <v>67.959999999999994</v>
      </c>
      <c r="I261">
        <v>4.0988235294117601</v>
      </c>
      <c r="J261">
        <v>0.189070453385662</v>
      </c>
      <c r="K261">
        <v>81.176183245272497</v>
      </c>
      <c r="L261">
        <v>27.6897553766469</v>
      </c>
      <c r="M261">
        <v>0.19825465166908099</v>
      </c>
      <c r="N261">
        <v>7013.6222323915399</v>
      </c>
      <c r="O261">
        <v>2392.3948645423002</v>
      </c>
      <c r="P261">
        <v>17129.201904208599</v>
      </c>
      <c r="Q261">
        <v>1785.90131765817</v>
      </c>
      <c r="R261">
        <v>2.1656166216804502</v>
      </c>
      <c r="S261">
        <v>3867.5775782015698</v>
      </c>
    </row>
    <row r="262" spans="1:19" x14ac:dyDescent="0.75">
      <c r="A262" s="1">
        <v>45592</v>
      </c>
      <c r="B262">
        <v>1.00818065692895E-2</v>
      </c>
      <c r="C262">
        <v>-3.07268677748807</v>
      </c>
      <c r="D262">
        <v>3.87773412521886</v>
      </c>
      <c r="E262" t="s">
        <v>21</v>
      </c>
      <c r="F262">
        <v>-3.0626049709187799</v>
      </c>
      <c r="G262">
        <v>4.5279166666666697</v>
      </c>
      <c r="H262">
        <v>68.180000000000007</v>
      </c>
      <c r="I262">
        <v>4.4958823529411802</v>
      </c>
      <c r="J262">
        <v>0.166037867984827</v>
      </c>
      <c r="K262">
        <v>64.012529231574007</v>
      </c>
      <c r="L262">
        <v>24.7807996425304</v>
      </c>
      <c r="M262">
        <v>0.17981450823539599</v>
      </c>
      <c r="N262">
        <v>5530.6825256079901</v>
      </c>
      <c r="O262">
        <v>2141.0610891146298</v>
      </c>
      <c r="P262">
        <v>15535.973511538199</v>
      </c>
      <c r="Q262">
        <v>2804.5196258686201</v>
      </c>
      <c r="R262">
        <v>2.1440411153208601</v>
      </c>
      <c r="S262">
        <v>6013.0053865865902</v>
      </c>
    </row>
    <row r="263" spans="1:19" x14ac:dyDescent="0.75">
      <c r="A263" s="1">
        <v>45593</v>
      </c>
      <c r="B263">
        <v>1.2190866994251599E-2</v>
      </c>
      <c r="C263">
        <v>-3.8850955476580098</v>
      </c>
      <c r="D263">
        <v>5.2818546435763603</v>
      </c>
      <c r="E263" t="s">
        <v>21</v>
      </c>
      <c r="F263">
        <v>-3.8729046806637601</v>
      </c>
      <c r="G263">
        <v>4.6012500000000003</v>
      </c>
      <c r="H263">
        <v>68.400000000000006</v>
      </c>
      <c r="I263">
        <v>4.5894117647058801</v>
      </c>
      <c r="J263">
        <v>0.156811239683085</v>
      </c>
      <c r="K263">
        <v>57.627904956085601</v>
      </c>
      <c r="L263">
        <v>23.3458969834073</v>
      </c>
      <c r="M263">
        <v>0.17226318219595499</v>
      </c>
      <c r="N263">
        <v>4979.0509882057904</v>
      </c>
      <c r="O263">
        <v>2017.08549936639</v>
      </c>
      <c r="P263">
        <v>14883.5389417305</v>
      </c>
      <c r="Q263">
        <v>1972.5035924421099</v>
      </c>
      <c r="R263">
        <v>2.1333552327771002</v>
      </c>
      <c r="S263">
        <v>4208.0508606079902</v>
      </c>
    </row>
    <row r="264" spans="1:19" x14ac:dyDescent="0.75">
      <c r="A264" s="1">
        <v>45594</v>
      </c>
      <c r="B264">
        <v>5.5595401404842398E-2</v>
      </c>
      <c r="C264">
        <v>-3.0284015250224101</v>
      </c>
      <c r="D264">
        <v>4.0952014795125198</v>
      </c>
      <c r="E264" t="s">
        <v>21</v>
      </c>
      <c r="F264">
        <v>-2.9728061236175698</v>
      </c>
      <c r="G264">
        <v>4.7120833333333296</v>
      </c>
      <c r="H264">
        <v>68.680000000000007</v>
      </c>
      <c r="I264">
        <v>4.68611111111111</v>
      </c>
      <c r="J264">
        <v>0.15426899975012101</v>
      </c>
      <c r="K264">
        <v>55.924627754109203</v>
      </c>
      <c r="L264">
        <v>21.976306406397899</v>
      </c>
      <c r="M264">
        <v>0.17016241735349399</v>
      </c>
      <c r="N264">
        <v>4831.8878379550397</v>
      </c>
      <c r="O264">
        <v>1898.7528735127801</v>
      </c>
      <c r="P264">
        <v>14702.0328593419</v>
      </c>
      <c r="Q264">
        <v>2513.0443649782101</v>
      </c>
      <c r="R264">
        <v>2.13039822594815</v>
      </c>
      <c r="S264">
        <v>5353.7852568785702</v>
      </c>
    </row>
    <row r="265" spans="1:19" x14ac:dyDescent="0.75">
      <c r="A265" s="1">
        <v>45595</v>
      </c>
      <c r="B265">
        <v>9.3498863488979504E-3</v>
      </c>
      <c r="C265">
        <v>-2.7513355584500698</v>
      </c>
      <c r="D265">
        <v>3.8210042415810701</v>
      </c>
      <c r="E265" t="s">
        <v>21</v>
      </c>
      <c r="F265">
        <v>-2.7419856721011699</v>
      </c>
      <c r="G265">
        <v>4.5904166666666697</v>
      </c>
      <c r="H265">
        <v>68.900000000000006</v>
      </c>
      <c r="I265">
        <v>4.5783333333333296</v>
      </c>
      <c r="J265">
        <v>0.15344702840920799</v>
      </c>
      <c r="K265">
        <v>55.391211736445399</v>
      </c>
      <c r="L265">
        <v>20.677041115637898</v>
      </c>
      <c r="M265">
        <v>0.169476740360649</v>
      </c>
      <c r="N265">
        <v>4785.8006940288797</v>
      </c>
      <c r="O265">
        <v>1786.4963523911099</v>
      </c>
      <c r="P265">
        <v>14642.7903671601</v>
      </c>
      <c r="Q265">
        <v>2682.5286257130101</v>
      </c>
      <c r="R265">
        <v>2.12996408732764</v>
      </c>
      <c r="S265">
        <v>5713.6896359970797</v>
      </c>
    </row>
    <row r="266" spans="1:19" x14ac:dyDescent="0.75">
      <c r="A266" s="1">
        <v>45596</v>
      </c>
      <c r="B266">
        <v>1.54853503668807E-2</v>
      </c>
      <c r="C266">
        <v>-4.8885723124677796</v>
      </c>
      <c r="D266">
        <v>7.3324505179477901</v>
      </c>
      <c r="E266" t="s">
        <v>21</v>
      </c>
      <c r="F266">
        <v>-4.8730869621009001</v>
      </c>
      <c r="G266">
        <v>4.6912500000000001</v>
      </c>
      <c r="H266">
        <v>69.760000000000005</v>
      </c>
      <c r="I266">
        <v>4.66222222222222</v>
      </c>
      <c r="J266">
        <v>0.145914248192133</v>
      </c>
      <c r="K266">
        <v>50.525968653929397</v>
      </c>
      <c r="L266">
        <v>19.452161120113502</v>
      </c>
      <c r="M266">
        <v>0.16318312028986501</v>
      </c>
      <c r="N266">
        <v>4365.4436916995001</v>
      </c>
      <c r="O266">
        <v>1680.6667207778</v>
      </c>
      <c r="P266">
        <v>14099.021593044399</v>
      </c>
      <c r="Q266">
        <v>1345.97773158833</v>
      </c>
      <c r="R266">
        <v>2.1219820863227401</v>
      </c>
      <c r="S266">
        <v>2856.1406350197499</v>
      </c>
    </row>
    <row r="267" spans="1:19" x14ac:dyDescent="0.75">
      <c r="A267" s="1">
        <v>45597</v>
      </c>
      <c r="B267">
        <v>1.6397737172604E-2</v>
      </c>
      <c r="C267">
        <v>-3.5556784686760801</v>
      </c>
      <c r="D267">
        <v>5.6399601901572396</v>
      </c>
      <c r="E267" t="s">
        <v>21</v>
      </c>
      <c r="F267">
        <v>-3.5392807315034802</v>
      </c>
      <c r="G267">
        <v>4.8033333333333301</v>
      </c>
      <c r="H267">
        <v>69.010000000000005</v>
      </c>
      <c r="I267">
        <v>4.7733333333333299</v>
      </c>
      <c r="J267">
        <v>0.14022503226824601</v>
      </c>
      <c r="K267">
        <v>46.983773104811597</v>
      </c>
      <c r="L267">
        <v>18.305041552332</v>
      </c>
      <c r="M267">
        <v>0.158377170350818</v>
      </c>
      <c r="N267">
        <v>4059.39799625573</v>
      </c>
      <c r="O267">
        <v>1581.55559012149</v>
      </c>
      <c r="P267">
        <v>13683.787518310701</v>
      </c>
      <c r="Q267">
        <v>1698.3544102906999</v>
      </c>
      <c r="R267">
        <v>2.1155815094148802</v>
      </c>
      <c r="S267">
        <v>3593.0071868442101</v>
      </c>
    </row>
    <row r="268" spans="1:19" x14ac:dyDescent="0.75">
      <c r="A268" s="1">
        <v>45598</v>
      </c>
      <c r="B268">
        <v>6.6038242120492793E-2</v>
      </c>
      <c r="C268">
        <v>-8.9270066910783807</v>
      </c>
      <c r="D268">
        <v>14.670510319847899</v>
      </c>
      <c r="E268" t="s">
        <v>21</v>
      </c>
      <c r="F268">
        <v>-8.8609684489578893</v>
      </c>
      <c r="G268">
        <v>4.835</v>
      </c>
      <c r="H268">
        <v>69.150000000000006</v>
      </c>
      <c r="I268">
        <v>4.8088888888888901</v>
      </c>
      <c r="J268">
        <v>0.13505248404436199</v>
      </c>
      <c r="K268">
        <v>43.843711485213397</v>
      </c>
      <c r="L268">
        <v>17.238705577086002</v>
      </c>
      <c r="M268">
        <v>0.15397458248206999</v>
      </c>
      <c r="N268">
        <v>3788.0966723224401</v>
      </c>
      <c r="O268">
        <v>1489.42416186023</v>
      </c>
      <c r="P268">
        <v>13303.403926450899</v>
      </c>
      <c r="Q268">
        <v>634.76883526790402</v>
      </c>
      <c r="R268">
        <v>2.1084130684739999</v>
      </c>
      <c r="S268">
        <v>1338.35490773887</v>
      </c>
    </row>
    <row r="269" spans="1:19" x14ac:dyDescent="0.75">
      <c r="A269" s="1">
        <v>45599</v>
      </c>
      <c r="B269">
        <v>2.4521677555918501E-2</v>
      </c>
      <c r="C269">
        <v>-5.3053957243081999</v>
      </c>
      <c r="D269">
        <v>8.9610668968073508</v>
      </c>
      <c r="E269" t="s">
        <v>21</v>
      </c>
      <c r="F269">
        <v>-5.2808740467522801</v>
      </c>
      <c r="G269">
        <v>4.7762500000000001</v>
      </c>
      <c r="H269">
        <v>69.58</v>
      </c>
      <c r="I269">
        <v>4.7566666666666704</v>
      </c>
      <c r="J269">
        <v>0.13149745799491599</v>
      </c>
      <c r="K269">
        <v>41.772056097448697</v>
      </c>
      <c r="L269">
        <v>16.2561143353138</v>
      </c>
      <c r="M269">
        <v>0.15091148295809301</v>
      </c>
      <c r="N269">
        <v>3609.1056468195702</v>
      </c>
      <c r="O269">
        <v>1404.5282785711099</v>
      </c>
      <c r="P269">
        <v>13038.752127579201</v>
      </c>
      <c r="Q269">
        <v>1018.53123008793</v>
      </c>
      <c r="R269">
        <v>2.10497144262796</v>
      </c>
      <c r="S269">
        <v>2143.97915275983</v>
      </c>
    </row>
    <row r="270" spans="1:19" x14ac:dyDescent="0.75">
      <c r="A270" s="1">
        <v>45600</v>
      </c>
      <c r="B270">
        <v>7.3790456337534199E-2</v>
      </c>
      <c r="C270">
        <v>-10.5379546684494</v>
      </c>
      <c r="D270">
        <v>18.607598290457201</v>
      </c>
      <c r="E270" t="s">
        <v>21</v>
      </c>
      <c r="F270">
        <v>-10.4641642121119</v>
      </c>
      <c r="G270">
        <v>4.7079166666666703</v>
      </c>
      <c r="H270">
        <v>70.7</v>
      </c>
      <c r="I270">
        <v>4.6911111111111099</v>
      </c>
      <c r="J270">
        <v>0.12462812607443401</v>
      </c>
      <c r="K270">
        <v>37.853824300511597</v>
      </c>
      <c r="L270">
        <v>15.3511987141758</v>
      </c>
      <c r="M270">
        <v>0.14495439792977</v>
      </c>
      <c r="N270">
        <v>3270.5704195642002</v>
      </c>
      <c r="O270">
        <v>1326.3435689047899</v>
      </c>
      <c r="P270">
        <v>12524.059981132101</v>
      </c>
      <c r="Q270">
        <v>471.14312389732203</v>
      </c>
      <c r="R270">
        <v>2.0953776179223702</v>
      </c>
      <c r="S270">
        <v>987.22275665247503</v>
      </c>
    </row>
    <row r="271" spans="1:19" x14ac:dyDescent="0.75">
      <c r="A271" s="1">
        <v>45601</v>
      </c>
      <c r="B271">
        <v>2.9378295371481199E-2</v>
      </c>
      <c r="C271">
        <v>-5.3965937827641204</v>
      </c>
      <c r="D271">
        <v>10.0302049392025</v>
      </c>
      <c r="E271" t="s">
        <v>21</v>
      </c>
      <c r="F271">
        <v>-5.3672154873926399</v>
      </c>
      <c r="G271">
        <v>4.7308333333333303</v>
      </c>
      <c r="H271">
        <v>71.239999999999995</v>
      </c>
      <c r="I271">
        <v>4.68888888888889</v>
      </c>
      <c r="J271">
        <v>0.11968749119316401</v>
      </c>
      <c r="K271">
        <v>35.1684867871001</v>
      </c>
      <c r="L271">
        <v>14.5151698641516</v>
      </c>
      <c r="M271">
        <v>0.14060747968349999</v>
      </c>
      <c r="N271">
        <v>3038.5572584054498</v>
      </c>
      <c r="O271">
        <v>1254.1106762627001</v>
      </c>
      <c r="P271">
        <v>12148.486244654399</v>
      </c>
      <c r="Q271">
        <v>847.83316221395296</v>
      </c>
      <c r="R271">
        <v>2.08976039695064</v>
      </c>
      <c r="S271">
        <v>1771.7681656161401</v>
      </c>
    </row>
    <row r="272" spans="1:19" x14ac:dyDescent="0.75">
      <c r="A272" s="1">
        <v>45602</v>
      </c>
      <c r="B272">
        <v>3.0883085723320901E-2</v>
      </c>
      <c r="C272">
        <v>-1.4738789182087699</v>
      </c>
      <c r="D272">
        <v>2.4986469449845599</v>
      </c>
      <c r="E272" t="s">
        <v>21</v>
      </c>
      <c r="F272">
        <v>-1.4429958324854499</v>
      </c>
      <c r="G272">
        <v>4.5387500000000003</v>
      </c>
      <c r="H272">
        <v>71.89</v>
      </c>
      <c r="I272">
        <v>4.52388888888889</v>
      </c>
      <c r="J272">
        <v>0.11823436328690801</v>
      </c>
      <c r="K272">
        <v>34.387519610561903</v>
      </c>
      <c r="L272">
        <v>13.739439434259699</v>
      </c>
      <c r="M272">
        <v>0.13932473216452201</v>
      </c>
      <c r="N272">
        <v>2971.0816943525501</v>
      </c>
      <c r="O272">
        <v>1187.0875671200399</v>
      </c>
      <c r="P272">
        <v>12037.6568590147</v>
      </c>
      <c r="Q272">
        <v>3372.36912090531</v>
      </c>
      <c r="R272">
        <v>2.0875116951028501</v>
      </c>
      <c r="S272">
        <v>7039.8599800935499</v>
      </c>
    </row>
    <row r="273" spans="1:19" x14ac:dyDescent="0.75">
      <c r="A273" s="1">
        <v>45603</v>
      </c>
      <c r="B273">
        <v>4.0458588640249503E-2</v>
      </c>
      <c r="C273">
        <v>-1.53170918956882</v>
      </c>
      <c r="D273">
        <v>2.3752574990161399</v>
      </c>
      <c r="E273" t="s">
        <v>21</v>
      </c>
      <c r="F273">
        <v>-1.49125060092857</v>
      </c>
      <c r="G273">
        <v>4.3491666666666697</v>
      </c>
      <c r="H273">
        <v>73.11</v>
      </c>
      <c r="I273">
        <v>4.3272222222222201</v>
      </c>
      <c r="J273">
        <v>0.12581704890682499</v>
      </c>
      <c r="K273">
        <v>38.563228631637003</v>
      </c>
      <c r="L273">
        <v>13.017391116411</v>
      </c>
      <c r="M273">
        <v>0.14597104233562</v>
      </c>
      <c r="N273">
        <v>3331.86295377344</v>
      </c>
      <c r="O273">
        <v>1124.70259245791</v>
      </c>
      <c r="P273">
        <v>12611.8980577975</v>
      </c>
      <c r="Q273">
        <v>3716.7880299778299</v>
      </c>
      <c r="R273">
        <v>2.0997480355053</v>
      </c>
      <c r="S273">
        <v>7804.3183643355696</v>
      </c>
    </row>
    <row r="274" spans="1:19" x14ac:dyDescent="0.75">
      <c r="A274" s="1">
        <v>45604</v>
      </c>
      <c r="B274">
        <v>5.3977008565444802E-2</v>
      </c>
      <c r="C274">
        <v>-9.2636416231839007</v>
      </c>
      <c r="D274">
        <v>14.4281739757533</v>
      </c>
      <c r="E274" t="s">
        <v>21</v>
      </c>
      <c r="F274">
        <v>-9.2096646146184593</v>
      </c>
      <c r="G274">
        <v>4.3250000000000002</v>
      </c>
      <c r="H274">
        <v>73.69</v>
      </c>
      <c r="I274">
        <v>4.3088888888888901</v>
      </c>
      <c r="J274">
        <v>0.13201412569491799</v>
      </c>
      <c r="K274">
        <v>42.0508784428838</v>
      </c>
      <c r="L274">
        <v>12.342018567992801</v>
      </c>
      <c r="M274">
        <v>0.151366517223782</v>
      </c>
      <c r="N274">
        <v>3633.1958974651602</v>
      </c>
      <c r="O274">
        <v>1066.3504042745799</v>
      </c>
      <c r="P274">
        <v>13078.0670881348</v>
      </c>
      <c r="Q274">
        <v>634.49796052354304</v>
      </c>
      <c r="R274">
        <v>2.10438331827614</v>
      </c>
      <c r="S274">
        <v>1335.2269236059699</v>
      </c>
    </row>
    <row r="275" spans="1:19" x14ac:dyDescent="0.75">
      <c r="A275" s="1">
        <v>45605</v>
      </c>
      <c r="B275">
        <v>1.78559901913737E-2</v>
      </c>
      <c r="C275">
        <v>-5.6657202718633197</v>
      </c>
      <c r="D275">
        <v>9.4846790502335203</v>
      </c>
      <c r="E275" t="s">
        <v>21</v>
      </c>
      <c r="F275">
        <v>-5.64786428167195</v>
      </c>
      <c r="G275">
        <v>4.4775</v>
      </c>
      <c r="H275">
        <v>72.61</v>
      </c>
      <c r="I275">
        <v>4.46</v>
      </c>
      <c r="J275">
        <v>0.127792715736947</v>
      </c>
      <c r="K275">
        <v>39.632300006293903</v>
      </c>
      <c r="L275">
        <v>11.704240318228599</v>
      </c>
      <c r="M275">
        <v>0.14771083150425901</v>
      </c>
      <c r="N275">
        <v>3424.2307205438001</v>
      </c>
      <c r="O275">
        <v>1011.2463634949499</v>
      </c>
      <c r="P275">
        <v>12762.215841968</v>
      </c>
      <c r="Q275">
        <v>941.89281915213201</v>
      </c>
      <c r="R275">
        <v>2.09957229975968</v>
      </c>
      <c r="S275">
        <v>1977.5720724343701</v>
      </c>
    </row>
    <row r="276" spans="1:19" x14ac:dyDescent="0.75">
      <c r="A276" s="1">
        <v>45606</v>
      </c>
      <c r="B276">
        <v>3.1908392560832798E-2</v>
      </c>
      <c r="C276">
        <v>-2.1360064525894802</v>
      </c>
      <c r="D276">
        <v>3.5925312113226102</v>
      </c>
      <c r="E276" t="s">
        <v>21</v>
      </c>
      <c r="F276">
        <v>-2.1040980600286399</v>
      </c>
      <c r="G276">
        <v>4.5975000000000001</v>
      </c>
      <c r="H276">
        <v>72.39</v>
      </c>
      <c r="I276">
        <v>4.5683333333333298</v>
      </c>
      <c r="J276">
        <v>0.12614290183125801</v>
      </c>
      <c r="K276">
        <v>38.697541021471302</v>
      </c>
      <c r="L276">
        <v>11.0971110520882</v>
      </c>
      <c r="M276">
        <v>0.146277280729432</v>
      </c>
      <c r="N276">
        <v>3343.4675442551202</v>
      </c>
      <c r="O276">
        <v>958.79039490041998</v>
      </c>
      <c r="P276">
        <v>12638.357055023</v>
      </c>
      <c r="Q276">
        <v>2462.5673148317701</v>
      </c>
      <c r="R276">
        <v>2.09721846875998</v>
      </c>
      <c r="S276">
        <v>5164.5416532298505</v>
      </c>
    </row>
    <row r="277" spans="1:19" x14ac:dyDescent="0.75">
      <c r="A277" s="1">
        <v>45607</v>
      </c>
      <c r="B277">
        <v>4.2077460118355801E-2</v>
      </c>
      <c r="C277">
        <v>-10.5724837355181</v>
      </c>
      <c r="D277">
        <v>17.422588522486802</v>
      </c>
      <c r="E277" t="s">
        <v>21</v>
      </c>
      <c r="F277">
        <v>-10.530406275399701</v>
      </c>
      <c r="G277">
        <v>4.60666666666667</v>
      </c>
      <c r="H277">
        <v>71.599999999999994</v>
      </c>
      <c r="I277">
        <v>4.585</v>
      </c>
      <c r="J277">
        <v>0.13139177596536999</v>
      </c>
      <c r="K277">
        <v>41.689818741898399</v>
      </c>
      <c r="L277">
        <v>10.518483187028499</v>
      </c>
      <c r="M277">
        <v>0.15082962622506099</v>
      </c>
      <c r="N277">
        <v>3602.0003393000302</v>
      </c>
      <c r="O277">
        <v>908.79694735926103</v>
      </c>
      <c r="P277">
        <v>13031.679705845299</v>
      </c>
      <c r="Q277">
        <v>523.58326561624006</v>
      </c>
      <c r="R277">
        <v>2.1036581598892901</v>
      </c>
      <c r="S277">
        <v>1101.44020909509</v>
      </c>
    </row>
    <row r="278" spans="1:19" x14ac:dyDescent="0.75">
      <c r="A278" s="1">
        <v>45608</v>
      </c>
      <c r="B278">
        <v>1.29843886300758E-2</v>
      </c>
      <c r="C278">
        <v>-2.4738162835057498</v>
      </c>
      <c r="D278">
        <v>4.3505408140678101</v>
      </c>
      <c r="E278" t="s">
        <v>21</v>
      </c>
      <c r="F278">
        <v>-2.4608318948756698</v>
      </c>
      <c r="G278">
        <v>4.6124999999999998</v>
      </c>
      <c r="H278">
        <v>72</v>
      </c>
      <c r="I278">
        <v>4.5949999999999998</v>
      </c>
      <c r="J278">
        <v>0.12533267293807299</v>
      </c>
      <c r="K278">
        <v>38.269868530889497</v>
      </c>
      <c r="L278">
        <v>9.9679888531978396</v>
      </c>
      <c r="M278">
        <v>0.145558639990127</v>
      </c>
      <c r="N278">
        <v>3306.5166410688498</v>
      </c>
      <c r="O278">
        <v>861.23423691629398</v>
      </c>
      <c r="P278">
        <v>12576.266495147</v>
      </c>
      <c r="Q278">
        <v>2023.5154485015901</v>
      </c>
      <c r="R278">
        <v>2.0977545863955598</v>
      </c>
      <c r="S278">
        <v>4244.8388127364897</v>
      </c>
    </row>
    <row r="279" spans="1:19" x14ac:dyDescent="0.75">
      <c r="A279" s="1">
        <v>45609</v>
      </c>
      <c r="B279">
        <v>1.4306034914494999E-2</v>
      </c>
      <c r="C279">
        <v>-3.27249081143249</v>
      </c>
      <c r="D279">
        <v>6.1558804842988399</v>
      </c>
      <c r="E279" t="s">
        <v>21</v>
      </c>
      <c r="F279">
        <v>-3.2581847765180001</v>
      </c>
      <c r="G279">
        <v>4.7645833333333298</v>
      </c>
      <c r="H279">
        <v>72.36</v>
      </c>
      <c r="I279">
        <v>4.74722222222222</v>
      </c>
      <c r="J279">
        <v>0.121128876651693</v>
      </c>
      <c r="K279">
        <v>35.930674365453903</v>
      </c>
      <c r="L279">
        <v>9.4469936443260405</v>
      </c>
      <c r="M279">
        <v>0.141886003784474</v>
      </c>
      <c r="N279">
        <v>3104.41026517522</v>
      </c>
      <c r="O279">
        <v>816.22025086976998</v>
      </c>
      <c r="P279">
        <v>12258.950726978601</v>
      </c>
      <c r="Q279">
        <v>1393.99482020035</v>
      </c>
      <c r="R279">
        <v>2.0906345425629098</v>
      </c>
      <c r="S279">
        <v>2914.33372326463</v>
      </c>
    </row>
    <row r="280" spans="1:19" x14ac:dyDescent="0.75">
      <c r="A280" s="1">
        <v>45610</v>
      </c>
      <c r="B280">
        <v>1.6233217840014299E-2</v>
      </c>
      <c r="C280">
        <v>-3.1920991613829699</v>
      </c>
      <c r="D280">
        <v>6.2429469318531998</v>
      </c>
      <c r="E280" t="s">
        <v>21</v>
      </c>
      <c r="F280">
        <v>-3.1758659435429601</v>
      </c>
      <c r="G280">
        <v>4.93333333333333</v>
      </c>
      <c r="H280">
        <v>69.94</v>
      </c>
      <c r="I280">
        <v>4.9016666666666699</v>
      </c>
      <c r="J280">
        <v>0.118072904630658</v>
      </c>
      <c r="K280">
        <v>34.304831098675301</v>
      </c>
      <c r="L280">
        <v>8.9528015657847693</v>
      </c>
      <c r="M280">
        <v>0.13918005524292401</v>
      </c>
      <c r="N280">
        <v>2963.93740692555</v>
      </c>
      <c r="O280">
        <v>773.52205528380398</v>
      </c>
      <c r="P280">
        <v>12025.156772988599</v>
      </c>
      <c r="Q280">
        <v>1348.33914703697</v>
      </c>
      <c r="R280">
        <v>2.0875074481723699</v>
      </c>
      <c r="S280">
        <v>2814.6680121020599</v>
      </c>
    </row>
    <row r="281" spans="1:19" x14ac:dyDescent="0.75">
      <c r="A281" s="1">
        <v>45611</v>
      </c>
      <c r="B281">
        <v>1.2093010063528699E-2</v>
      </c>
      <c r="C281">
        <v>-1.21074760746368</v>
      </c>
      <c r="D281">
        <v>2.7561675896370601</v>
      </c>
      <c r="E281" t="s">
        <v>21</v>
      </c>
      <c r="F281">
        <v>-1.1986545974001499</v>
      </c>
      <c r="G281">
        <v>5.1079166666666698</v>
      </c>
      <c r="H281">
        <v>70.2</v>
      </c>
      <c r="I281">
        <v>5.0816666666666697</v>
      </c>
      <c r="J281">
        <v>0.112504048795976</v>
      </c>
      <c r="K281">
        <v>31.393347920407901</v>
      </c>
      <c r="L281">
        <v>8.4837299299145705</v>
      </c>
      <c r="M281">
        <v>0.13422290717410801</v>
      </c>
      <c r="N281">
        <v>2712.3852603232399</v>
      </c>
      <c r="O281">
        <v>732.99426594461897</v>
      </c>
      <c r="P281">
        <v>11596.859179842901</v>
      </c>
      <c r="Q281">
        <v>2945.3221409366502</v>
      </c>
      <c r="R281">
        <v>2.0789442343802098</v>
      </c>
      <c r="S281">
        <v>6123.1604832926196</v>
      </c>
    </row>
    <row r="282" spans="1:19" x14ac:dyDescent="0.75">
      <c r="A282" s="1">
        <v>45612</v>
      </c>
      <c r="B282">
        <v>2.1100147769071102E-2</v>
      </c>
      <c r="C282">
        <v>-2.5714482420329201</v>
      </c>
      <c r="D282">
        <v>6.6052067961376499</v>
      </c>
      <c r="E282" t="s">
        <v>21</v>
      </c>
      <c r="F282">
        <v>-2.5503480942638501</v>
      </c>
      <c r="G282">
        <v>5.8125</v>
      </c>
      <c r="H282">
        <v>64.8</v>
      </c>
      <c r="I282">
        <v>5.7461111111111096</v>
      </c>
      <c r="J282">
        <v>0.10705848866243201</v>
      </c>
      <c r="K282">
        <v>28.704205440508701</v>
      </c>
      <c r="L282">
        <v>8.0386083536544906</v>
      </c>
      <c r="M282">
        <v>0.12929189893425</v>
      </c>
      <c r="N282">
        <v>2480.0433500599502</v>
      </c>
      <c r="O282">
        <v>694.53576175574801</v>
      </c>
      <c r="P282">
        <v>11170.8200679192</v>
      </c>
      <c r="Q282">
        <v>1183.84999726517</v>
      </c>
      <c r="R282">
        <v>2.0737342827484002</v>
      </c>
      <c r="S282">
        <v>2454.9903249603899</v>
      </c>
    </row>
    <row r="283" spans="1:19" x14ac:dyDescent="0.75">
      <c r="A283" s="1">
        <v>45613</v>
      </c>
      <c r="B283">
        <v>5.0901333750943703E-2</v>
      </c>
      <c r="C283">
        <v>-4.5199121421574198</v>
      </c>
      <c r="D283">
        <v>12.6153842402981</v>
      </c>
      <c r="E283" t="s">
        <v>21</v>
      </c>
      <c r="F283">
        <v>-4.4690108084064804</v>
      </c>
      <c r="G283">
        <v>5.98166666666667</v>
      </c>
      <c r="H283">
        <v>63.28</v>
      </c>
      <c r="I283">
        <v>5.9211111111111103</v>
      </c>
      <c r="J283">
        <v>9.9622583639106699E-2</v>
      </c>
      <c r="K283">
        <v>25.1546625588526</v>
      </c>
      <c r="L283">
        <v>7.6149509962963897</v>
      </c>
      <c r="M283">
        <v>0.12248850647694499</v>
      </c>
      <c r="N283">
        <v>2173.3628450848601</v>
      </c>
      <c r="O283">
        <v>657.93176608000795</v>
      </c>
      <c r="P283">
        <v>10583.006959607999</v>
      </c>
      <c r="Q283">
        <v>587.22784265749397</v>
      </c>
      <c r="R283">
        <v>2.06141463925124</v>
      </c>
      <c r="S283">
        <v>1210.52007143008</v>
      </c>
    </row>
    <row r="284" spans="1:19" x14ac:dyDescent="0.75">
      <c r="A284" s="1">
        <v>45614</v>
      </c>
      <c r="B284">
        <v>5.3637127129041097E-2</v>
      </c>
      <c r="C284">
        <v>-4.6589272226847704</v>
      </c>
      <c r="D284">
        <v>13.8345202828196</v>
      </c>
      <c r="E284" t="s">
        <v>21</v>
      </c>
      <c r="F284">
        <v>-4.6052900955557297</v>
      </c>
      <c r="G284">
        <v>6.0095833333333299</v>
      </c>
      <c r="H284">
        <v>63.68</v>
      </c>
      <c r="I284">
        <v>5.9550000000000001</v>
      </c>
      <c r="J284">
        <v>9.4247478191926096E-2</v>
      </c>
      <c r="K284">
        <v>22.7211510311515</v>
      </c>
      <c r="L284">
        <v>7.2105966084581796</v>
      </c>
      <c r="M284">
        <v>0.117492407405222</v>
      </c>
      <c r="N284">
        <v>1963.10744909149</v>
      </c>
      <c r="O284">
        <v>622.99554697078702</v>
      </c>
      <c r="P284">
        <v>10151.343999811201</v>
      </c>
      <c r="Q284">
        <v>513.63839544854795</v>
      </c>
      <c r="R284">
        <v>2.05187446816673</v>
      </c>
      <c r="S284">
        <v>1053.9215094910001</v>
      </c>
    </row>
    <row r="285" spans="1:19" x14ac:dyDescent="0.75">
      <c r="A285" s="1">
        <v>45615</v>
      </c>
      <c r="B285">
        <v>9.4320410188229994E-2</v>
      </c>
      <c r="C285">
        <v>-4.8203203472949596</v>
      </c>
      <c r="D285">
        <v>14.535938101289799</v>
      </c>
      <c r="E285" t="s">
        <v>21</v>
      </c>
      <c r="F285">
        <v>-4.7259999371067298</v>
      </c>
      <c r="G285">
        <v>5.9262499999999996</v>
      </c>
      <c r="H285">
        <v>63.5</v>
      </c>
      <c r="I285">
        <v>5.8688888888888897</v>
      </c>
      <c r="J285">
        <v>8.9309778922588207E-2</v>
      </c>
      <c r="K285">
        <v>20.598224538013</v>
      </c>
      <c r="L285">
        <v>6.8224595227242801</v>
      </c>
      <c r="M285">
        <v>0.11283123267336199</v>
      </c>
      <c r="N285">
        <v>1779.6866000843199</v>
      </c>
      <c r="O285">
        <v>589.46050276337701</v>
      </c>
      <c r="P285">
        <v>9748.6185029784592</v>
      </c>
      <c r="Q285">
        <v>469.45941187513802</v>
      </c>
      <c r="R285">
        <v>2.0440967178423399</v>
      </c>
      <c r="S285">
        <v>959.62044297416401</v>
      </c>
    </row>
    <row r="286" spans="1:19" x14ac:dyDescent="0.75">
      <c r="A286" s="1">
        <v>45616</v>
      </c>
      <c r="B286">
        <v>3.22870445071919E-2</v>
      </c>
      <c r="C286">
        <v>-5.0200717362715199</v>
      </c>
      <c r="D286">
        <v>14.6643339113918</v>
      </c>
      <c r="E286" t="s">
        <v>21</v>
      </c>
      <c r="F286">
        <v>-4.98778469176432</v>
      </c>
      <c r="G286">
        <v>5.39333333333333</v>
      </c>
      <c r="H286">
        <v>66.16</v>
      </c>
      <c r="I286">
        <v>5.3727777777777801</v>
      </c>
      <c r="J286">
        <v>8.4289882519159198E-2</v>
      </c>
      <c r="K286">
        <v>18.512436661555501</v>
      </c>
      <c r="L286">
        <v>6.4515128947522697</v>
      </c>
      <c r="M286">
        <v>0.10804397901313501</v>
      </c>
      <c r="N286">
        <v>1599.4745275584</v>
      </c>
      <c r="O286">
        <v>557.41071410659595</v>
      </c>
      <c r="P286">
        <v>9334.9997867348902</v>
      </c>
      <c r="Q286">
        <v>445.604954865232</v>
      </c>
      <c r="R286">
        <v>2.0327668383900899</v>
      </c>
      <c r="S286">
        <v>905.81097527235602</v>
      </c>
    </row>
    <row r="287" spans="1:19" x14ac:dyDescent="0.75">
      <c r="A287" s="1">
        <v>45617</v>
      </c>
      <c r="B287">
        <v>1.2146651055556901E-2</v>
      </c>
      <c r="C287">
        <v>-0.52089625115284199</v>
      </c>
      <c r="D287">
        <v>2.1546487068590898</v>
      </c>
      <c r="E287" t="s">
        <v>21</v>
      </c>
      <c r="F287">
        <v>-0.50874960009728498</v>
      </c>
      <c r="G287">
        <v>5.8187499999999996</v>
      </c>
      <c r="H287">
        <v>68.58</v>
      </c>
      <c r="I287">
        <v>5.7755555555555604</v>
      </c>
      <c r="J287">
        <v>8.2346507420287499E-2</v>
      </c>
      <c r="K287">
        <v>17.7564091363618</v>
      </c>
      <c r="L287">
        <v>6.0995495678080198</v>
      </c>
      <c r="M287">
        <v>0.106153925503698</v>
      </c>
      <c r="N287">
        <v>1534.15374938166</v>
      </c>
      <c r="O287">
        <v>527.00108265861297</v>
      </c>
      <c r="P287">
        <v>9171.69916351951</v>
      </c>
      <c r="Q287">
        <v>2979.6919535076299</v>
      </c>
      <c r="R287">
        <v>2.03129921420551</v>
      </c>
      <c r="S287">
        <v>6052.6459237345298</v>
      </c>
    </row>
    <row r="288" spans="1:19" x14ac:dyDescent="0.75">
      <c r="A288" s="1">
        <v>45618</v>
      </c>
      <c r="B288">
        <v>1.330853026984E-2</v>
      </c>
      <c r="C288">
        <v>-1.6716530344351499</v>
      </c>
      <c r="D288">
        <v>7.7732149467905902</v>
      </c>
      <c r="E288" t="s">
        <v>21</v>
      </c>
      <c r="F288">
        <v>-1.65834450416531</v>
      </c>
      <c r="G288">
        <v>7.0787500000000003</v>
      </c>
      <c r="H288">
        <v>57.96</v>
      </c>
      <c r="I288">
        <v>7.0111111111111102</v>
      </c>
      <c r="J288">
        <v>7.67954910734997E-2</v>
      </c>
      <c r="K288">
        <v>15.624641446248599</v>
      </c>
      <c r="L288">
        <v>5.7684564472619897</v>
      </c>
      <c r="M288">
        <v>0.100733271466536</v>
      </c>
      <c r="N288">
        <v>1349.9690209558801</v>
      </c>
      <c r="O288">
        <v>498.39463704343598</v>
      </c>
      <c r="P288">
        <v>8703.3546547086808</v>
      </c>
      <c r="Q288">
        <v>783.76171249599702</v>
      </c>
      <c r="R288">
        <v>2.0197675922357501</v>
      </c>
      <c r="S288">
        <v>1583.0165069346001</v>
      </c>
    </row>
    <row r="289" spans="1:19" x14ac:dyDescent="0.75">
      <c r="A289" s="1">
        <v>45619</v>
      </c>
      <c r="B289">
        <v>2.1918479880301801E-2</v>
      </c>
      <c r="C289">
        <v>-2.7613255183307799</v>
      </c>
      <c r="D289">
        <v>14.6166297748833</v>
      </c>
      <c r="E289" t="s">
        <v>21</v>
      </c>
      <c r="F289">
        <v>-2.7394070384504801</v>
      </c>
      <c r="G289">
        <v>7.6904166666666702</v>
      </c>
      <c r="H289">
        <v>53.85</v>
      </c>
      <c r="I289">
        <v>7.6127777777777803</v>
      </c>
      <c r="J289">
        <v>7.3428118371388407E-2</v>
      </c>
      <c r="K289">
        <v>14.399552980686201</v>
      </c>
      <c r="L289">
        <v>5.45923093863047</v>
      </c>
      <c r="M289">
        <v>9.7391324687877701E-2</v>
      </c>
      <c r="N289">
        <v>1244.1213775312899</v>
      </c>
      <c r="O289">
        <v>471.67755309767301</v>
      </c>
      <c r="P289">
        <v>8414.6104530326302</v>
      </c>
      <c r="Q289">
        <v>402.98122124187699</v>
      </c>
      <c r="R289">
        <v>2.0135681715287701</v>
      </c>
      <c r="S289">
        <v>811.43016081643805</v>
      </c>
    </row>
    <row r="290" spans="1:19" x14ac:dyDescent="0.75">
      <c r="A290" s="1">
        <v>45620</v>
      </c>
      <c r="B290">
        <v>3.2729690191667E-2</v>
      </c>
      <c r="C290">
        <v>-2.6328907452753501</v>
      </c>
      <c r="D290">
        <v>15.114486828994499</v>
      </c>
      <c r="E290" t="s">
        <v>21</v>
      </c>
      <c r="F290">
        <v>-2.60016105508369</v>
      </c>
      <c r="G290">
        <v>7.8270833333333298</v>
      </c>
      <c r="H290">
        <v>53.2</v>
      </c>
      <c r="I290">
        <v>7.7757894736842097</v>
      </c>
      <c r="J290">
        <v>6.7959073342389306E-2</v>
      </c>
      <c r="K290">
        <v>12.511505441022001</v>
      </c>
      <c r="L290">
        <v>5.1727014529487798</v>
      </c>
      <c r="M290">
        <v>9.1876461363662607E-2</v>
      </c>
      <c r="N290">
        <v>1080.9940701042999</v>
      </c>
      <c r="O290">
        <v>446.92140553477498</v>
      </c>
      <c r="P290">
        <v>7938.1262618204501</v>
      </c>
      <c r="Q290">
        <v>367.63989714919001</v>
      </c>
      <c r="R290">
        <v>2.0038160958097602</v>
      </c>
      <c r="S290">
        <v>736.68274336939305</v>
      </c>
    </row>
    <row r="291" spans="1:19" x14ac:dyDescent="0.75">
      <c r="A291" s="1">
        <v>45621</v>
      </c>
      <c r="B291">
        <v>4.59779035461522E-2</v>
      </c>
      <c r="C291">
        <v>-2.9725457313873598</v>
      </c>
      <c r="D291">
        <v>17.490705822437899</v>
      </c>
      <c r="E291" t="s">
        <v>21</v>
      </c>
      <c r="F291">
        <v>-2.9265678278412</v>
      </c>
      <c r="G291">
        <v>7.7237499999999999</v>
      </c>
      <c r="H291">
        <v>53.96</v>
      </c>
      <c r="I291">
        <v>7.6747368421052604</v>
      </c>
      <c r="J291">
        <v>6.5032268246354594E-2</v>
      </c>
      <c r="K291">
        <v>11.535380763659401</v>
      </c>
      <c r="L291">
        <v>4.9097572623434402</v>
      </c>
      <c r="M291">
        <v>8.8894511820102495E-2</v>
      </c>
      <c r="N291">
        <v>996.65689798017502</v>
      </c>
      <c r="O291">
        <v>424.20302746647297</v>
      </c>
      <c r="P291">
        <v>7680.4858212568597</v>
      </c>
      <c r="Q291">
        <v>307.38268252060999</v>
      </c>
      <c r="R291">
        <v>1.9953913407939801</v>
      </c>
      <c r="S291">
        <v>613.348743011652</v>
      </c>
    </row>
    <row r="292" spans="1:19" x14ac:dyDescent="0.75">
      <c r="A292" s="1">
        <v>45622</v>
      </c>
      <c r="B292">
        <v>2.42005330278987E-2</v>
      </c>
      <c r="C292">
        <v>-1.32042722954906</v>
      </c>
      <c r="D292">
        <v>7.2529547300670698</v>
      </c>
      <c r="E292" t="s">
        <v>21</v>
      </c>
      <c r="F292">
        <v>-1.29622669652116</v>
      </c>
      <c r="G292">
        <v>7.3854166666666696</v>
      </c>
      <c r="H292">
        <v>55.11</v>
      </c>
      <c r="I292">
        <v>7.3394736842105299</v>
      </c>
      <c r="J292">
        <v>6.1395045062817399E-2</v>
      </c>
      <c r="K292">
        <v>10.3815399112469</v>
      </c>
      <c r="L292">
        <v>4.6713461628491402</v>
      </c>
      <c r="M292">
        <v>8.5132927056726607E-2</v>
      </c>
      <c r="N292">
        <v>896.96504833173105</v>
      </c>
      <c r="O292">
        <v>403.60430847016602</v>
      </c>
      <c r="P292">
        <v>7355.4848977011798</v>
      </c>
      <c r="Q292">
        <v>709.89543158822596</v>
      </c>
      <c r="R292">
        <v>1.98623618619241</v>
      </c>
      <c r="S292">
        <v>1410.01999463321</v>
      </c>
    </row>
    <row r="293" spans="1:19" x14ac:dyDescent="0.75">
      <c r="A293" s="1">
        <v>45623</v>
      </c>
      <c r="B293">
        <v>2.55775534257047E-2</v>
      </c>
      <c r="C293">
        <v>-1.3087346174615699</v>
      </c>
      <c r="D293">
        <v>6.46149084311892</v>
      </c>
      <c r="E293" t="s">
        <v>21</v>
      </c>
      <c r="F293">
        <v>-1.28315706403587</v>
      </c>
      <c r="G293">
        <v>6.5654166666666702</v>
      </c>
      <c r="H293">
        <v>58.82</v>
      </c>
      <c r="I293">
        <v>6.5442105263157897</v>
      </c>
      <c r="J293">
        <v>5.8462368742919303E-2</v>
      </c>
      <c r="K293">
        <v>9.4852332439768094</v>
      </c>
      <c r="L293">
        <v>4.4587181589246496</v>
      </c>
      <c r="M293">
        <v>8.2066227330099897E-2</v>
      </c>
      <c r="N293">
        <v>819.52415227959705</v>
      </c>
      <c r="O293">
        <v>385.23324893108997</v>
      </c>
      <c r="P293">
        <v>7090.5220413206298</v>
      </c>
      <c r="Q293">
        <v>768.14554867165305</v>
      </c>
      <c r="R293">
        <v>1.9770021334741501</v>
      </c>
      <c r="S293">
        <v>1518.6253885425299</v>
      </c>
    </row>
    <row r="294" spans="1:19" x14ac:dyDescent="0.75">
      <c r="A294" s="1">
        <v>45624</v>
      </c>
      <c r="B294">
        <v>3.0538352745569399E-2</v>
      </c>
      <c r="C294">
        <v>-2.2740188555526202</v>
      </c>
      <c r="D294">
        <v>10.7389714341952</v>
      </c>
      <c r="E294" t="s">
        <v>21</v>
      </c>
      <c r="F294">
        <v>-2.2434805028070501</v>
      </c>
      <c r="G294">
        <v>5.9295833333333299</v>
      </c>
      <c r="H294">
        <v>62.92</v>
      </c>
      <c r="I294">
        <v>5.9068421052631601</v>
      </c>
      <c r="J294">
        <v>5.6213690003137799E-2</v>
      </c>
      <c r="K294">
        <v>8.8251559448361405</v>
      </c>
      <c r="L294">
        <v>4.2714786822345303</v>
      </c>
      <c r="M294">
        <v>7.9686488336847203E-2</v>
      </c>
      <c r="N294">
        <v>762.49347363384197</v>
      </c>
      <c r="O294">
        <v>369.05575814506301</v>
      </c>
      <c r="P294">
        <v>6884.9125923035999</v>
      </c>
      <c r="Q294">
        <v>448.78029931864802</v>
      </c>
      <c r="R294">
        <v>1.970133271481</v>
      </c>
      <c r="S294">
        <v>884.15699927287199</v>
      </c>
    </row>
    <row r="295" spans="1:19" x14ac:dyDescent="0.75">
      <c r="A295" s="1">
        <v>45625</v>
      </c>
      <c r="B295">
        <v>1.55911050172136E-2</v>
      </c>
      <c r="C295">
        <v>-0.98892748653192997</v>
      </c>
      <c r="D295">
        <v>4.92152525554169</v>
      </c>
      <c r="E295" t="s">
        <v>21</v>
      </c>
      <c r="F295">
        <v>-0.97333638151471602</v>
      </c>
      <c r="G295">
        <v>5.8383333333333303</v>
      </c>
      <c r="H295">
        <v>65.260000000000005</v>
      </c>
      <c r="I295">
        <v>5.84578947368421</v>
      </c>
      <c r="J295">
        <v>5.7167763880982297E-2</v>
      </c>
      <c r="K295">
        <v>9.0994399144275508</v>
      </c>
      <c r="L295">
        <v>4.1073897802807604</v>
      </c>
      <c r="M295">
        <v>8.0702479648554495E-2</v>
      </c>
      <c r="N295">
        <v>786.19160860653994</v>
      </c>
      <c r="O295">
        <v>354.87847701625799</v>
      </c>
      <c r="P295">
        <v>6972.6942416351103</v>
      </c>
      <c r="Q295">
        <v>991.74254234470197</v>
      </c>
      <c r="R295">
        <v>1.9723163617945301</v>
      </c>
      <c r="S295">
        <v>1956.0300429541601</v>
      </c>
    </row>
    <row r="296" spans="1:19" x14ac:dyDescent="0.75">
      <c r="A296" s="1">
        <v>45626</v>
      </c>
      <c r="B296">
        <v>1.20813947844231E-2</v>
      </c>
      <c r="C296">
        <v>-0.61142894483099097</v>
      </c>
      <c r="D296">
        <v>4.43866239216623</v>
      </c>
      <c r="E296" t="s">
        <v>21</v>
      </c>
      <c r="F296">
        <v>-0.59934755004656803</v>
      </c>
      <c r="G296">
        <v>7.2874999999999996</v>
      </c>
      <c r="H296">
        <v>58.68</v>
      </c>
      <c r="I296">
        <v>7.2373684210526301</v>
      </c>
      <c r="J296">
        <v>5.68859451355265E-2</v>
      </c>
      <c r="K296">
        <v>9.0317046942272192</v>
      </c>
      <c r="L296">
        <v>3.9639837709028201</v>
      </c>
      <c r="M296">
        <v>8.0387871860737106E-2</v>
      </c>
      <c r="N296">
        <v>780.33928558123205</v>
      </c>
      <c r="O296">
        <v>342.488197806004</v>
      </c>
      <c r="P296">
        <v>6945.5121287676802</v>
      </c>
      <c r="Q296">
        <v>1095.3431598488</v>
      </c>
      <c r="R296">
        <v>1.9750323773037799</v>
      </c>
      <c r="S296">
        <v>2163.3382049595998</v>
      </c>
    </row>
    <row r="297" spans="1:19" x14ac:dyDescent="0.75">
      <c r="A297" s="1">
        <v>45627</v>
      </c>
      <c r="B297">
        <v>9.8888883266318207E-3</v>
      </c>
      <c r="C297">
        <v>-0.765062650484577</v>
      </c>
      <c r="D297">
        <v>6.88490789357797</v>
      </c>
      <c r="E297" t="s">
        <v>21</v>
      </c>
      <c r="F297">
        <v>-0.75517376215794496</v>
      </c>
      <c r="G297">
        <v>8.4304166666666696</v>
      </c>
      <c r="H297">
        <v>50.76</v>
      </c>
      <c r="I297">
        <v>8.41</v>
      </c>
      <c r="J297">
        <v>5.2843607505396697E-2</v>
      </c>
      <c r="K297">
        <v>7.8980522265560502</v>
      </c>
      <c r="L297">
        <v>3.8470163687252898</v>
      </c>
      <c r="M297">
        <v>7.6049493705844795E-2</v>
      </c>
      <c r="N297">
        <v>682.39171237444305</v>
      </c>
      <c r="O297">
        <v>332.38221425786497</v>
      </c>
      <c r="P297">
        <v>6570.6762561849901</v>
      </c>
      <c r="Q297">
        <v>668.05154846294204</v>
      </c>
      <c r="R297">
        <v>1.9653106876558</v>
      </c>
      <c r="S297">
        <v>1312.92884809923</v>
      </c>
    </row>
    <row r="298" spans="1:19" x14ac:dyDescent="0.75">
      <c r="A298" s="1">
        <v>45628</v>
      </c>
      <c r="B298">
        <v>8.6997136927118596E-3</v>
      </c>
      <c r="C298">
        <v>-0.77958069590020496</v>
      </c>
      <c r="D298">
        <v>7.9473316413102397</v>
      </c>
      <c r="E298" t="s">
        <v>21</v>
      </c>
      <c r="F298">
        <v>-0.77088098220749302</v>
      </c>
      <c r="G298">
        <v>8.8662500000000009</v>
      </c>
      <c r="H298">
        <v>48.24</v>
      </c>
      <c r="I298">
        <v>8.8684210526315805</v>
      </c>
      <c r="J298">
        <v>4.95674645894746E-2</v>
      </c>
      <c r="K298">
        <v>7.0292117555935798</v>
      </c>
      <c r="L298">
        <v>3.7589979926798902</v>
      </c>
      <c r="M298">
        <v>7.2473892687279107E-2</v>
      </c>
      <c r="N298">
        <v>607.32389568328495</v>
      </c>
      <c r="O298">
        <v>324.77742656754202</v>
      </c>
      <c r="P298">
        <v>6261.7443281809201</v>
      </c>
      <c r="Q298">
        <v>551.53367539648798</v>
      </c>
      <c r="R298">
        <v>1.95671841875355</v>
      </c>
      <c r="S298">
        <v>1079.1961012111501</v>
      </c>
    </row>
    <row r="299" spans="1:19" x14ac:dyDescent="0.75">
      <c r="A299" s="1">
        <v>45629</v>
      </c>
      <c r="B299">
        <v>8.6131725988305204E-3</v>
      </c>
      <c r="C299">
        <v>-0.70339453826408305</v>
      </c>
      <c r="D299">
        <v>8.1476922108069694</v>
      </c>
      <c r="E299" t="s">
        <v>21</v>
      </c>
      <c r="F299">
        <v>-0.69478136566525295</v>
      </c>
      <c r="G299">
        <v>9.1487499999999997</v>
      </c>
      <c r="H299">
        <v>47.16</v>
      </c>
      <c r="I299">
        <v>9.1610526315789507</v>
      </c>
      <c r="J299">
        <v>4.5748233466164002E-2</v>
      </c>
      <c r="K299">
        <v>6.06590042399539</v>
      </c>
      <c r="L299">
        <v>3.6818566401710102</v>
      </c>
      <c r="M299">
        <v>6.82417454513429E-2</v>
      </c>
      <c r="N299">
        <v>524.09379663320101</v>
      </c>
      <c r="O299">
        <v>318.112413710775</v>
      </c>
      <c r="P299">
        <v>5896.0868069960297</v>
      </c>
      <c r="Q299">
        <v>506.55580231944498</v>
      </c>
      <c r="R299">
        <v>1.94299114594442</v>
      </c>
      <c r="S299">
        <v>984.23343883345603</v>
      </c>
    </row>
    <row r="300" spans="1:19" x14ac:dyDescent="0.75">
      <c r="A300" s="1">
        <v>45630</v>
      </c>
      <c r="B300">
        <v>8.4868663795002099E-3</v>
      </c>
      <c r="C300">
        <v>-0.72820764787144698</v>
      </c>
      <c r="D300">
        <v>8.8552923844946996</v>
      </c>
      <c r="E300" t="s">
        <v>21</v>
      </c>
      <c r="F300">
        <v>-0.71972078149194696</v>
      </c>
      <c r="G300">
        <v>9.3591666666666704</v>
      </c>
      <c r="H300">
        <v>45.79</v>
      </c>
      <c r="I300">
        <v>9.3842105263157904</v>
      </c>
      <c r="J300">
        <v>4.3936960904224699E-2</v>
      </c>
      <c r="K300">
        <v>5.6308263472435502</v>
      </c>
      <c r="L300">
        <v>3.6146799593565899</v>
      </c>
      <c r="M300">
        <v>6.6205780969409794E-2</v>
      </c>
      <c r="N300">
        <v>486.50339640184302</v>
      </c>
      <c r="O300">
        <v>312.30834848840902</v>
      </c>
      <c r="P300">
        <v>5720.1794757569996</v>
      </c>
      <c r="Q300">
        <v>452.173170480625</v>
      </c>
      <c r="R300">
        <v>1.93573635871175</v>
      </c>
      <c r="S300">
        <v>875.28804653331099</v>
      </c>
    </row>
    <row r="301" spans="1:19" x14ac:dyDescent="0.75">
      <c r="A301" s="1">
        <v>45631</v>
      </c>
      <c r="B301">
        <v>1.4244988831359801E-2</v>
      </c>
      <c r="C301">
        <v>-0.49341391507778498</v>
      </c>
      <c r="D301">
        <v>4.4719678420441697</v>
      </c>
      <c r="E301" t="s">
        <v>21</v>
      </c>
      <c r="F301">
        <v>-0.47916892624642599</v>
      </c>
      <c r="G301">
        <v>8.9320833333333294</v>
      </c>
      <c r="H301">
        <v>45.54</v>
      </c>
      <c r="I301">
        <v>8.9421052631579006</v>
      </c>
      <c r="J301">
        <v>4.2290082610468099E-2</v>
      </c>
      <c r="K301">
        <v>5.2505272352289101</v>
      </c>
      <c r="L301">
        <v>3.5571684884242099</v>
      </c>
      <c r="M301">
        <v>6.4332802767185004E-2</v>
      </c>
      <c r="N301">
        <v>453.64555312377701</v>
      </c>
      <c r="O301">
        <v>307.33935739985202</v>
      </c>
      <c r="P301">
        <v>5558.3541590847799</v>
      </c>
      <c r="Q301">
        <v>870.05274831779798</v>
      </c>
      <c r="R301">
        <v>1.9298871280485801</v>
      </c>
      <c r="S301">
        <v>1679.10359970181</v>
      </c>
    </row>
    <row r="302" spans="1:19" x14ac:dyDescent="0.75">
      <c r="A302" s="1">
        <v>45632</v>
      </c>
      <c r="B302">
        <v>1.3171660463986301E-2</v>
      </c>
      <c r="C302">
        <v>-1.02748514823677</v>
      </c>
      <c r="D302">
        <v>8.86046434319843</v>
      </c>
      <c r="E302" t="s">
        <v>21</v>
      </c>
      <c r="F302">
        <v>-1.01431348777279</v>
      </c>
      <c r="G302">
        <v>7.7</v>
      </c>
      <c r="H302">
        <v>53.38</v>
      </c>
      <c r="I302">
        <v>7.7252631578947399</v>
      </c>
      <c r="J302">
        <v>4.36551421587692E-2</v>
      </c>
      <c r="K302">
        <v>5.5595078079018396</v>
      </c>
      <c r="L302">
        <v>3.50846736414959</v>
      </c>
      <c r="M302">
        <v>6.5894409033120299E-2</v>
      </c>
      <c r="N302">
        <v>480.34147460271902</v>
      </c>
      <c r="O302">
        <v>303.13158026252501</v>
      </c>
      <c r="P302">
        <v>5693.2769404616001</v>
      </c>
      <c r="Q302">
        <v>449.78386052446001</v>
      </c>
      <c r="R302">
        <v>1.93264625843303</v>
      </c>
      <c r="S302">
        <v>869.27309514616104</v>
      </c>
    </row>
    <row r="303" spans="1:19" x14ac:dyDescent="0.75">
      <c r="A303" s="1">
        <v>45633</v>
      </c>
      <c r="B303">
        <v>8.7447932491693005E-3</v>
      </c>
      <c r="C303">
        <v>-0.50149755387367401</v>
      </c>
      <c r="D303">
        <v>5.3658636496605503</v>
      </c>
      <c r="E303" t="s">
        <v>21</v>
      </c>
      <c r="F303">
        <v>-0.49275276062450402</v>
      </c>
      <c r="G303">
        <v>8.4804166666666703</v>
      </c>
      <c r="H303">
        <v>50.22</v>
      </c>
      <c r="I303">
        <v>8.4868421052631593</v>
      </c>
      <c r="J303">
        <v>4.3502490338314097E-2</v>
      </c>
      <c r="K303">
        <v>5.5362126969347401</v>
      </c>
      <c r="L303">
        <v>3.4670935942054699</v>
      </c>
      <c r="M303">
        <v>6.5703599958991193E-2</v>
      </c>
      <c r="N303">
        <v>478.32877701516202</v>
      </c>
      <c r="O303">
        <v>299.556886539353</v>
      </c>
      <c r="P303">
        <v>5676.7910364568397</v>
      </c>
      <c r="Q303">
        <v>740.56181538850103</v>
      </c>
      <c r="R303">
        <v>1.9369101820854999</v>
      </c>
      <c r="S303">
        <v>1434.4017206897099</v>
      </c>
    </row>
    <row r="304" spans="1:19" x14ac:dyDescent="0.75">
      <c r="A304" s="1">
        <v>45634</v>
      </c>
      <c r="B304">
        <v>1.0150970541348199E-2</v>
      </c>
      <c r="C304">
        <v>-1.1315635823268499</v>
      </c>
      <c r="D304">
        <v>12.2984915593563</v>
      </c>
      <c r="E304" t="s">
        <v>21</v>
      </c>
      <c r="F304">
        <v>-1.1214126117854999</v>
      </c>
      <c r="G304">
        <v>8.6995833333333294</v>
      </c>
      <c r="H304">
        <v>47.3</v>
      </c>
      <c r="I304">
        <v>8.72842105263158</v>
      </c>
      <c r="J304">
        <v>4.0091309273527699E-2</v>
      </c>
      <c r="K304">
        <v>4.7617795686663902</v>
      </c>
      <c r="L304">
        <v>3.4314968253646798</v>
      </c>
      <c r="M304">
        <v>6.1802926836625499E-2</v>
      </c>
      <c r="N304">
        <v>411.41775473277602</v>
      </c>
      <c r="O304">
        <v>296.48132571150802</v>
      </c>
      <c r="P304">
        <v>5339.77287868444</v>
      </c>
      <c r="Q304">
        <v>303.92678622732899</v>
      </c>
      <c r="R304">
        <v>1.9218080366460299</v>
      </c>
      <c r="S304">
        <v>584.088940323683</v>
      </c>
    </row>
    <row r="305" spans="1:19" x14ac:dyDescent="0.75">
      <c r="A305" s="1">
        <v>45635</v>
      </c>
      <c r="B305">
        <v>1.5416323071209799E-2</v>
      </c>
      <c r="C305">
        <v>-0.73663601845972904</v>
      </c>
      <c r="D305">
        <v>6.3687401744727499</v>
      </c>
      <c r="E305" t="s">
        <v>21</v>
      </c>
      <c r="F305">
        <v>-0.72121969538851904</v>
      </c>
      <c r="G305">
        <v>7.8104166666666703</v>
      </c>
      <c r="H305">
        <v>50.43</v>
      </c>
      <c r="I305">
        <v>7.8463157894736799</v>
      </c>
      <c r="J305">
        <v>3.8353427009884401E-2</v>
      </c>
      <c r="K305">
        <v>4.3909665317707898</v>
      </c>
      <c r="L305">
        <v>3.40080479007915</v>
      </c>
      <c r="M305">
        <v>5.9778483636517402E-2</v>
      </c>
      <c r="N305">
        <v>379.379508344996</v>
      </c>
      <c r="O305">
        <v>293.82953386283799</v>
      </c>
      <c r="P305">
        <v>5164.8609861950999</v>
      </c>
      <c r="Q305">
        <v>567.67941402726103</v>
      </c>
      <c r="R305">
        <v>1.91518643406856</v>
      </c>
      <c r="S305">
        <v>1087.211912645</v>
      </c>
    </row>
    <row r="306" spans="1:19" x14ac:dyDescent="0.75">
      <c r="A306" s="1">
        <v>45636</v>
      </c>
      <c r="B306">
        <v>1.9248502392742901E-2</v>
      </c>
      <c r="C306">
        <v>-1.00304027714552</v>
      </c>
      <c r="D306">
        <v>7.2757053455114002</v>
      </c>
      <c r="E306" t="s">
        <v>21</v>
      </c>
      <c r="F306">
        <v>-0.98379177475277602</v>
      </c>
      <c r="G306">
        <v>6.6416666666666702</v>
      </c>
      <c r="H306">
        <v>55.98</v>
      </c>
      <c r="I306">
        <v>6.6578947368421098</v>
      </c>
      <c r="J306">
        <v>3.7372932624652903E-2</v>
      </c>
      <c r="K306">
        <v>4.1945648452366298</v>
      </c>
      <c r="L306">
        <v>3.3741616158592498</v>
      </c>
      <c r="M306">
        <v>5.8614650257242801E-2</v>
      </c>
      <c r="N306">
        <v>362.41040262844501</v>
      </c>
      <c r="O306">
        <v>291.52756361023899</v>
      </c>
      <c r="P306">
        <v>5064.3057822257797</v>
      </c>
      <c r="Q306">
        <v>487.23991409919699</v>
      </c>
      <c r="R306">
        <v>1.91480060833225</v>
      </c>
      <c r="S306">
        <v>932.96728392089904</v>
      </c>
    </row>
    <row r="307" spans="1:19" x14ac:dyDescent="0.75">
      <c r="A307" s="1">
        <v>45637</v>
      </c>
      <c r="B307">
        <v>6.4626481158741901E-3</v>
      </c>
      <c r="C307">
        <v>-0.39088226618413702</v>
      </c>
      <c r="D307">
        <v>1.8114380683456099</v>
      </c>
      <c r="E307" t="s">
        <v>21</v>
      </c>
      <c r="F307">
        <v>-0.38441961806826302</v>
      </c>
      <c r="G307">
        <v>5.66041666666667</v>
      </c>
      <c r="H307">
        <v>61.09</v>
      </c>
      <c r="I307">
        <v>5.6994736842105302</v>
      </c>
      <c r="J307">
        <v>5.3774196487786897E-2</v>
      </c>
      <c r="K307">
        <v>8.4443568830696893</v>
      </c>
      <c r="L307">
        <v>3.3516636134044302</v>
      </c>
      <c r="M307">
        <v>7.6699286452775003E-2</v>
      </c>
      <c r="N307">
        <v>729.59243469722196</v>
      </c>
      <c r="O307">
        <v>289.58373619814301</v>
      </c>
      <c r="P307">
        <v>6626.81834951976</v>
      </c>
      <c r="Q307">
        <v>2560.8233180726102</v>
      </c>
      <c r="R307">
        <v>2.0473935283839699</v>
      </c>
      <c r="S307">
        <v>5243.0130887566202</v>
      </c>
    </row>
    <row r="308" spans="1:19" x14ac:dyDescent="0.75">
      <c r="A308" s="1">
        <v>45638</v>
      </c>
      <c r="B308">
        <v>1.2886876200883E-2</v>
      </c>
      <c r="C308">
        <v>-0.62909809686251705</v>
      </c>
      <c r="D308">
        <v>3.7485870536788499</v>
      </c>
      <c r="E308" t="s">
        <v>21</v>
      </c>
      <c r="F308">
        <v>-0.61621122066163403</v>
      </c>
      <c r="G308">
        <v>7.2050000000000001</v>
      </c>
      <c r="H308">
        <v>57.24</v>
      </c>
      <c r="I308">
        <v>7.13894736842105</v>
      </c>
      <c r="J308">
        <v>6.5974599676472206E-2</v>
      </c>
      <c r="K308">
        <v>11.8431323534725</v>
      </c>
      <c r="L308">
        <v>3.3334809836406301</v>
      </c>
      <c r="M308">
        <v>8.9860697021994507E-2</v>
      </c>
      <c r="N308">
        <v>1023.24663534003</v>
      </c>
      <c r="O308">
        <v>288.01275698655098</v>
      </c>
      <c r="P308">
        <v>7763.9642227003296</v>
      </c>
      <c r="Q308">
        <v>1449.8195928400701</v>
      </c>
      <c r="R308">
        <v>1.9976529279427799</v>
      </c>
      <c r="S308">
        <v>2896.2363546257802</v>
      </c>
    </row>
    <row r="309" spans="1:19" x14ac:dyDescent="0.75">
      <c r="A309" s="1">
        <v>45639</v>
      </c>
      <c r="B309">
        <v>4.23317744504592E-2</v>
      </c>
      <c r="C309">
        <v>-1.7693299189282301</v>
      </c>
      <c r="D309">
        <v>12.035104689592</v>
      </c>
      <c r="E309" t="s">
        <v>21</v>
      </c>
      <c r="F309">
        <v>-1.72699814447777</v>
      </c>
      <c r="G309">
        <v>7.9508333333333301</v>
      </c>
      <c r="H309">
        <v>50.22</v>
      </c>
      <c r="I309">
        <v>7.9157894736842103</v>
      </c>
      <c r="J309">
        <v>5.5228227659252498E-2</v>
      </c>
      <c r="K309">
        <v>8.5709619988180794</v>
      </c>
      <c r="L309">
        <v>3.3198220946637398</v>
      </c>
      <c r="M309">
        <v>7.8604426202630806E-2</v>
      </c>
      <c r="N309">
        <v>740.531116697882</v>
      </c>
      <c r="O309">
        <v>286.83262897894701</v>
      </c>
      <c r="P309">
        <v>6791.4224239073001</v>
      </c>
      <c r="Q309">
        <v>395.01074725560102</v>
      </c>
      <c r="R309">
        <v>1.9743378042022901</v>
      </c>
      <c r="S309">
        <v>779.88465137292803</v>
      </c>
    </row>
    <row r="310" spans="1:19" x14ac:dyDescent="0.75">
      <c r="A310" s="1">
        <v>45640</v>
      </c>
      <c r="B310">
        <v>2.5670075490726901E-2</v>
      </c>
      <c r="C310">
        <v>-0.77667705658591801</v>
      </c>
      <c r="D310">
        <v>4.2995239329321198</v>
      </c>
      <c r="E310" t="s">
        <v>21</v>
      </c>
      <c r="F310">
        <v>-0.75100698109519104</v>
      </c>
      <c r="G310">
        <v>7.0220833333333301</v>
      </c>
      <c r="H310">
        <v>54.18</v>
      </c>
      <c r="I310">
        <v>7.0294736842105303</v>
      </c>
      <c r="J310">
        <v>5.0307238796295797E-2</v>
      </c>
      <c r="K310">
        <v>7.20080731502253</v>
      </c>
      <c r="L310">
        <v>3.3107033875676399</v>
      </c>
      <c r="M310">
        <v>7.33119988289226E-2</v>
      </c>
      <c r="N310">
        <v>622.14975201794698</v>
      </c>
      <c r="O310">
        <v>286.04477268584401</v>
      </c>
      <c r="P310">
        <v>6334.1566988189097</v>
      </c>
      <c r="Q310">
        <v>1031.25596190122</v>
      </c>
      <c r="R310">
        <v>1.9524307920787201</v>
      </c>
      <c r="S310">
        <v>2013.4558945307101</v>
      </c>
    </row>
    <row r="311" spans="1:19" x14ac:dyDescent="0.75">
      <c r="A311" s="1">
        <v>45641</v>
      </c>
      <c r="B311">
        <v>2.89211638661298E-2</v>
      </c>
      <c r="C311">
        <v>-2.0883657376743199</v>
      </c>
      <c r="D311">
        <v>10.6604397271109</v>
      </c>
      <c r="E311" t="s">
        <v>21</v>
      </c>
      <c r="F311">
        <v>-2.0594445738081899</v>
      </c>
      <c r="G311">
        <v>6.0570833333333303</v>
      </c>
      <c r="H311">
        <v>59.14</v>
      </c>
      <c r="I311">
        <v>6.05526315789474</v>
      </c>
      <c r="J311">
        <v>5.03277880798184E-2</v>
      </c>
      <c r="K311">
        <v>7.2103223348257899</v>
      </c>
      <c r="L311">
        <v>3.3052029358429502</v>
      </c>
      <c r="M311">
        <v>7.3329430452979502E-2</v>
      </c>
      <c r="N311">
        <v>622.971849728949</v>
      </c>
      <c r="O311">
        <v>285.56953365683103</v>
      </c>
      <c r="P311">
        <v>6335.6627911374298</v>
      </c>
      <c r="Q311">
        <v>416.02073341472902</v>
      </c>
      <c r="R311">
        <v>1.9537479026685001</v>
      </c>
      <c r="S311">
        <v>812.79963537563799</v>
      </c>
    </row>
    <row r="312" spans="1:19" x14ac:dyDescent="0.75">
      <c r="A312" s="1">
        <v>45642</v>
      </c>
      <c r="B312">
        <v>3.05039932890767E-2</v>
      </c>
      <c r="C312">
        <v>-1.50913478200147</v>
      </c>
      <c r="D312">
        <v>7.72857216027215</v>
      </c>
      <c r="E312" t="s">
        <v>21</v>
      </c>
      <c r="F312">
        <v>-1.47863078871239</v>
      </c>
      <c r="G312">
        <v>5.7074999999999996</v>
      </c>
      <c r="H312">
        <v>61.12</v>
      </c>
      <c r="I312">
        <v>5.6794736842105298</v>
      </c>
      <c r="J312">
        <v>4.7086872507078402E-2</v>
      </c>
      <c r="K312">
        <v>6.3837928117051401</v>
      </c>
      <c r="L312">
        <v>3.3024013435823698</v>
      </c>
      <c r="M312">
        <v>6.9751658132904903E-2</v>
      </c>
      <c r="N312">
        <v>551.55969893132499</v>
      </c>
      <c r="O312">
        <v>285.32747608551699</v>
      </c>
      <c r="P312">
        <v>6026.5432626829797</v>
      </c>
      <c r="Q312">
        <v>545.84212923096197</v>
      </c>
      <c r="R312">
        <v>1.9436783694512401</v>
      </c>
      <c r="S312">
        <v>1060.94153972143</v>
      </c>
    </row>
    <row r="313" spans="1:19" x14ac:dyDescent="0.75">
      <c r="A313" s="1">
        <v>45643</v>
      </c>
      <c r="B313">
        <v>3.7576731873687902E-2</v>
      </c>
      <c r="C313">
        <v>-1.93185626235519</v>
      </c>
      <c r="D313">
        <v>8.8252909996516493</v>
      </c>
      <c r="E313" t="s">
        <v>21</v>
      </c>
      <c r="F313">
        <v>-1.8942795304815101</v>
      </c>
      <c r="G313">
        <v>5.0908333333333298</v>
      </c>
      <c r="H313">
        <v>63.03</v>
      </c>
      <c r="I313">
        <v>5.0931578947368399</v>
      </c>
      <c r="J313">
        <v>4.6567269195144499E-2</v>
      </c>
      <c r="K313">
        <v>6.2533110581037104</v>
      </c>
      <c r="L313">
        <v>3.3013928536033199</v>
      </c>
      <c r="M313">
        <v>6.9175268472665294E-2</v>
      </c>
      <c r="N313">
        <v>540.28607542016096</v>
      </c>
      <c r="O313">
        <v>285.24034255132699</v>
      </c>
      <c r="P313">
        <v>5976.7431960382801</v>
      </c>
      <c r="Q313">
        <v>474.06031567592902</v>
      </c>
      <c r="R313">
        <v>1.94123632001196</v>
      </c>
      <c r="S313">
        <v>920.26310266644896</v>
      </c>
    </row>
    <row r="314" spans="1:19" x14ac:dyDescent="0.75">
      <c r="A314" s="1">
        <v>45644</v>
      </c>
      <c r="B314">
        <v>3.2576578291277601E-2</v>
      </c>
      <c r="C314">
        <v>-3.0337694896025802</v>
      </c>
      <c r="D314">
        <v>13.403793251626301</v>
      </c>
      <c r="E314" t="s">
        <v>21</v>
      </c>
      <c r="F314">
        <v>-3.0011929113112998</v>
      </c>
      <c r="G314">
        <v>4.73166666666667</v>
      </c>
      <c r="H314">
        <v>64.62</v>
      </c>
      <c r="I314">
        <v>4.7252631578947399</v>
      </c>
      <c r="J314">
        <v>4.6540848687758103E-2</v>
      </c>
      <c r="K314">
        <v>6.2461109474918404</v>
      </c>
      <c r="L314">
        <v>3.3022304719584099</v>
      </c>
      <c r="M314">
        <v>6.9146952651825896E-2</v>
      </c>
      <c r="N314">
        <v>539.66398586329501</v>
      </c>
      <c r="O314">
        <v>285.31271277720703</v>
      </c>
      <c r="P314">
        <v>5974.2967091177597</v>
      </c>
      <c r="Q314">
        <v>312.00180559895102</v>
      </c>
      <c r="R314">
        <v>1.9408963817425</v>
      </c>
      <c r="S314">
        <v>605.56317558413002</v>
      </c>
    </row>
    <row r="315" spans="1:19" x14ac:dyDescent="0.75">
      <c r="A315" s="1">
        <v>45645</v>
      </c>
      <c r="B315">
        <v>2.54356131464251E-2</v>
      </c>
      <c r="C315">
        <v>-1.8748664124519301</v>
      </c>
      <c r="D315">
        <v>8.9429323249873498</v>
      </c>
      <c r="E315" t="s">
        <v>21</v>
      </c>
      <c r="F315">
        <v>-1.8494307993055099</v>
      </c>
      <c r="G315">
        <v>4.7691666666666697</v>
      </c>
      <c r="H315">
        <v>64.47</v>
      </c>
      <c r="I315">
        <v>4.7621052631578902</v>
      </c>
      <c r="J315">
        <v>4.4327397291158102E-2</v>
      </c>
      <c r="K315">
        <v>5.7206852032735602</v>
      </c>
      <c r="L315">
        <v>3.3052387628854101</v>
      </c>
      <c r="M315">
        <v>6.6650406121300104E-2</v>
      </c>
      <c r="N315">
        <v>494.26720156283602</v>
      </c>
      <c r="O315">
        <v>285.57262911330002</v>
      </c>
      <c r="P315">
        <v>5758.59508888033</v>
      </c>
      <c r="Q315">
        <v>450.74886130505701</v>
      </c>
      <c r="R315">
        <v>1.9363016605807599</v>
      </c>
      <c r="S315">
        <v>872.78576864986599</v>
      </c>
    </row>
    <row r="316" spans="1:19" x14ac:dyDescent="0.75">
      <c r="A316" s="1">
        <v>45646</v>
      </c>
      <c r="B316">
        <v>1.3660496330378601E-2</v>
      </c>
      <c r="C316">
        <v>-0.74118284966552594</v>
      </c>
      <c r="D316">
        <v>3.9965163889431001</v>
      </c>
      <c r="E316" t="s">
        <v>21</v>
      </c>
      <c r="F316">
        <v>-0.72752235333514803</v>
      </c>
      <c r="G316">
        <v>5.17458333333333</v>
      </c>
      <c r="H316">
        <v>62.64</v>
      </c>
      <c r="I316">
        <v>5.1789473684210501</v>
      </c>
      <c r="J316">
        <v>4.3740274904792299E-2</v>
      </c>
      <c r="K316">
        <v>5.5786700475547004</v>
      </c>
      <c r="L316">
        <v>3.3105735795135001</v>
      </c>
      <c r="M316">
        <v>6.5992093262586801E-2</v>
      </c>
      <c r="N316">
        <v>481.99709210872601</v>
      </c>
      <c r="O316">
        <v>286.03355726996602</v>
      </c>
      <c r="P316">
        <v>5701.7168578874998</v>
      </c>
      <c r="Q316">
        <v>998.67019476348003</v>
      </c>
      <c r="R316">
        <v>1.93266803190665</v>
      </c>
      <c r="S316">
        <v>1930.0979598373699</v>
      </c>
    </row>
    <row r="317" spans="1:19" x14ac:dyDescent="0.75">
      <c r="A317" s="1">
        <v>45647</v>
      </c>
      <c r="B317">
        <v>1.3172878893092901E-2</v>
      </c>
      <c r="C317">
        <v>-0.43016043054449299</v>
      </c>
      <c r="D317">
        <v>3.14269895700959</v>
      </c>
      <c r="E317" t="s">
        <v>21</v>
      </c>
      <c r="F317">
        <v>-0.4169875516514</v>
      </c>
      <c r="G317">
        <v>6.4933333333333296</v>
      </c>
      <c r="H317">
        <v>55.36</v>
      </c>
      <c r="I317">
        <v>6.4768421052631604</v>
      </c>
      <c r="J317">
        <v>4.4403723201385803E-2</v>
      </c>
      <c r="K317">
        <v>5.7353553053573902</v>
      </c>
      <c r="L317">
        <v>3.3181483668192602</v>
      </c>
      <c r="M317">
        <v>6.6741433134736294E-2</v>
      </c>
      <c r="N317">
        <v>495.53469838287901</v>
      </c>
      <c r="O317">
        <v>286.68801889318399</v>
      </c>
      <c r="P317">
        <v>5766.4598228412096</v>
      </c>
      <c r="Q317">
        <v>1284.41251650453</v>
      </c>
      <c r="R317">
        <v>1.9352871495975199</v>
      </c>
      <c r="S317">
        <v>2485.70703797343</v>
      </c>
    </row>
    <row r="318" spans="1:19" x14ac:dyDescent="0.75">
      <c r="A318" s="1">
        <v>45648</v>
      </c>
      <c r="B318">
        <v>1.16202321418412E-2</v>
      </c>
      <c r="C318">
        <v>-0.70525669723975004</v>
      </c>
      <c r="D318">
        <v>6.19866251481956</v>
      </c>
      <c r="E318" t="s">
        <v>21</v>
      </c>
      <c r="F318">
        <v>-0.69363646509790899</v>
      </c>
      <c r="G318">
        <v>7.5287499999999996</v>
      </c>
      <c r="H318">
        <v>49.5</v>
      </c>
      <c r="I318">
        <v>7.5468421052631598</v>
      </c>
      <c r="J318">
        <v>3.8720378501363097E-2</v>
      </c>
      <c r="K318">
        <v>4.4697234621940298</v>
      </c>
      <c r="L318">
        <v>3.3274737979468898</v>
      </c>
      <c r="M318">
        <v>6.0205246716543002E-2</v>
      </c>
      <c r="N318">
        <v>386.184107133564</v>
      </c>
      <c r="O318">
        <v>287.493736142611</v>
      </c>
      <c r="P318">
        <v>5201.7333163093199</v>
      </c>
      <c r="Q318">
        <v>587.41919127089602</v>
      </c>
      <c r="R318">
        <v>1.9173734974384999</v>
      </c>
      <c r="S318">
        <v>1126.3019892295699</v>
      </c>
    </row>
    <row r="319" spans="1:19" x14ac:dyDescent="0.75">
      <c r="A319" s="1">
        <v>45649</v>
      </c>
      <c r="B319">
        <v>1.8470255394767598E-2</v>
      </c>
      <c r="C319">
        <v>-1.42701038176076</v>
      </c>
      <c r="D319">
        <v>12.263524187732401</v>
      </c>
      <c r="E319" t="s">
        <v>21</v>
      </c>
      <c r="F319">
        <v>-1.40854012636599</v>
      </c>
      <c r="G319">
        <v>7.3712499999999999</v>
      </c>
      <c r="H319">
        <v>50.29</v>
      </c>
      <c r="I319">
        <v>7.3884210526315801</v>
      </c>
      <c r="J319">
        <v>3.6327854776921603E-2</v>
      </c>
      <c r="K319">
        <v>3.9708401418680102</v>
      </c>
      <c r="L319">
        <v>3.3379504443168599</v>
      </c>
      <c r="M319">
        <v>5.73996648391632E-2</v>
      </c>
      <c r="N319">
        <v>343.08058825739602</v>
      </c>
      <c r="O319">
        <v>288.39891838897699</v>
      </c>
      <c r="P319">
        <v>4959.3310421037004</v>
      </c>
      <c r="Q319">
        <v>283.07782300827398</v>
      </c>
      <c r="R319">
        <v>1.9042909097343601</v>
      </c>
      <c r="S319">
        <v>539.06252510204797</v>
      </c>
    </row>
    <row r="320" spans="1:19" x14ac:dyDescent="0.75">
      <c r="A320" s="1">
        <v>45650</v>
      </c>
      <c r="B320">
        <v>1.9691014721887699E-2</v>
      </c>
      <c r="C320">
        <v>-1.22642685641538</v>
      </c>
      <c r="D320">
        <v>9.0603487454913001</v>
      </c>
      <c r="E320" t="s">
        <v>21</v>
      </c>
      <c r="F320">
        <v>-1.2067358416934899</v>
      </c>
      <c r="G320">
        <v>6.9170833333333297</v>
      </c>
      <c r="H320">
        <v>52.74</v>
      </c>
      <c r="I320">
        <v>6.9121052631578896</v>
      </c>
      <c r="J320">
        <v>3.8591211576362403E-2</v>
      </c>
      <c r="K320">
        <v>4.4352827979286804</v>
      </c>
      <c r="L320">
        <v>3.34918264814024</v>
      </c>
      <c r="M320">
        <v>6.0066390489160397E-2</v>
      </c>
      <c r="N320">
        <v>383.20843374103799</v>
      </c>
      <c r="O320">
        <v>289.36938079931701</v>
      </c>
      <c r="P320">
        <v>5189.7361382634599</v>
      </c>
      <c r="Q320">
        <v>400.95755680400498</v>
      </c>
      <c r="R320">
        <v>1.9133806052226701</v>
      </c>
      <c r="S320">
        <v>767.18441270624999</v>
      </c>
    </row>
    <row r="321" spans="1:19" x14ac:dyDescent="0.75">
      <c r="A321" s="1">
        <v>45651</v>
      </c>
      <c r="B321">
        <v>2.5614899584414999E-2</v>
      </c>
      <c r="C321">
        <v>-1.38701764989448</v>
      </c>
      <c r="D321">
        <v>9.4393196151345098</v>
      </c>
      <c r="E321" t="s">
        <v>21</v>
      </c>
      <c r="F321">
        <v>-1.3614027503100701</v>
      </c>
      <c r="G321">
        <v>6.6845833333333298</v>
      </c>
      <c r="H321">
        <v>54.9</v>
      </c>
      <c r="I321">
        <v>6.6968421052631601</v>
      </c>
      <c r="J321">
        <v>4.0842825928076101E-2</v>
      </c>
      <c r="K321">
        <v>4.9223411492759404</v>
      </c>
      <c r="L321">
        <v>3.3609190201574801</v>
      </c>
      <c r="M321">
        <v>6.2677615796920702E-2</v>
      </c>
      <c r="N321">
        <v>425.29027529744099</v>
      </c>
      <c r="O321">
        <v>290.38340334160699</v>
      </c>
      <c r="P321">
        <v>5415.34600485395</v>
      </c>
      <c r="Q321">
        <v>401.59061859923497</v>
      </c>
      <c r="R321">
        <v>1.92284137438822</v>
      </c>
      <c r="S321">
        <v>772.19505700877096</v>
      </c>
    </row>
    <row r="322" spans="1:19" x14ac:dyDescent="0.75">
      <c r="A322" s="1">
        <v>45652</v>
      </c>
      <c r="B322">
        <v>2.16658760942929E-2</v>
      </c>
      <c r="C322">
        <v>-1.0429405888029499</v>
      </c>
      <c r="D322">
        <v>5.9691738685476396</v>
      </c>
      <c r="E322" t="s">
        <v>21</v>
      </c>
      <c r="F322">
        <v>-1.0212747127086601</v>
      </c>
      <c r="G322">
        <v>6.2745833333333296</v>
      </c>
      <c r="H322">
        <v>55.36</v>
      </c>
      <c r="I322">
        <v>6.2763157894736796</v>
      </c>
      <c r="J322">
        <v>4.3857699382065497E-2</v>
      </c>
      <c r="K322">
        <v>5.60649559636507</v>
      </c>
      <c r="L322">
        <v>3.3646494856254598</v>
      </c>
      <c r="M322">
        <v>6.61245321674198E-2</v>
      </c>
      <c r="N322">
        <v>484.401219525942</v>
      </c>
      <c r="O322">
        <v>290.70571555804003</v>
      </c>
      <c r="P322">
        <v>5713.1595792650696</v>
      </c>
      <c r="Q322">
        <v>669.97741958194899</v>
      </c>
      <c r="R322">
        <v>1.9332277770644699</v>
      </c>
      <c r="S322">
        <v>1295.2189575417999</v>
      </c>
    </row>
    <row r="323" spans="1:19" x14ac:dyDescent="0.75">
      <c r="A323" s="1">
        <v>45653</v>
      </c>
      <c r="B323">
        <v>3.4041141455302397E-2</v>
      </c>
      <c r="C323">
        <v>-1.7929012478523201</v>
      </c>
      <c r="D323">
        <v>9.3395655283099295</v>
      </c>
      <c r="E323" t="s">
        <v>21</v>
      </c>
      <c r="F323">
        <v>-1.75886010639701</v>
      </c>
      <c r="G323">
        <v>5.8554166666666703</v>
      </c>
      <c r="H323">
        <v>57.16</v>
      </c>
      <c r="I323">
        <v>5.84578947368421</v>
      </c>
      <c r="J323">
        <v>4.5161111079797797E-2</v>
      </c>
      <c r="K323">
        <v>5.90906567031658</v>
      </c>
      <c r="L323">
        <v>3.3559332105794302</v>
      </c>
      <c r="M323">
        <v>6.7604282368082899E-2</v>
      </c>
      <c r="N323">
        <v>510.54327391535298</v>
      </c>
      <c r="O323">
        <v>289.952629394062</v>
      </c>
      <c r="P323">
        <v>5841.0099966023699</v>
      </c>
      <c r="Q323">
        <v>437.78342635190501</v>
      </c>
      <c r="R323">
        <v>1.93544124300566</v>
      </c>
      <c r="S323">
        <v>847.30409886580696</v>
      </c>
    </row>
    <row r="324" spans="1:19" x14ac:dyDescent="0.75">
      <c r="A324" s="1">
        <v>45654</v>
      </c>
      <c r="B324">
        <v>3.27093744351174E-2</v>
      </c>
      <c r="C324">
        <v>-1.3207703706096601</v>
      </c>
      <c r="D324">
        <v>5.9166482740910702</v>
      </c>
      <c r="E324" t="s">
        <v>21</v>
      </c>
      <c r="F324">
        <v>-1.28806099617454</v>
      </c>
      <c r="G324">
        <v>5.085</v>
      </c>
      <c r="H324">
        <v>60.4</v>
      </c>
      <c r="I324">
        <v>5.0810526315789497</v>
      </c>
      <c r="J324">
        <v>4.4738382961614399E-2</v>
      </c>
      <c r="K324">
        <v>5.8107635576352203</v>
      </c>
      <c r="L324">
        <v>3.3509744091362501</v>
      </c>
      <c r="M324">
        <v>6.7124644860306601E-2</v>
      </c>
      <c r="N324">
        <v>502.04997137968297</v>
      </c>
      <c r="O324">
        <v>289.52418894937199</v>
      </c>
      <c r="P324">
        <v>5799.5693159304901</v>
      </c>
      <c r="Q324">
        <v>686.14836189075402</v>
      </c>
      <c r="R324">
        <v>1.9349552275580399</v>
      </c>
      <c r="S324">
        <v>1327.6663597208999</v>
      </c>
    </row>
    <row r="325" spans="1:19" x14ac:dyDescent="0.75">
      <c r="A325" s="1">
        <v>45655</v>
      </c>
      <c r="B325">
        <v>4.80167558019245E-2</v>
      </c>
      <c r="C325">
        <v>-0.433966396277083</v>
      </c>
      <c r="D325">
        <v>1.26290244480876</v>
      </c>
      <c r="E325" t="s">
        <v>21</v>
      </c>
      <c r="F325">
        <v>-0.38594964047515901</v>
      </c>
      <c r="G325">
        <v>4.5220833333333301</v>
      </c>
      <c r="H325">
        <v>64.11</v>
      </c>
      <c r="I325">
        <v>4.5236842105263202</v>
      </c>
      <c r="J325">
        <v>5.7866439520757797E-2</v>
      </c>
      <c r="K325">
        <v>9.6186526792473295</v>
      </c>
      <c r="L325">
        <v>3.3496171311271401</v>
      </c>
      <c r="M325">
        <v>8.1104287061566596E-2</v>
      </c>
      <c r="N325">
        <v>831.05159148696998</v>
      </c>
      <c r="O325">
        <v>289.40692012938501</v>
      </c>
      <c r="P325">
        <v>7007.4104021193498</v>
      </c>
      <c r="Q325">
        <v>3884.0587423412198</v>
      </c>
      <c r="R325">
        <v>2.0494799342421302</v>
      </c>
      <c r="S325">
        <v>7960.3004558460398</v>
      </c>
    </row>
    <row r="326" spans="1:19" x14ac:dyDescent="0.75">
      <c r="A326" s="1">
        <v>45656</v>
      </c>
      <c r="B326">
        <v>1.76116014242137E-2</v>
      </c>
      <c r="C326">
        <v>-1.3036832172330299</v>
      </c>
      <c r="D326">
        <v>3.85612750480536</v>
      </c>
      <c r="E326" t="s">
        <v>21</v>
      </c>
      <c r="F326">
        <v>-1.2860716158088099</v>
      </c>
      <c r="G326">
        <v>4.8862500000000004</v>
      </c>
      <c r="H326">
        <v>63.43</v>
      </c>
      <c r="I326">
        <v>4.8605263157894703</v>
      </c>
      <c r="J326">
        <v>7.3586641415707199E-2</v>
      </c>
      <c r="K326">
        <v>14.4387932969251</v>
      </c>
      <c r="L326">
        <v>3.3511306929331299</v>
      </c>
      <c r="M326">
        <v>9.7563867621897393E-2</v>
      </c>
      <c r="N326">
        <v>1247.5117408543299</v>
      </c>
      <c r="O326">
        <v>289.53769186942202</v>
      </c>
      <c r="P326">
        <v>8429.5181625319292</v>
      </c>
      <c r="Q326">
        <v>1530.2042545064101</v>
      </c>
      <c r="R326">
        <v>2.0111428034237502</v>
      </c>
      <c r="S326">
        <v>3077.4592742189802</v>
      </c>
    </row>
    <row r="327" spans="1:19" x14ac:dyDescent="0.75">
      <c r="A327" s="1">
        <v>45657</v>
      </c>
      <c r="B327">
        <v>6.6525010837240398E-2</v>
      </c>
      <c r="C327">
        <v>-5.3723111353404303</v>
      </c>
      <c r="D327">
        <v>17.638425989424601</v>
      </c>
      <c r="E327" t="s">
        <v>21</v>
      </c>
      <c r="F327">
        <v>-5.3057861245031903</v>
      </c>
      <c r="G327">
        <v>4.9262499999999996</v>
      </c>
      <c r="H327">
        <v>62.38</v>
      </c>
      <c r="I327">
        <v>4.9121052631578896</v>
      </c>
      <c r="J327">
        <v>6.4917779381013202E-2</v>
      </c>
      <c r="K327">
        <v>11.4893105312632</v>
      </c>
      <c r="L327">
        <v>3.3549710132605002</v>
      </c>
      <c r="M327">
        <v>8.8785506872851597E-2</v>
      </c>
      <c r="N327">
        <v>992.67642990114098</v>
      </c>
      <c r="O327">
        <v>289.86949554570703</v>
      </c>
      <c r="P327">
        <v>7671.0677938143799</v>
      </c>
      <c r="Q327">
        <v>304.434616722013</v>
      </c>
      <c r="R327">
        <v>1.9933714489935399</v>
      </c>
      <c r="S327">
        <v>606.85127305895401</v>
      </c>
    </row>
    <row r="328" spans="1:19" x14ac:dyDescent="0.75">
      <c r="A328" s="1">
        <v>45658</v>
      </c>
      <c r="B328">
        <v>1.29463181148249E-2</v>
      </c>
      <c r="C328">
        <v>-0.59981448869174903</v>
      </c>
      <c r="D328">
        <v>2.38677691224082</v>
      </c>
      <c r="E328" t="s">
        <v>21</v>
      </c>
      <c r="F328">
        <v>-0.58686817057692398</v>
      </c>
      <c r="G328">
        <v>4.9433333333333298</v>
      </c>
      <c r="H328">
        <v>64.69</v>
      </c>
      <c r="I328">
        <v>4.9557894736842103</v>
      </c>
      <c r="J328">
        <v>6.0672884527587102E-2</v>
      </c>
      <c r="K328">
        <v>10.148967995640801</v>
      </c>
      <c r="L328">
        <v>3.3610799783684202</v>
      </c>
      <c r="M328">
        <v>8.4389924383092396E-2</v>
      </c>
      <c r="N328">
        <v>876.87083482336504</v>
      </c>
      <c r="O328">
        <v>290.39731013103102</v>
      </c>
      <c r="P328">
        <v>7291.2894666991797</v>
      </c>
      <c r="Q328">
        <v>2138.40790922418</v>
      </c>
      <c r="R328">
        <v>1.9821505734795899</v>
      </c>
      <c r="S328">
        <v>4238.64646360199</v>
      </c>
    </row>
    <row r="329" spans="1:19" x14ac:dyDescent="0.75">
      <c r="A329" s="1">
        <v>45659</v>
      </c>
      <c r="B329">
        <v>1.26708013015078E-2</v>
      </c>
      <c r="C329">
        <v>-0.47019850615577902</v>
      </c>
      <c r="D329">
        <v>2.6754675919719499</v>
      </c>
      <c r="E329" t="s">
        <v>21</v>
      </c>
      <c r="F329">
        <v>-0.45752770485427102</v>
      </c>
      <c r="G329">
        <v>6.3504166666666704</v>
      </c>
      <c r="H329">
        <v>56.66</v>
      </c>
      <c r="I329">
        <v>6.3342105263157897</v>
      </c>
      <c r="J329">
        <v>5.6480830688934197E-2</v>
      </c>
      <c r="K329">
        <v>8.9110574034118706</v>
      </c>
      <c r="L329">
        <v>3.3690637140671602</v>
      </c>
      <c r="M329">
        <v>7.9960999967800997E-2</v>
      </c>
      <c r="N329">
        <v>769.91535965478602</v>
      </c>
      <c r="O329">
        <v>291.087104895403</v>
      </c>
      <c r="P329">
        <v>6908.6303972180003</v>
      </c>
      <c r="Q329">
        <v>1807.5499372759</v>
      </c>
      <c r="R329">
        <v>1.97310387381445</v>
      </c>
      <c r="S329">
        <v>3566.4837833521501</v>
      </c>
    </row>
    <row r="330" spans="1:19" x14ac:dyDescent="0.75">
      <c r="A330" s="1">
        <v>45660</v>
      </c>
      <c r="B330">
        <v>1.7533422812796899E-2</v>
      </c>
      <c r="C330">
        <v>-1.6062315989207401</v>
      </c>
      <c r="D330">
        <v>10.3928316413533</v>
      </c>
      <c r="E330" t="s">
        <v>21</v>
      </c>
      <c r="F330">
        <v>-1.58869817610794</v>
      </c>
      <c r="G330">
        <v>7.3870833333333303</v>
      </c>
      <c r="H330">
        <v>50.43</v>
      </c>
      <c r="I330">
        <v>7.4052631578947397</v>
      </c>
      <c r="J330">
        <v>5.0095874737204102E-2</v>
      </c>
      <c r="K330">
        <v>7.1699172276345804</v>
      </c>
      <c r="L330">
        <v>3.37883062266356</v>
      </c>
      <c r="M330">
        <v>7.3048908641115004E-2</v>
      </c>
      <c r="N330">
        <v>619.48084846762799</v>
      </c>
      <c r="O330">
        <v>291.93096579813101</v>
      </c>
      <c r="P330">
        <v>6311.4257065923302</v>
      </c>
      <c r="Q330">
        <v>425.10050649096701</v>
      </c>
      <c r="R330">
        <v>1.9592887543309601</v>
      </c>
      <c r="S330">
        <v>832.89464182814595</v>
      </c>
    </row>
    <row r="331" spans="1:19" x14ac:dyDescent="0.75">
      <c r="A331" s="1">
        <v>45661</v>
      </c>
      <c r="B331">
        <v>1.44194839380047E-2</v>
      </c>
      <c r="C331">
        <v>-0.76829734824422302</v>
      </c>
      <c r="D331">
        <v>5.4574388851159101</v>
      </c>
      <c r="E331" t="s">
        <v>21</v>
      </c>
      <c r="F331">
        <v>-0.75387786430621795</v>
      </c>
      <c r="G331">
        <v>7.7858333333333301</v>
      </c>
      <c r="H331">
        <v>49.06</v>
      </c>
      <c r="I331">
        <v>7.8015789473684203</v>
      </c>
      <c r="J331">
        <v>4.9479396231519798E-2</v>
      </c>
      <c r="K331">
        <v>6.9954557551668497</v>
      </c>
      <c r="L331">
        <v>3.3902639252729099</v>
      </c>
      <c r="M331">
        <v>7.2390771366050197E-2</v>
      </c>
      <c r="N331">
        <v>604.40737724641599</v>
      </c>
      <c r="O331">
        <v>292.918803143579</v>
      </c>
      <c r="P331">
        <v>6254.5626460267304</v>
      </c>
      <c r="Q331">
        <v>802.24331309680394</v>
      </c>
      <c r="R331">
        <v>1.95302776869075</v>
      </c>
      <c r="S331">
        <v>1566.80346772453</v>
      </c>
    </row>
    <row r="332" spans="1:19" x14ac:dyDescent="0.75">
      <c r="A332" s="1">
        <v>45662</v>
      </c>
      <c r="B332">
        <v>1.99865106731286E-2</v>
      </c>
      <c r="C332">
        <v>-1.5544296232189301</v>
      </c>
      <c r="D332">
        <v>12.02569602356</v>
      </c>
      <c r="E332" t="s">
        <v>21</v>
      </c>
      <c r="F332">
        <v>-1.53444311254581</v>
      </c>
      <c r="G332">
        <v>8.0020833333333297</v>
      </c>
      <c r="H332">
        <v>46.98</v>
      </c>
      <c r="I332">
        <v>8.0226315789473706</v>
      </c>
      <c r="J332">
        <v>4.5666036332072703E-2</v>
      </c>
      <c r="K332">
        <v>6.0461913635665097</v>
      </c>
      <c r="L332">
        <v>3.4024355109903399</v>
      </c>
      <c r="M332">
        <v>6.8149808050884497E-2</v>
      </c>
      <c r="N332">
        <v>522.39093381214605</v>
      </c>
      <c r="O332">
        <v>293.97042814956501</v>
      </c>
      <c r="P332">
        <v>5888.1434155964198</v>
      </c>
      <c r="Q332">
        <v>342.74110894226197</v>
      </c>
      <c r="R332">
        <v>1.94278138598475</v>
      </c>
      <c r="S332">
        <v>665.871046664799</v>
      </c>
    </row>
    <row r="333" spans="1:19" x14ac:dyDescent="0.75">
      <c r="A333" s="1">
        <v>45663</v>
      </c>
      <c r="B333">
        <v>3.3232435892174901E-2</v>
      </c>
      <c r="C333">
        <v>-0.71813358881775202</v>
      </c>
      <c r="D333">
        <v>3.9581115241373799</v>
      </c>
      <c r="E333" t="s">
        <v>21</v>
      </c>
      <c r="F333">
        <v>-0.68490115292557696</v>
      </c>
      <c r="G333">
        <v>7.1912500000000001</v>
      </c>
      <c r="H333">
        <v>49.21</v>
      </c>
      <c r="I333">
        <v>7.2221052631578901</v>
      </c>
      <c r="J333">
        <v>4.5980146808778301E-2</v>
      </c>
      <c r="K333">
        <v>6.1143574051294998</v>
      </c>
      <c r="L333">
        <v>3.4149783015119599</v>
      </c>
      <c r="M333">
        <v>6.8512699658675402E-2</v>
      </c>
      <c r="N333">
        <v>528.280479803189</v>
      </c>
      <c r="O333">
        <v>295.05412525063298</v>
      </c>
      <c r="P333">
        <v>5919.4972505095602</v>
      </c>
      <c r="Q333">
        <v>1046.8750185758699</v>
      </c>
      <c r="R333">
        <v>1.94092782840558</v>
      </c>
      <c r="S333">
        <v>2031.9088564165199</v>
      </c>
    </row>
    <row r="334" spans="1:19" x14ac:dyDescent="0.75">
      <c r="A334" s="1">
        <v>45664</v>
      </c>
      <c r="B334">
        <v>1.3978875086250901E-2</v>
      </c>
      <c r="C334">
        <v>-0.47729765356305898</v>
      </c>
      <c r="D334">
        <v>3.2953288550419</v>
      </c>
      <c r="E334" t="s">
        <v>21</v>
      </c>
      <c r="F334">
        <v>-0.46331877847680802</v>
      </c>
      <c r="G334">
        <v>6.8587499999999997</v>
      </c>
      <c r="H334">
        <v>53.56</v>
      </c>
      <c r="I334">
        <v>6.8789473684210503</v>
      </c>
      <c r="J334">
        <v>4.6984126089464097E-2</v>
      </c>
      <c r="K334">
        <v>6.3581606804045796</v>
      </c>
      <c r="L334">
        <v>3.4280151290798799</v>
      </c>
      <c r="M334">
        <v>6.9637405030818098E-2</v>
      </c>
      <c r="N334">
        <v>549.345082786955</v>
      </c>
      <c r="O334">
        <v>296.180507152502</v>
      </c>
      <c r="P334">
        <v>6016.6717946626904</v>
      </c>
      <c r="Q334">
        <v>1278.07282414924</v>
      </c>
      <c r="R334">
        <v>1.9432906740457201</v>
      </c>
      <c r="S334">
        <v>2483.6669999204901</v>
      </c>
    </row>
    <row r="335" spans="1:19" x14ac:dyDescent="0.75">
      <c r="A335" s="1">
        <v>45665</v>
      </c>
      <c r="B335">
        <v>1.20986005769793E-2</v>
      </c>
      <c r="C335">
        <v>-0.66758427151405497</v>
      </c>
      <c r="D335">
        <v>5.5516253907880699</v>
      </c>
      <c r="E335" t="s">
        <v>21</v>
      </c>
      <c r="F335">
        <v>-0.65548567093707499</v>
      </c>
      <c r="G335">
        <v>8.1262500000000006</v>
      </c>
      <c r="H335">
        <v>45.5</v>
      </c>
      <c r="I335">
        <v>8.1442105263157902</v>
      </c>
      <c r="J335">
        <v>4.4664992663318602E-2</v>
      </c>
      <c r="K335">
        <v>5.7994842271788603</v>
      </c>
      <c r="L335">
        <v>3.4433811578697</v>
      </c>
      <c r="M335">
        <v>6.7033153407430796E-2</v>
      </c>
      <c r="N335">
        <v>501.07543722825397</v>
      </c>
      <c r="O335">
        <v>297.50813203994198</v>
      </c>
      <c r="P335">
        <v>5791.6644544020201</v>
      </c>
      <c r="Q335">
        <v>730.26633331718904</v>
      </c>
      <c r="R335">
        <v>1.9370126388352</v>
      </c>
      <c r="S335">
        <v>1414.5351173512299</v>
      </c>
    </row>
    <row r="336" spans="1:19" x14ac:dyDescent="0.75">
      <c r="A336" s="1">
        <v>45666</v>
      </c>
      <c r="B336">
        <v>1.2515169585784899E-2</v>
      </c>
      <c r="C336">
        <v>-0.72061359618072796</v>
      </c>
      <c r="D336">
        <v>6.6643546372246201</v>
      </c>
      <c r="E336" t="s">
        <v>21</v>
      </c>
      <c r="F336">
        <v>-0.70809842659494304</v>
      </c>
      <c r="G336">
        <v>8.6454166666666694</v>
      </c>
      <c r="H336">
        <v>43.92</v>
      </c>
      <c r="I336">
        <v>8.6663157894736802</v>
      </c>
      <c r="J336">
        <v>4.2709875116719802E-2</v>
      </c>
      <c r="K336">
        <v>5.34491745668379</v>
      </c>
      <c r="L336">
        <v>3.46329147715569</v>
      </c>
      <c r="M336">
        <v>6.4813773151509102E-2</v>
      </c>
      <c r="N336">
        <v>461.80086825747901</v>
      </c>
      <c r="O336">
        <v>299.22838362625203</v>
      </c>
      <c r="P336">
        <v>5599.9100002903897</v>
      </c>
      <c r="Q336">
        <v>588.19453849408796</v>
      </c>
      <c r="R336">
        <v>1.9308360390493</v>
      </c>
      <c r="S336">
        <v>1135.70721289635</v>
      </c>
    </row>
    <row r="337" spans="1:19" x14ac:dyDescent="0.75">
      <c r="A337" s="1">
        <v>45667</v>
      </c>
      <c r="B337">
        <v>2.5897113037333198E-2</v>
      </c>
      <c r="C337">
        <v>-1.1909933284149199</v>
      </c>
      <c r="D337">
        <v>10.1065290588813</v>
      </c>
      <c r="E337" t="s">
        <v>21</v>
      </c>
      <c r="F337">
        <v>-1.1650962153775899</v>
      </c>
      <c r="G337">
        <v>8.6712500000000006</v>
      </c>
      <c r="H337">
        <v>41.4</v>
      </c>
      <c r="I337">
        <v>8.6884210526315808</v>
      </c>
      <c r="J337">
        <v>4.1473982493419603E-2</v>
      </c>
      <c r="K337">
        <v>5.0630599150928397</v>
      </c>
      <c r="L337">
        <v>3.4896598446998701</v>
      </c>
      <c r="M337">
        <v>6.3403049384810603E-2</v>
      </c>
      <c r="N337">
        <v>437.44837666402202</v>
      </c>
      <c r="O337">
        <v>301.50661058206902</v>
      </c>
      <c r="P337">
        <v>5478.0234668476396</v>
      </c>
      <c r="Q337">
        <v>379.419720108913</v>
      </c>
      <c r="R337">
        <v>1.9254275465962301</v>
      </c>
      <c r="S337">
        <v>730.54518081953302</v>
      </c>
    </row>
    <row r="338" spans="1:19" x14ac:dyDescent="0.75">
      <c r="A338" s="1">
        <v>45668</v>
      </c>
      <c r="B338">
        <v>1.48174999161834E-2</v>
      </c>
      <c r="C338">
        <v>-0.897225149956</v>
      </c>
      <c r="D338">
        <v>4.8279456283723299</v>
      </c>
      <c r="E338" t="s">
        <v>21</v>
      </c>
      <c r="F338">
        <v>-0.88240765003981703</v>
      </c>
      <c r="G338">
        <v>7.4095833333333303</v>
      </c>
      <c r="H338">
        <v>50.5</v>
      </c>
      <c r="I338">
        <v>7.4678947368420996</v>
      </c>
      <c r="J338">
        <v>5.1804400881528899E-2</v>
      </c>
      <c r="K338">
        <v>7.6413132781794904</v>
      </c>
      <c r="L338">
        <v>3.5261736797718801</v>
      </c>
      <c r="M338">
        <v>7.4890732263689794E-2</v>
      </c>
      <c r="N338">
        <v>660.20946723470797</v>
      </c>
      <c r="O338">
        <v>304.66140593228999</v>
      </c>
      <c r="P338">
        <v>6470.5592675828002</v>
      </c>
      <c r="Q338">
        <v>938.16124620172695</v>
      </c>
      <c r="R338">
        <v>1.96957839983085</v>
      </c>
      <c r="S338">
        <v>1847.7821260773101</v>
      </c>
    </row>
    <row r="339" spans="1:19" x14ac:dyDescent="0.75">
      <c r="A339" s="1">
        <v>45669</v>
      </c>
      <c r="B339">
        <v>1.74840595685875E-2</v>
      </c>
      <c r="C339">
        <v>-0.51907299383883199</v>
      </c>
      <c r="D339">
        <v>3.5312220588877601</v>
      </c>
      <c r="E339" t="s">
        <v>21</v>
      </c>
      <c r="F339">
        <v>-0.50158893427024498</v>
      </c>
      <c r="G339">
        <v>7.8216666666666699</v>
      </c>
      <c r="H339">
        <v>48.06</v>
      </c>
      <c r="I339">
        <v>7.8126315789473697</v>
      </c>
      <c r="J339">
        <v>5.30608427883522E-2</v>
      </c>
      <c r="K339">
        <v>7.9506362821256298</v>
      </c>
      <c r="L339">
        <v>3.5765780047294098</v>
      </c>
      <c r="M339">
        <v>7.6292391832551307E-2</v>
      </c>
      <c r="N339">
        <v>686.93497477565495</v>
      </c>
      <c r="O339">
        <v>309.01633960862102</v>
      </c>
      <c r="P339">
        <v>6591.6626543324301</v>
      </c>
      <c r="Q339">
        <v>1306.6762104125601</v>
      </c>
      <c r="R339">
        <v>1.9640227398587</v>
      </c>
      <c r="S339">
        <v>2566.34179088267</v>
      </c>
    </row>
    <row r="340" spans="1:19" x14ac:dyDescent="0.75">
      <c r="A340" s="1">
        <v>45670</v>
      </c>
      <c r="B340">
        <v>3.0988260656561701E-2</v>
      </c>
      <c r="C340">
        <v>-1.3357483963733401</v>
      </c>
      <c r="D340">
        <v>8.4774114088316992</v>
      </c>
      <c r="E340" t="s">
        <v>21</v>
      </c>
      <c r="F340">
        <v>-1.30476013571678</v>
      </c>
      <c r="G340">
        <v>7.88791666666667</v>
      </c>
      <c r="H340">
        <v>46.62</v>
      </c>
      <c r="I340">
        <v>7.9105263157894701</v>
      </c>
      <c r="J340">
        <v>5.0412920825841701E-2</v>
      </c>
      <c r="K340">
        <v>7.2331044679462604</v>
      </c>
      <c r="L340">
        <v>3.6430455931814101</v>
      </c>
      <c r="M340">
        <v>7.3421837644099402E-2</v>
      </c>
      <c r="N340">
        <v>624.94022603055703</v>
      </c>
      <c r="O340">
        <v>314.759139250874</v>
      </c>
      <c r="P340">
        <v>6343.6467724501899</v>
      </c>
      <c r="Q340">
        <v>523.80998474239402</v>
      </c>
      <c r="R340">
        <v>1.9541487863334299</v>
      </c>
      <c r="S340">
        <v>1023.6026459536801</v>
      </c>
    </row>
    <row r="341" spans="1:19" x14ac:dyDescent="0.75">
      <c r="A341" s="1">
        <v>45671</v>
      </c>
      <c r="B341">
        <v>1.65427189335366E-2</v>
      </c>
      <c r="C341">
        <v>-0.88543635291679501</v>
      </c>
      <c r="D341">
        <v>5.7610029651277603</v>
      </c>
      <c r="E341" t="s">
        <v>21</v>
      </c>
      <c r="F341">
        <v>-0.86889363398325903</v>
      </c>
      <c r="G341">
        <v>7.8570833333333301</v>
      </c>
      <c r="H341">
        <v>48.27</v>
      </c>
      <c r="I341">
        <v>7.86105263157895</v>
      </c>
      <c r="J341">
        <v>5.4067757680970101E-2</v>
      </c>
      <c r="K341">
        <v>8.2159671627553106</v>
      </c>
      <c r="L341">
        <v>3.72546462535409</v>
      </c>
      <c r="M341">
        <v>7.7392756887136802E-2</v>
      </c>
      <c r="N341">
        <v>709.85956286205897</v>
      </c>
      <c r="O341">
        <v>321.88014363059398</v>
      </c>
      <c r="P341">
        <v>6686.7341950486198</v>
      </c>
      <c r="Q341">
        <v>812.48247308100997</v>
      </c>
      <c r="R341">
        <v>1.9634507796145799</v>
      </c>
      <c r="S341">
        <v>1595.26934519409</v>
      </c>
    </row>
    <row r="342" spans="1:19" x14ac:dyDescent="0.75">
      <c r="A342" s="1">
        <v>45672</v>
      </c>
      <c r="B342">
        <v>2.4657072388809299E-2</v>
      </c>
      <c r="C342">
        <v>-0.83035444113928703</v>
      </c>
      <c r="D342">
        <v>5.73839207004497</v>
      </c>
      <c r="E342" t="s">
        <v>21</v>
      </c>
      <c r="F342">
        <v>-0.80569736875047804</v>
      </c>
      <c r="G342">
        <v>7.9954166666666699</v>
      </c>
      <c r="H342">
        <v>48.45</v>
      </c>
      <c r="I342">
        <v>8.0073684210526306</v>
      </c>
      <c r="J342">
        <v>5.0266140229250099E-2</v>
      </c>
      <c r="K342">
        <v>7.1978402453793899</v>
      </c>
      <c r="L342">
        <v>3.8239470992481999</v>
      </c>
      <c r="M342">
        <v>7.3257271749100294E-2</v>
      </c>
      <c r="N342">
        <v>621.89339720077896</v>
      </c>
      <c r="O342">
        <v>330.389029375044</v>
      </c>
      <c r="P342">
        <v>6329.4282791222704</v>
      </c>
      <c r="Q342">
        <v>772.09778302075199</v>
      </c>
      <c r="R342">
        <v>1.95468114731397</v>
      </c>
      <c r="S342">
        <v>1509.2049803535699</v>
      </c>
    </row>
    <row r="343" spans="1:19" x14ac:dyDescent="0.75">
      <c r="A343" s="1">
        <v>45673</v>
      </c>
      <c r="B343">
        <v>2.2886510355786201E-2</v>
      </c>
      <c r="C343">
        <v>-1.7607110957879799</v>
      </c>
      <c r="D343">
        <v>13.0851501750182</v>
      </c>
      <c r="E343" t="s">
        <v>21</v>
      </c>
      <c r="F343">
        <v>-1.7378245854322001</v>
      </c>
      <c r="G343">
        <v>7.8204166666666701</v>
      </c>
      <c r="H343">
        <v>47.23</v>
      </c>
      <c r="I343">
        <v>7.83052631578947</v>
      </c>
      <c r="J343">
        <v>4.5710070511050097E-2</v>
      </c>
      <c r="K343">
        <v>6.0581980084023002</v>
      </c>
      <c r="L343">
        <v>3.9377971019445899</v>
      </c>
      <c r="M343">
        <v>6.8197052927472399E-2</v>
      </c>
      <c r="N343">
        <v>523.42830792595896</v>
      </c>
      <c r="O343">
        <v>340.22566960801203</v>
      </c>
      <c r="P343">
        <v>5892.2253729336198</v>
      </c>
      <c r="Q343">
        <v>315.20905040341103</v>
      </c>
      <c r="R343">
        <v>1.94341685604815</v>
      </c>
      <c r="S343">
        <v>612.58258173292097</v>
      </c>
    </row>
    <row r="344" spans="1:19" x14ac:dyDescent="0.75">
      <c r="A344" s="1">
        <v>45674</v>
      </c>
      <c r="B344">
        <v>1.49687450370434E-2</v>
      </c>
      <c r="C344">
        <v>-1.41239249201129</v>
      </c>
      <c r="D344">
        <v>11.0519354417263</v>
      </c>
      <c r="E344" t="s">
        <v>21</v>
      </c>
      <c r="F344">
        <v>-1.3974237469742401</v>
      </c>
      <c r="G344">
        <v>7.6895833333333297</v>
      </c>
      <c r="H344">
        <v>47.59</v>
      </c>
      <c r="I344">
        <v>7.7268421052631604</v>
      </c>
      <c r="J344">
        <v>4.1970100909898701E-2</v>
      </c>
      <c r="K344">
        <v>5.1854293586431099</v>
      </c>
      <c r="L344">
        <v>4.0657299486814296</v>
      </c>
      <c r="M344">
        <v>6.3955116048132393E-2</v>
      </c>
      <c r="N344">
        <v>448.021096586765</v>
      </c>
      <c r="O344">
        <v>351.27906756607501</v>
      </c>
      <c r="P344">
        <v>5525.7220265586402</v>
      </c>
      <c r="Q344">
        <v>349.98443838058398</v>
      </c>
      <c r="R344">
        <v>1.9318322749614301</v>
      </c>
      <c r="S344">
        <v>676.11123379786102</v>
      </c>
    </row>
    <row r="345" spans="1:19" x14ac:dyDescent="0.75">
      <c r="A345" s="1">
        <v>45675</v>
      </c>
      <c r="B345">
        <v>2.8290642255689499E-2</v>
      </c>
      <c r="C345">
        <v>-0.25766542330137299</v>
      </c>
      <c r="D345">
        <v>1.09292463985043</v>
      </c>
      <c r="E345" t="s">
        <v>21</v>
      </c>
      <c r="F345">
        <v>-0.22937478104568401</v>
      </c>
      <c r="G345">
        <v>7.2045833333333302</v>
      </c>
      <c r="H345">
        <v>47.23</v>
      </c>
      <c r="I345">
        <v>7.2494736842105301</v>
      </c>
      <c r="J345">
        <v>4.10835461064862E-2</v>
      </c>
      <c r="K345">
        <v>5.0742301654342903</v>
      </c>
      <c r="L345">
        <v>4.2071605162172396</v>
      </c>
      <c r="M345">
        <v>6.2820480777424803E-2</v>
      </c>
      <c r="N345">
        <v>438.41348629352302</v>
      </c>
      <c r="O345">
        <v>363.49866860116998</v>
      </c>
      <c r="P345">
        <v>5427.6895391695098</v>
      </c>
      <c r="Q345">
        <v>3476.3446068327498</v>
      </c>
      <c r="R345">
        <v>1.9660790908208099</v>
      </c>
      <c r="S345">
        <v>6834.7684439815403</v>
      </c>
    </row>
    <row r="346" spans="1:19" x14ac:dyDescent="0.75">
      <c r="A346" s="1">
        <v>45679</v>
      </c>
      <c r="B346">
        <v>7.3935067301439505E-2</v>
      </c>
      <c r="C346">
        <v>-2.07584334549873</v>
      </c>
      <c r="D346">
        <v>2.6805001665857699</v>
      </c>
      <c r="E346" t="s">
        <v>21</v>
      </c>
      <c r="F346">
        <v>-2.0019082781972899</v>
      </c>
      <c r="G346">
        <v>8.5358333333333292</v>
      </c>
      <c r="H346">
        <v>47.91</v>
      </c>
      <c r="I346">
        <v>8.5</v>
      </c>
      <c r="J346">
        <v>0.26469204256590301</v>
      </c>
      <c r="K346">
        <v>152.25250432110701</v>
      </c>
      <c r="L346">
        <v>4.8942317278341703</v>
      </c>
      <c r="M346">
        <v>0.25482906994656301</v>
      </c>
      <c r="N346">
        <v>13154.616373343601</v>
      </c>
      <c r="O346">
        <v>422.86162128487302</v>
      </c>
      <c r="P346">
        <v>22017.231643382998</v>
      </c>
      <c r="Q346">
        <v>5749.6963971462601</v>
      </c>
      <c r="R346">
        <v>2.2572236418310601</v>
      </c>
      <c r="S346">
        <v>12978.3506409894</v>
      </c>
    </row>
    <row r="347" spans="1:19" x14ac:dyDescent="0.75">
      <c r="A347" s="1">
        <v>45680</v>
      </c>
      <c r="B347">
        <v>0.100825846561343</v>
      </c>
      <c r="C347">
        <v>-6.5263981955187296</v>
      </c>
      <c r="D347">
        <v>9.0797960282955099</v>
      </c>
      <c r="E347" t="s">
        <v>21</v>
      </c>
      <c r="F347">
        <v>-6.4255723489573899</v>
      </c>
      <c r="G347">
        <v>8.2283333333333299</v>
      </c>
      <c r="H347">
        <v>46.33</v>
      </c>
      <c r="I347">
        <v>8.1988888888888898</v>
      </c>
      <c r="J347">
        <v>0.267742143363075</v>
      </c>
      <c r="K347">
        <v>153.44019226357699</v>
      </c>
      <c r="L347">
        <v>5.0928409094422999</v>
      </c>
      <c r="M347">
        <v>0.25748201445258201</v>
      </c>
      <c r="N347">
        <v>13257.232611573099</v>
      </c>
      <c r="O347">
        <v>440.02145457581503</v>
      </c>
      <c r="P347">
        <v>22246.446048703099</v>
      </c>
      <c r="Q347">
        <v>1715.07291414513</v>
      </c>
      <c r="R347">
        <v>2.2257454796670801</v>
      </c>
      <c r="S347">
        <v>3817.3157859579801</v>
      </c>
    </row>
    <row r="348" spans="1:19" x14ac:dyDescent="0.75">
      <c r="A348" s="1">
        <v>45681</v>
      </c>
      <c r="B348">
        <v>9.7955170273016395E-2</v>
      </c>
      <c r="C348">
        <v>-5.0053948521575196</v>
      </c>
      <c r="D348">
        <v>7.7977765434210298</v>
      </c>
      <c r="E348" t="s">
        <v>21</v>
      </c>
      <c r="F348">
        <v>-4.9074396818845099</v>
      </c>
      <c r="G348">
        <v>8.2825000000000006</v>
      </c>
      <c r="H348">
        <v>47.59</v>
      </c>
      <c r="I348">
        <v>8.2433333333333305</v>
      </c>
      <c r="J348">
        <v>0.243772871939683</v>
      </c>
      <c r="K348">
        <v>129.220887449619</v>
      </c>
      <c r="L348">
        <v>5.30075921417024</v>
      </c>
      <c r="M348">
        <v>0.23996698885992099</v>
      </c>
      <c r="N348">
        <v>11164.6846756471</v>
      </c>
      <c r="O348">
        <v>457.98559610430902</v>
      </c>
      <c r="P348">
        <v>20733.147837497199</v>
      </c>
      <c r="Q348">
        <v>1861.1976639023801</v>
      </c>
      <c r="R348">
        <v>2.2090006491222498</v>
      </c>
      <c r="S348">
        <v>4111.3868477051801</v>
      </c>
    </row>
    <row r="349" spans="1:19" x14ac:dyDescent="0.75">
      <c r="A349" s="1">
        <v>45682</v>
      </c>
      <c r="B349">
        <v>0.11180018395519201</v>
      </c>
      <c r="C349">
        <v>-6.2205557489371204</v>
      </c>
      <c r="D349">
        <v>10.955263953281101</v>
      </c>
      <c r="E349" t="s">
        <v>21</v>
      </c>
      <c r="F349">
        <v>-6.1087555649819203</v>
      </c>
      <c r="G349">
        <v>8.5533333333333292</v>
      </c>
      <c r="H349">
        <v>46.11</v>
      </c>
      <c r="I349">
        <v>8.49722222222222</v>
      </c>
      <c r="J349">
        <v>0.224682587546993</v>
      </c>
      <c r="K349">
        <v>111.29469865630701</v>
      </c>
      <c r="L349">
        <v>5.5172884200055297</v>
      </c>
      <c r="M349">
        <v>0.22570817746966401</v>
      </c>
      <c r="N349">
        <v>9615.8619639048902</v>
      </c>
      <c r="O349">
        <v>476.693719488478</v>
      </c>
      <c r="P349">
        <v>19501.186533378899</v>
      </c>
      <c r="Q349">
        <v>1246.0521838250099</v>
      </c>
      <c r="R349">
        <v>2.1946120889701901</v>
      </c>
      <c r="S349">
        <v>2734.6011861100701</v>
      </c>
    </row>
    <row r="350" spans="1:19" x14ac:dyDescent="0.75">
      <c r="A350" s="1">
        <v>45683</v>
      </c>
      <c r="B350">
        <v>0.16031116734196299</v>
      </c>
      <c r="C350">
        <v>-8.2488874617241397</v>
      </c>
      <c r="D350">
        <v>15.2211355577784</v>
      </c>
      <c r="E350" t="s">
        <v>21</v>
      </c>
      <c r="F350">
        <v>-8.0885762943821806</v>
      </c>
      <c r="G350">
        <v>8.4245833333333309</v>
      </c>
      <c r="H350">
        <v>46.8</v>
      </c>
      <c r="I350">
        <v>8.3744444444444408</v>
      </c>
      <c r="J350">
        <v>0.21113180286966601</v>
      </c>
      <c r="K350">
        <v>99.319889573894798</v>
      </c>
      <c r="L350">
        <v>5.7418260698665504</v>
      </c>
      <c r="M350">
        <v>0.21540146629033</v>
      </c>
      <c r="N350">
        <v>8581.2384591845093</v>
      </c>
      <c r="O350">
        <v>496.09377243646998</v>
      </c>
      <c r="P350">
        <v>18610.6866874845</v>
      </c>
      <c r="Q350">
        <v>855.88099730061197</v>
      </c>
      <c r="R350">
        <v>2.1839058745101898</v>
      </c>
      <c r="S350">
        <v>1869.1635378864501</v>
      </c>
    </row>
    <row r="351" spans="1:19" x14ac:dyDescent="0.75">
      <c r="A351" s="1">
        <v>45688</v>
      </c>
      <c r="B351">
        <v>2.1956942641820202E-3</v>
      </c>
      <c r="C351">
        <v>-0.28719618642642603</v>
      </c>
      <c r="D351">
        <v>1.09785095452298</v>
      </c>
      <c r="E351" t="s">
        <v>21</v>
      </c>
      <c r="F351">
        <v>-0.28500049216224399</v>
      </c>
      <c r="G351">
        <v>9.3062500000000004</v>
      </c>
      <c r="H351">
        <v>66.7</v>
      </c>
      <c r="I351">
        <v>9.3566666666666691</v>
      </c>
      <c r="J351">
        <v>0.15692572854842701</v>
      </c>
      <c r="K351">
        <v>57.716293975622499</v>
      </c>
      <c r="L351">
        <v>6.9690973475578799</v>
      </c>
      <c r="M351">
        <v>0.172353476164507</v>
      </c>
      <c r="N351">
        <v>4986.6877994937904</v>
      </c>
      <c r="O351">
        <v>602.13001082900098</v>
      </c>
      <c r="P351">
        <v>14891.3403406134</v>
      </c>
      <c r="Q351">
        <v>9494.8573806711993</v>
      </c>
      <c r="R351">
        <v>2.1339499842945302</v>
      </c>
      <c r="S351">
        <v>20261.550758362198</v>
      </c>
    </row>
    <row r="352" spans="1:19" x14ac:dyDescent="0.75">
      <c r="A352" s="1">
        <v>45689</v>
      </c>
      <c r="B352">
        <v>2.4138893211914699E-3</v>
      </c>
      <c r="C352">
        <v>-2.2390990960993201E-2</v>
      </c>
      <c r="D352">
        <v>0.92476169593748303</v>
      </c>
      <c r="E352" t="s">
        <v>21</v>
      </c>
      <c r="F352">
        <v>-1.9977101639801799E-2</v>
      </c>
      <c r="G352">
        <v>9.0970833333333303</v>
      </c>
      <c r="H352">
        <v>70.92</v>
      </c>
      <c r="I352">
        <v>9.1088888888888899</v>
      </c>
      <c r="J352">
        <v>0.147613967500662</v>
      </c>
      <c r="K352">
        <v>51.596453409415197</v>
      </c>
      <c r="L352">
        <v>7.2330089895770104</v>
      </c>
      <c r="M352">
        <v>0.164613904989246</v>
      </c>
      <c r="N352">
        <v>4457.9335745734697</v>
      </c>
      <c r="O352">
        <v>624.93197669945403</v>
      </c>
      <c r="P352">
        <v>14222.6413910709</v>
      </c>
      <c r="Q352">
        <v>10765.853535549901</v>
      </c>
      <c r="R352">
        <v>2.1233709914776102</v>
      </c>
      <c r="S352">
        <v>22859.9010958832</v>
      </c>
    </row>
    <row r="353" spans="1:19" x14ac:dyDescent="0.75">
      <c r="A353" s="1">
        <v>45691</v>
      </c>
      <c r="B353">
        <v>3.88962248412954E-3</v>
      </c>
      <c r="C353">
        <v>-0.25395850584873098</v>
      </c>
      <c r="D353">
        <v>2.0193791362488498</v>
      </c>
      <c r="E353" t="s">
        <v>21</v>
      </c>
      <c r="F353">
        <v>-0.25006888336460098</v>
      </c>
      <c r="G353">
        <v>9.1508333333333294</v>
      </c>
      <c r="H353">
        <v>69.8</v>
      </c>
      <c r="I353">
        <v>9.1488888888888908</v>
      </c>
      <c r="J353">
        <v>0.12923997241933899</v>
      </c>
      <c r="K353">
        <v>40.472277415349303</v>
      </c>
      <c r="L353">
        <v>7.7702979126825902</v>
      </c>
      <c r="M353">
        <v>0.14895933113221099</v>
      </c>
      <c r="N353">
        <v>3496.8047686861801</v>
      </c>
      <c r="O353">
        <v>671.35373965577605</v>
      </c>
      <c r="P353">
        <v>12870.086209823001</v>
      </c>
      <c r="Q353">
        <v>4461.3020829813504</v>
      </c>
      <c r="R353">
        <v>2.1022921713490699</v>
      </c>
      <c r="S353">
        <v>9378.9604430749896</v>
      </c>
    </row>
    <row r="354" spans="1:19" x14ac:dyDescent="0.75">
      <c r="A354" s="1">
        <v>45692</v>
      </c>
      <c r="B354">
        <v>2.8070146377574099E-3</v>
      </c>
      <c r="C354">
        <v>-0.12526811052178299</v>
      </c>
      <c r="D354">
        <v>1.2618781866947799</v>
      </c>
      <c r="E354" t="s">
        <v>21</v>
      </c>
      <c r="F354">
        <v>-0.122461095884025</v>
      </c>
      <c r="G354">
        <v>9.0133333333333301</v>
      </c>
      <c r="H354">
        <v>70.23</v>
      </c>
      <c r="I354">
        <v>9.0511111111111102</v>
      </c>
      <c r="J354">
        <v>0.122226795514197</v>
      </c>
      <c r="K354">
        <v>36.525864736022903</v>
      </c>
      <c r="L354">
        <v>8.0402587136295196</v>
      </c>
      <c r="M354">
        <v>0.14285263293646699</v>
      </c>
      <c r="N354">
        <v>3155.8347131923801</v>
      </c>
      <c r="O354">
        <v>694.67835285758997</v>
      </c>
      <c r="P354">
        <v>12342.4674857108</v>
      </c>
      <c r="Q354">
        <v>6846.7204925916603</v>
      </c>
      <c r="R354">
        <v>2.0919236574942701</v>
      </c>
      <c r="S354">
        <v>14322.8165747033</v>
      </c>
    </row>
    <row r="355" spans="1:19" x14ac:dyDescent="0.75">
      <c r="A355" s="1">
        <v>45693</v>
      </c>
      <c r="B355">
        <v>2.35396104484913E-3</v>
      </c>
      <c r="C355">
        <v>-0.13945933907107699</v>
      </c>
      <c r="D355">
        <v>1.09204773076819</v>
      </c>
      <c r="E355" t="s">
        <v>21</v>
      </c>
      <c r="F355">
        <v>-0.13710537802622799</v>
      </c>
      <c r="G355">
        <v>9.1191666666666702</v>
      </c>
      <c r="H355">
        <v>70.23</v>
      </c>
      <c r="I355">
        <v>9.1261111111111095</v>
      </c>
      <c r="J355">
        <v>0.11777347221361099</v>
      </c>
      <c r="K355">
        <v>34.154988039066197</v>
      </c>
      <c r="L355">
        <v>8.3072154372879403</v>
      </c>
      <c r="M355">
        <v>0.13891026639797499</v>
      </c>
      <c r="N355">
        <v>2950.9909665753198</v>
      </c>
      <c r="O355">
        <v>717.74341378167799</v>
      </c>
      <c r="P355">
        <v>12001.847016784999</v>
      </c>
      <c r="Q355">
        <v>7693.1554134907101</v>
      </c>
      <c r="R355">
        <v>2.0877203005328502</v>
      </c>
      <c r="S355">
        <v>16061.1567318988</v>
      </c>
    </row>
    <row r="356" spans="1:19" x14ac:dyDescent="0.75">
      <c r="A356" s="1">
        <v>45694</v>
      </c>
      <c r="B356">
        <v>2.9118796871193701E-3</v>
      </c>
      <c r="C356">
        <v>-0.14129688947440999</v>
      </c>
      <c r="D356">
        <v>1.4025363985513499</v>
      </c>
      <c r="E356" t="s">
        <v>21</v>
      </c>
      <c r="F356">
        <v>-0.13838500978728999</v>
      </c>
      <c r="G356">
        <v>9.0095833333333299</v>
      </c>
      <c r="H356">
        <v>71.2</v>
      </c>
      <c r="I356">
        <v>9.0577777777777797</v>
      </c>
      <c r="J356">
        <v>0.110102718235739</v>
      </c>
      <c r="K356">
        <v>30.186867467375102</v>
      </c>
      <c r="L356">
        <v>8.5677007193863304</v>
      </c>
      <c r="M356">
        <v>0.132059868851687</v>
      </c>
      <c r="N356">
        <v>2608.1453491812099</v>
      </c>
      <c r="O356">
        <v>740.24934215497899</v>
      </c>
      <c r="P356">
        <v>11409.9726687858</v>
      </c>
      <c r="Q356">
        <v>5694.6692266950404</v>
      </c>
      <c r="R356">
        <v>2.07610419192067</v>
      </c>
      <c r="S356">
        <v>11822.7266531432</v>
      </c>
    </row>
    <row r="357" spans="1:19" x14ac:dyDescent="0.75">
      <c r="A357" s="1">
        <v>45695</v>
      </c>
      <c r="B357">
        <v>3.9410081860743696E-3</v>
      </c>
      <c r="C357">
        <v>-0.111660944790077</v>
      </c>
      <c r="D357">
        <v>1.72114683857714</v>
      </c>
      <c r="E357" t="s">
        <v>21</v>
      </c>
      <c r="F357">
        <v>-0.107719936604002</v>
      </c>
      <c r="G357">
        <v>9.0304166666666692</v>
      </c>
      <c r="H357">
        <v>70.989999999999995</v>
      </c>
      <c r="I357">
        <v>9.0333333333333297</v>
      </c>
      <c r="J357">
        <v>0.105825531651063</v>
      </c>
      <c r="K357">
        <v>28.0669312966528</v>
      </c>
      <c r="L357">
        <v>8.8195838604318606</v>
      </c>
      <c r="M357">
        <v>0.12819115453156399</v>
      </c>
      <c r="N357">
        <v>2424.9828640308001</v>
      </c>
      <c r="O357">
        <v>762.012045541313</v>
      </c>
      <c r="P357">
        <v>11075.715751527099</v>
      </c>
      <c r="Q357">
        <v>4504.5552490328701</v>
      </c>
      <c r="R357">
        <v>2.06893293738838</v>
      </c>
      <c r="S357">
        <v>9319.6227230097993</v>
      </c>
    </row>
    <row r="358" spans="1:19" x14ac:dyDescent="0.75">
      <c r="A358" s="1">
        <v>45696</v>
      </c>
      <c r="B358">
        <v>3.2022660869265099E-3</v>
      </c>
      <c r="C358">
        <v>-0.108905106341006</v>
      </c>
      <c r="D358">
        <v>1.46111981970213</v>
      </c>
      <c r="E358" t="s">
        <v>21</v>
      </c>
      <c r="F358">
        <v>-0.105702840254079</v>
      </c>
      <c r="G358">
        <v>9.0745833333333294</v>
      </c>
      <c r="H358">
        <v>69.66</v>
      </c>
      <c r="I358">
        <v>9.1044444444444395</v>
      </c>
      <c r="J358">
        <v>0.101794936468661</v>
      </c>
      <c r="K358">
        <v>26.147136094170001</v>
      </c>
      <c r="L358">
        <v>9.0634920112283197</v>
      </c>
      <c r="M358">
        <v>0.12450187858195499</v>
      </c>
      <c r="N358">
        <v>2259.1125585362902</v>
      </c>
      <c r="O358">
        <v>783.08570977012698</v>
      </c>
      <c r="P358">
        <v>10756.962309480899</v>
      </c>
      <c r="Q358">
        <v>5153.4949530502699</v>
      </c>
      <c r="R358">
        <v>2.0631083997387401</v>
      </c>
      <c r="S358">
        <v>10632.2187256492</v>
      </c>
    </row>
    <row r="359" spans="1:19" x14ac:dyDescent="0.75">
      <c r="A359" s="1">
        <v>45697</v>
      </c>
      <c r="B359">
        <v>2.8925192080378101E-3</v>
      </c>
      <c r="C359">
        <v>-9.3444647838962003E-2</v>
      </c>
      <c r="D359">
        <v>1.2446007476302601</v>
      </c>
      <c r="E359" t="s">
        <v>21</v>
      </c>
      <c r="F359">
        <v>-9.0552128630924197E-2</v>
      </c>
      <c r="G359">
        <v>9.0987500000000008</v>
      </c>
      <c r="H359">
        <v>69.84</v>
      </c>
      <c r="I359">
        <v>9.1349999999999998</v>
      </c>
      <c r="J359">
        <v>9.61644327834109E-2</v>
      </c>
      <c r="K359">
        <v>23.568143518495202</v>
      </c>
      <c r="L359">
        <v>9.3003506553577608</v>
      </c>
      <c r="M359">
        <v>0.11928707451788199</v>
      </c>
      <c r="N359">
        <v>2036.2875999979899</v>
      </c>
      <c r="O359">
        <v>803.55029662290997</v>
      </c>
      <c r="P359">
        <v>10306.403238344999</v>
      </c>
      <c r="Q359">
        <v>5796.6237611362503</v>
      </c>
      <c r="R359">
        <v>2.0545537716851001</v>
      </c>
      <c r="S359">
        <v>11909.475211482</v>
      </c>
    </row>
    <row r="360" spans="1:19" x14ac:dyDescent="0.75">
      <c r="A360" s="1">
        <v>45698</v>
      </c>
      <c r="B360">
        <v>3.8819384582689698E-3</v>
      </c>
      <c r="C360">
        <v>-0.14488500321039199</v>
      </c>
      <c r="D360">
        <v>1.9204159977255599</v>
      </c>
      <c r="E360" t="s">
        <v>21</v>
      </c>
      <c r="F360">
        <v>-0.14100306475212299</v>
      </c>
      <c r="G360">
        <v>9.1070833333333301</v>
      </c>
      <c r="H360">
        <v>69.84</v>
      </c>
      <c r="I360">
        <v>9.1172222222222192</v>
      </c>
      <c r="J360">
        <v>9.1361771662937102E-2</v>
      </c>
      <c r="K360">
        <v>21.453776638687</v>
      </c>
      <c r="L360">
        <v>9.5316181449445594</v>
      </c>
      <c r="M360">
        <v>0.114785927877466</v>
      </c>
      <c r="N360">
        <v>1853.60630158256</v>
      </c>
      <c r="O360">
        <v>823.53180772321002</v>
      </c>
      <c r="P360">
        <v>9917.5041686130498</v>
      </c>
      <c r="Q360">
        <v>3614.97348816671</v>
      </c>
      <c r="R360">
        <v>2.0457407343485898</v>
      </c>
      <c r="S360">
        <v>7395.2985183328401</v>
      </c>
    </row>
    <row r="361" spans="1:19" x14ac:dyDescent="0.75">
      <c r="A361" s="1">
        <v>45699</v>
      </c>
      <c r="B361">
        <v>4.4836719503606303E-3</v>
      </c>
      <c r="C361">
        <v>-0.19057470102591001</v>
      </c>
      <c r="D361">
        <v>2.2459119988141198</v>
      </c>
      <c r="E361" t="s">
        <v>21</v>
      </c>
      <c r="F361">
        <v>-0.18609102907555</v>
      </c>
      <c r="G361">
        <v>8.8962500000000002</v>
      </c>
      <c r="H361">
        <v>70.3</v>
      </c>
      <c r="I361">
        <v>8.9161111111111104</v>
      </c>
      <c r="J361">
        <v>8.9711957757248995E-2</v>
      </c>
      <c r="K361">
        <v>20.7460161833251</v>
      </c>
      <c r="L361">
        <v>9.7591335954803107</v>
      </c>
      <c r="M361">
        <v>0.11322772769169</v>
      </c>
      <c r="N361">
        <v>1792.4557982392901</v>
      </c>
      <c r="O361">
        <v>843.18914264949899</v>
      </c>
      <c r="P361">
        <v>9782.8756725619896</v>
      </c>
      <c r="Q361">
        <v>3049.10120005114</v>
      </c>
      <c r="R361">
        <v>2.0423566618703601</v>
      </c>
      <c r="S361">
        <v>6227.3521486413601</v>
      </c>
    </row>
    <row r="362" spans="1:19" x14ac:dyDescent="0.75">
      <c r="A362" s="1">
        <v>45700</v>
      </c>
      <c r="B362">
        <v>4.5777946048685203E-3</v>
      </c>
      <c r="C362">
        <v>-0.16382989993687599</v>
      </c>
      <c r="D362">
        <v>1.88269777622599</v>
      </c>
      <c r="E362" t="s">
        <v>21</v>
      </c>
      <c r="F362">
        <v>-0.15925210533200701</v>
      </c>
      <c r="G362">
        <v>8.5808333333333309</v>
      </c>
      <c r="H362">
        <v>72.540000000000006</v>
      </c>
      <c r="I362">
        <v>8.6244444444444408</v>
      </c>
      <c r="J362">
        <v>8.6180416603257398E-2</v>
      </c>
      <c r="K362">
        <v>19.281488460245001</v>
      </c>
      <c r="L362">
        <v>9.9839268510382109</v>
      </c>
      <c r="M362">
        <v>0.109858185237273</v>
      </c>
      <c r="N362">
        <v>1665.92060296517</v>
      </c>
      <c r="O362">
        <v>862.61127992970103</v>
      </c>
      <c r="P362">
        <v>9491.7472045003706</v>
      </c>
      <c r="Q362">
        <v>3529.09698362161</v>
      </c>
      <c r="R362">
        <v>2.03657096140895</v>
      </c>
      <c r="S362">
        <v>7187.2564368396897</v>
      </c>
    </row>
    <row r="363" spans="1:19" x14ac:dyDescent="0.75">
      <c r="A363" s="1">
        <v>45701</v>
      </c>
      <c r="B363">
        <v>2.78716566315877E-3</v>
      </c>
      <c r="C363">
        <v>-0.46498104614403601</v>
      </c>
      <c r="D363">
        <v>0.852634463432274</v>
      </c>
      <c r="E363" t="s">
        <v>21</v>
      </c>
      <c r="F363">
        <v>-0.46219388048087701</v>
      </c>
      <c r="G363">
        <v>7.5787500000000003</v>
      </c>
      <c r="H363">
        <v>75.27</v>
      </c>
      <c r="I363">
        <v>7.4216666666666704</v>
      </c>
      <c r="J363">
        <v>9.1244347185664099E-2</v>
      </c>
      <c r="K363">
        <v>21.636849512683899</v>
      </c>
      <c r="L363">
        <v>10.2071919291496</v>
      </c>
      <c r="M363">
        <v>0.114525028510606</v>
      </c>
      <c r="N363">
        <v>1869.4237978958899</v>
      </c>
      <c r="O363">
        <v>881.90138267852603</v>
      </c>
      <c r="P363">
        <v>9894.9624633163803</v>
      </c>
      <c r="Q363">
        <v>8123.6145398568497</v>
      </c>
      <c r="R363">
        <v>2.0705591787491202</v>
      </c>
      <c r="S363">
        <v>16820.4246501204</v>
      </c>
    </row>
    <row r="364" spans="1:19" x14ac:dyDescent="0.75">
      <c r="A364" s="1">
        <v>45702</v>
      </c>
      <c r="B364">
        <v>3.6170922803013497E-2</v>
      </c>
      <c r="C364">
        <v>-1.6907428512665299</v>
      </c>
      <c r="D364">
        <v>4.1684350120270901</v>
      </c>
      <c r="E364" t="s">
        <v>21</v>
      </c>
      <c r="F364">
        <v>-1.6545719284635101</v>
      </c>
      <c r="G364">
        <v>6.17875</v>
      </c>
      <c r="H364">
        <v>66.34</v>
      </c>
      <c r="I364">
        <v>6.1241176470588199</v>
      </c>
      <c r="J364">
        <v>0.124827747685799</v>
      </c>
      <c r="K364">
        <v>37.974927266318701</v>
      </c>
      <c r="L364">
        <v>10.430354338934199</v>
      </c>
      <c r="M364">
        <v>0.14512382172064001</v>
      </c>
      <c r="N364">
        <v>3281.0337158099301</v>
      </c>
      <c r="O364">
        <v>901.18261488391499</v>
      </c>
      <c r="P364">
        <v>12538.698196663299</v>
      </c>
      <c r="Q364">
        <v>2105.60767106599</v>
      </c>
      <c r="R364">
        <v>2.0962694713911101</v>
      </c>
      <c r="S364">
        <v>4413.9210795825602</v>
      </c>
    </row>
    <row r="365" spans="1:19" x14ac:dyDescent="0.75">
      <c r="A365" s="1">
        <v>45703</v>
      </c>
      <c r="B365">
        <v>0.16228530536022101</v>
      </c>
      <c r="C365">
        <v>-6.1294184014009803</v>
      </c>
      <c r="D365">
        <v>15.148777521712001</v>
      </c>
      <c r="E365" t="s">
        <v>21</v>
      </c>
      <c r="F365">
        <v>-5.9671330960407598</v>
      </c>
      <c r="G365">
        <v>6.3737500000000002</v>
      </c>
      <c r="H365">
        <v>62.31</v>
      </c>
      <c r="I365">
        <v>6.3070588235294096</v>
      </c>
      <c r="J365">
        <v>0.121578025277263</v>
      </c>
      <c r="K365">
        <v>36.189207464034503</v>
      </c>
      <c r="L365">
        <v>10.825846355605</v>
      </c>
      <c r="M365">
        <v>0.14227418559594199</v>
      </c>
      <c r="N365">
        <v>3126.7475248925798</v>
      </c>
      <c r="O365">
        <v>935.35312512426799</v>
      </c>
      <c r="P365">
        <v>12292.489635489401</v>
      </c>
      <c r="Q365">
        <v>568.01565225377601</v>
      </c>
      <c r="R365">
        <v>2.0921743764451599</v>
      </c>
      <c r="S365">
        <v>1188.3877930651299</v>
      </c>
    </row>
    <row r="366" spans="1:19" x14ac:dyDescent="0.75">
      <c r="A366" s="1">
        <v>45704</v>
      </c>
      <c r="B366">
        <v>3.4448010355400599E-2</v>
      </c>
      <c r="C366">
        <v>-2.34741197433633</v>
      </c>
      <c r="D366">
        <v>5.7179356099912502</v>
      </c>
      <c r="E366" t="s">
        <v>21</v>
      </c>
      <c r="F366">
        <v>-2.3129639639809301</v>
      </c>
      <c r="G366">
        <v>6.1212499999999999</v>
      </c>
      <c r="H366">
        <v>65.12</v>
      </c>
      <c r="I366">
        <v>6.1205882352941199</v>
      </c>
      <c r="J366">
        <v>0.120805959339191</v>
      </c>
      <c r="K366">
        <v>35.782594770682998</v>
      </c>
      <c r="L366">
        <v>11.4768036898119</v>
      </c>
      <c r="M366">
        <v>0.141588606608302</v>
      </c>
      <c r="N366">
        <v>3091.6161881870098</v>
      </c>
      <c r="O366">
        <v>991.59583879974696</v>
      </c>
      <c r="P366">
        <v>12233.2556109573</v>
      </c>
      <c r="Q366">
        <v>1497.6172366661599</v>
      </c>
      <c r="R366">
        <v>2.0919686110182001</v>
      </c>
      <c r="S366">
        <v>3132.9682504254101</v>
      </c>
    </row>
    <row r="367" spans="1:19" x14ac:dyDescent="0.75">
      <c r="A367" s="1">
        <v>45705</v>
      </c>
      <c r="B367">
        <v>1.9548491117891299E-2</v>
      </c>
      <c r="C367">
        <v>-0.941382658920212</v>
      </c>
      <c r="D367">
        <v>2.9163288519631698</v>
      </c>
      <c r="E367" t="s">
        <v>21</v>
      </c>
      <c r="F367">
        <v>-0.92183416780231997</v>
      </c>
      <c r="G367">
        <v>6.9208333333333298</v>
      </c>
      <c r="H367">
        <v>61.38</v>
      </c>
      <c r="I367">
        <v>6.8388235294117603</v>
      </c>
      <c r="J367">
        <v>0.129442529642635</v>
      </c>
      <c r="K367">
        <v>40.581681617589503</v>
      </c>
      <c r="L367">
        <v>12.1022706453476</v>
      </c>
      <c r="M367">
        <v>0.149137679761325</v>
      </c>
      <c r="N367">
        <v>3506.2572917597299</v>
      </c>
      <c r="O367">
        <v>1045.63618375804</v>
      </c>
      <c r="P367">
        <v>12885.495531378499</v>
      </c>
      <c r="Q367">
        <v>3092.8771513175202</v>
      </c>
      <c r="R367">
        <v>2.1021595037050198</v>
      </c>
      <c r="S367">
        <v>6501.7210974342097</v>
      </c>
    </row>
    <row r="368" spans="1:19" x14ac:dyDescent="0.75">
      <c r="A368" s="1">
        <v>45706</v>
      </c>
      <c r="B368">
        <v>6.6471214056078406E-2</v>
      </c>
      <c r="C368">
        <v>-2.76371944977384</v>
      </c>
      <c r="D368">
        <v>8.9946041496030809</v>
      </c>
      <c r="E368" t="s">
        <v>21</v>
      </c>
      <c r="F368">
        <v>-2.6972482357177601</v>
      </c>
      <c r="G368">
        <v>7.6495833333333296</v>
      </c>
      <c r="H368">
        <v>55.94</v>
      </c>
      <c r="I368">
        <v>7.5541176470588196</v>
      </c>
      <c r="J368">
        <v>0.119925275759642</v>
      </c>
      <c r="K368">
        <v>35.313157408555902</v>
      </c>
      <c r="L368">
        <v>12.706600447303799</v>
      </c>
      <c r="M368">
        <v>0.14080912712287799</v>
      </c>
      <c r="N368">
        <v>3051.0568000992298</v>
      </c>
      <c r="O368">
        <v>1097.8502786470499</v>
      </c>
      <c r="P368">
        <v>12165.9085834167</v>
      </c>
      <c r="Q368">
        <v>946.80498071362899</v>
      </c>
      <c r="R368">
        <v>2.0911973419789902</v>
      </c>
      <c r="S368">
        <v>1979.95605904081</v>
      </c>
    </row>
    <row r="369" spans="1:19" x14ac:dyDescent="0.75">
      <c r="A369" s="1">
        <v>45707</v>
      </c>
      <c r="B369">
        <v>2.74125850456307E-2</v>
      </c>
      <c r="C369">
        <v>-0.47373022891135103</v>
      </c>
      <c r="D369">
        <v>0.90793554097188101</v>
      </c>
      <c r="E369" t="s">
        <v>21</v>
      </c>
      <c r="F369">
        <v>-0.44631764386571998</v>
      </c>
      <c r="G369">
        <v>7.2241666666666697</v>
      </c>
      <c r="H369">
        <v>57.38</v>
      </c>
      <c r="I369">
        <v>7.2017647058823497</v>
      </c>
      <c r="J369">
        <v>0.13654083929380001</v>
      </c>
      <c r="K369">
        <v>45.317832007851898</v>
      </c>
      <c r="L369">
        <v>13.2927178076205</v>
      </c>
      <c r="M369">
        <v>0.15499618573122101</v>
      </c>
      <c r="N369">
        <v>3915.4606854784001</v>
      </c>
      <c r="O369">
        <v>1148.49081857842</v>
      </c>
      <c r="P369">
        <v>13391.670447177499</v>
      </c>
      <c r="Q369">
        <v>10324.707966591801</v>
      </c>
      <c r="R369">
        <v>2.1413395888667002</v>
      </c>
      <c r="S369">
        <v>22108.705912350499</v>
      </c>
    </row>
    <row r="370" spans="1:19" x14ac:dyDescent="0.75">
      <c r="A370" s="1">
        <v>45708</v>
      </c>
      <c r="B370">
        <v>1.5721472194488099E-2</v>
      </c>
      <c r="C370">
        <v>-1.0090030840978901</v>
      </c>
      <c r="D370">
        <v>2.3897512157641998</v>
      </c>
      <c r="E370" t="s">
        <v>21</v>
      </c>
      <c r="F370">
        <v>-0.99328161190339803</v>
      </c>
      <c r="G370">
        <v>7.1041666666666696</v>
      </c>
      <c r="H370">
        <v>58.24</v>
      </c>
      <c r="I370">
        <v>7.0694117647058796</v>
      </c>
      <c r="J370">
        <v>0.16481665342118601</v>
      </c>
      <c r="K370">
        <v>63.112311772773701</v>
      </c>
      <c r="L370">
        <v>13.8648212273709</v>
      </c>
      <c r="M370">
        <v>0.178834278825271</v>
      </c>
      <c r="N370">
        <v>5452.9037371676504</v>
      </c>
      <c r="O370">
        <v>1197.92055404485</v>
      </c>
      <c r="P370">
        <v>15451.2816905034</v>
      </c>
      <c r="Q370">
        <v>4525.9511165866998</v>
      </c>
      <c r="R370">
        <v>2.14122462425295</v>
      </c>
      <c r="S370">
        <v>9691.0779790005708</v>
      </c>
    </row>
    <row r="371" spans="1:19" x14ac:dyDescent="0.75">
      <c r="A371" s="1">
        <v>45709</v>
      </c>
      <c r="B371">
        <v>2.3285302449205101E-2</v>
      </c>
      <c r="C371">
        <v>-1.51500693392367</v>
      </c>
      <c r="D371">
        <v>4.5325055802740799</v>
      </c>
      <c r="E371" t="s">
        <v>21</v>
      </c>
      <c r="F371">
        <v>-1.4917216314744699</v>
      </c>
      <c r="G371">
        <v>8.03125</v>
      </c>
      <c r="H371">
        <v>54.82</v>
      </c>
      <c r="I371">
        <v>7.9423529411764697</v>
      </c>
      <c r="J371">
        <v>0.15428074219784799</v>
      </c>
      <c r="K371">
        <v>55.9682833260823</v>
      </c>
      <c r="L371">
        <v>14.426123358619799</v>
      </c>
      <c r="M371">
        <v>0.17015882407559199</v>
      </c>
      <c r="N371">
        <v>4835.6596793735098</v>
      </c>
      <c r="O371">
        <v>1246.41705818475</v>
      </c>
      <c r="P371">
        <v>14701.722400131101</v>
      </c>
      <c r="Q371">
        <v>2270.5334826018002</v>
      </c>
      <c r="R371">
        <v>2.1319439921807399</v>
      </c>
      <c r="S371">
        <v>4840.6502172781202</v>
      </c>
    </row>
    <row r="372" spans="1:19" x14ac:dyDescent="0.75">
      <c r="A372" s="1">
        <v>45710</v>
      </c>
      <c r="B372">
        <v>8.67377898920874E-2</v>
      </c>
      <c r="C372">
        <v>-3.2618903109978001</v>
      </c>
      <c r="D372">
        <v>10.0408396970652</v>
      </c>
      <c r="E372" t="s">
        <v>21</v>
      </c>
      <c r="F372">
        <v>-3.1751525211057099</v>
      </c>
      <c r="G372">
        <v>8.3712499999999999</v>
      </c>
      <c r="H372">
        <v>50.79</v>
      </c>
      <c r="I372">
        <v>8.3029411764705898</v>
      </c>
      <c r="J372">
        <v>0.14180439148757101</v>
      </c>
      <c r="K372">
        <v>47.9568976337655</v>
      </c>
      <c r="L372">
        <v>14.9776624404914</v>
      </c>
      <c r="M372">
        <v>0.1597155200847</v>
      </c>
      <c r="N372">
        <v>4143.4759555573401</v>
      </c>
      <c r="O372">
        <v>1294.0700348584501</v>
      </c>
      <c r="P372">
        <v>13799.4209353181</v>
      </c>
      <c r="Q372">
        <v>962.03056180112696</v>
      </c>
      <c r="R372">
        <v>2.1174554408942199</v>
      </c>
      <c r="S372">
        <v>2037.0568473923199</v>
      </c>
    </row>
    <row r="373" spans="1:19" x14ac:dyDescent="0.75">
      <c r="A373" s="1">
        <v>45711</v>
      </c>
      <c r="B373">
        <v>0.176499870058661</v>
      </c>
      <c r="C373">
        <v>-4.9880139500088596</v>
      </c>
      <c r="D373">
        <v>15.1628303429959</v>
      </c>
      <c r="E373" t="s">
        <v>21</v>
      </c>
      <c r="F373">
        <v>-4.8115140799501903</v>
      </c>
      <c r="G373">
        <v>7.9620833333333296</v>
      </c>
      <c r="H373">
        <v>53.74</v>
      </c>
      <c r="I373">
        <v>7.8711764705882397</v>
      </c>
      <c r="J373">
        <v>0.13364632592901601</v>
      </c>
      <c r="K373">
        <v>43.0234884467923</v>
      </c>
      <c r="L373">
        <v>15.519706355461</v>
      </c>
      <c r="M373">
        <v>0.15276341964718301</v>
      </c>
      <c r="N373">
        <v>3717.2294018028601</v>
      </c>
      <c r="O373">
        <v>1340.90262911183</v>
      </c>
      <c r="P373">
        <v>13198.7594575166</v>
      </c>
      <c r="Q373">
        <v>609.327639448887</v>
      </c>
      <c r="R373">
        <v>2.1073138691270099</v>
      </c>
      <c r="S373">
        <v>1284.0445854530601</v>
      </c>
    </row>
    <row r="374" spans="1:19" x14ac:dyDescent="0.75">
      <c r="A374" s="1">
        <v>45712</v>
      </c>
      <c r="B374">
        <v>3.5317876435101002E-2</v>
      </c>
      <c r="C374">
        <v>-0.81068858356348605</v>
      </c>
      <c r="D374">
        <v>1.8625606580029399</v>
      </c>
      <c r="E374" t="s">
        <v>21</v>
      </c>
      <c r="F374">
        <v>-0.77537070712838496</v>
      </c>
      <c r="G374">
        <v>7.4387499999999998</v>
      </c>
      <c r="H374">
        <v>57.31</v>
      </c>
      <c r="I374">
        <v>7.4247058823529404</v>
      </c>
      <c r="J374">
        <v>0.14312541685689401</v>
      </c>
      <c r="K374">
        <v>48.8750264156117</v>
      </c>
      <c r="L374">
        <v>16.053053764801401</v>
      </c>
      <c r="M374">
        <v>0.16079286406010401</v>
      </c>
      <c r="N374">
        <v>4222.8022823088504</v>
      </c>
      <c r="O374">
        <v>1386.9838452788399</v>
      </c>
      <c r="P374">
        <v>13892.503454793001</v>
      </c>
      <c r="Q374">
        <v>5221.1735368565496</v>
      </c>
      <c r="R374">
        <v>2.12375037991852</v>
      </c>
      <c r="S374">
        <v>11088.4692825196</v>
      </c>
    </row>
    <row r="375" spans="1:19" x14ac:dyDescent="0.75">
      <c r="A375" s="1">
        <v>45713</v>
      </c>
      <c r="B375">
        <v>0.143798897355505</v>
      </c>
      <c r="C375">
        <v>-7.2905959992671399</v>
      </c>
      <c r="D375">
        <v>15.965489281016399</v>
      </c>
      <c r="E375" t="s">
        <v>21</v>
      </c>
      <c r="F375">
        <v>-7.1467971019116296</v>
      </c>
      <c r="G375">
        <v>7.18333333333333</v>
      </c>
      <c r="H375">
        <v>56.59</v>
      </c>
      <c r="I375">
        <v>7.1294117647058801</v>
      </c>
      <c r="J375">
        <v>0.158657739588207</v>
      </c>
      <c r="K375">
        <v>58.860262937925398</v>
      </c>
      <c r="L375">
        <v>16.5792389440658</v>
      </c>
      <c r="M375">
        <v>0.17379065512295999</v>
      </c>
      <c r="N375">
        <v>5085.5267178367503</v>
      </c>
      <c r="O375">
        <v>1432.44624476729</v>
      </c>
      <c r="P375">
        <v>15015.512602623699</v>
      </c>
      <c r="Q375">
        <v>658.34868176163195</v>
      </c>
      <c r="R375">
        <v>2.13468852194779</v>
      </c>
      <c r="S375">
        <v>1405.36937439601</v>
      </c>
    </row>
    <row r="376" spans="1:19" x14ac:dyDescent="0.75">
      <c r="A376" s="1">
        <v>45714</v>
      </c>
      <c r="B376">
        <v>5.0024675905206498E-2</v>
      </c>
      <c r="C376">
        <v>-3.2390602479011701</v>
      </c>
      <c r="D376">
        <v>7.7976261373261098</v>
      </c>
      <c r="E376" t="s">
        <v>21</v>
      </c>
      <c r="F376">
        <v>-3.18903557199596</v>
      </c>
      <c r="G376">
        <v>7.1737500000000001</v>
      </c>
      <c r="H376">
        <v>58.93</v>
      </c>
      <c r="I376">
        <v>7.0817647058823496</v>
      </c>
      <c r="J376">
        <v>0.15198509366715701</v>
      </c>
      <c r="K376">
        <v>54.446238746565598</v>
      </c>
      <c r="L376">
        <v>17.098017771592701</v>
      </c>
      <c r="M376">
        <v>0.16825569242775801</v>
      </c>
      <c r="N376">
        <v>4704.1550277032702</v>
      </c>
      <c r="O376">
        <v>1477.26873546561</v>
      </c>
      <c r="P376">
        <v>14537.291825758301</v>
      </c>
      <c r="Q376">
        <v>1305.0259269701601</v>
      </c>
      <c r="R376">
        <v>2.1291052043741701</v>
      </c>
      <c r="S376">
        <v>2778.53749295541</v>
      </c>
    </row>
    <row r="377" spans="1:19" x14ac:dyDescent="0.75">
      <c r="A377" s="1">
        <v>45715</v>
      </c>
      <c r="B377">
        <v>0.20724955052732799</v>
      </c>
      <c r="C377">
        <v>-5.0066855976728402</v>
      </c>
      <c r="D377">
        <v>12.6933609255889</v>
      </c>
      <c r="E377" t="s">
        <v>21</v>
      </c>
      <c r="F377">
        <v>-4.7994360471455098</v>
      </c>
      <c r="G377">
        <v>7.2295833333333297</v>
      </c>
      <c r="H377">
        <v>58.93</v>
      </c>
      <c r="I377">
        <v>7.1294117647058801</v>
      </c>
      <c r="J377">
        <v>0.140803573635119</v>
      </c>
      <c r="K377">
        <v>47.334800025197303</v>
      </c>
      <c r="L377">
        <v>17.606292378572</v>
      </c>
      <c r="M377">
        <v>0.15886969764860001</v>
      </c>
      <c r="N377">
        <v>4089.7267221770499</v>
      </c>
      <c r="O377">
        <v>1521.1836615086199</v>
      </c>
      <c r="P377">
        <v>13726.3418768391</v>
      </c>
      <c r="Q377">
        <v>756.96573745235605</v>
      </c>
      <c r="R377">
        <v>2.1160493900497301</v>
      </c>
      <c r="S377">
        <v>1601.7768870246</v>
      </c>
    </row>
    <row r="378" spans="1:19" x14ac:dyDescent="0.75">
      <c r="A378" s="1">
        <v>45716</v>
      </c>
      <c r="B378">
        <v>3.4819097866609298E-2</v>
      </c>
      <c r="C378">
        <v>-1.9852938585739599</v>
      </c>
      <c r="D378">
        <v>5.6233100013828796</v>
      </c>
      <c r="E378" t="s">
        <v>21</v>
      </c>
      <c r="F378">
        <v>-1.95047476070735</v>
      </c>
      <c r="G378">
        <v>7.1112500000000001</v>
      </c>
      <c r="H378">
        <v>60.55</v>
      </c>
      <c r="I378">
        <v>7.0258823529411796</v>
      </c>
      <c r="J378">
        <v>0.13403969792788101</v>
      </c>
      <c r="K378">
        <v>43.266359431810102</v>
      </c>
      <c r="L378">
        <v>18.0995733369768</v>
      </c>
      <c r="M378">
        <v>0.15309642342497001</v>
      </c>
      <c r="N378">
        <v>3738.2134549083999</v>
      </c>
      <c r="O378">
        <v>1563.8031363148</v>
      </c>
      <c r="P378">
        <v>13227.530983917401</v>
      </c>
      <c r="Q378">
        <v>1646.58745231281</v>
      </c>
      <c r="R378">
        <v>2.1083944696285402</v>
      </c>
      <c r="S378">
        <v>3471.6558782160901</v>
      </c>
    </row>
    <row r="379" spans="1:19" x14ac:dyDescent="0.75">
      <c r="A379" s="1">
        <v>45717</v>
      </c>
      <c r="B379">
        <v>0.160596615266901</v>
      </c>
      <c r="C379">
        <v>-3.8715590442344698</v>
      </c>
      <c r="D379">
        <v>11.7745495504077</v>
      </c>
      <c r="E379" t="s">
        <v>21</v>
      </c>
      <c r="F379">
        <v>-3.7109624289675698</v>
      </c>
      <c r="G379">
        <v>7.4520833333333298</v>
      </c>
      <c r="H379">
        <v>58.42</v>
      </c>
      <c r="I379">
        <v>7.3311764705882396</v>
      </c>
      <c r="J379">
        <v>0.124827747685799</v>
      </c>
      <c r="K379">
        <v>37.984443267880799</v>
      </c>
      <c r="L379">
        <v>18.574021457040502</v>
      </c>
      <c r="M379">
        <v>0.14511958225421301</v>
      </c>
      <c r="N379">
        <v>3281.8558983449002</v>
      </c>
      <c r="O379">
        <v>1604.7954538883</v>
      </c>
      <c r="P379">
        <v>12538.331906764</v>
      </c>
      <c r="Q379">
        <v>745.40705758301499</v>
      </c>
      <c r="R379">
        <v>2.09685602301834</v>
      </c>
      <c r="S379">
        <v>1563.0112782933199</v>
      </c>
    </row>
    <row r="380" spans="1:19" x14ac:dyDescent="0.75">
      <c r="A380" s="1">
        <v>45718</v>
      </c>
      <c r="B380">
        <v>4.3053183038971397E-2</v>
      </c>
      <c r="C380">
        <v>-1.67566894733051</v>
      </c>
      <c r="D380">
        <v>5.5808501689895396</v>
      </c>
      <c r="E380" t="s">
        <v>21</v>
      </c>
      <c r="F380">
        <v>-1.63261576429154</v>
      </c>
      <c r="G380">
        <v>7.3049999999999997</v>
      </c>
      <c r="H380">
        <v>59.47</v>
      </c>
      <c r="I380">
        <v>7.2247058823529402</v>
      </c>
      <c r="J380">
        <v>0.118906618419298</v>
      </c>
      <c r="K380">
        <v>34.744598532286901</v>
      </c>
      <c r="L380">
        <v>19.026414614183398</v>
      </c>
      <c r="M380">
        <v>0.13992018957551899</v>
      </c>
      <c r="N380">
        <v>3001.9333131895901</v>
      </c>
      <c r="O380">
        <v>1643.8822226654399</v>
      </c>
      <c r="P380">
        <v>12089.104379324801</v>
      </c>
      <c r="Q380">
        <v>1516.3232857512</v>
      </c>
      <c r="R380">
        <v>2.0883384493892998</v>
      </c>
      <c r="S380">
        <v>3166.5962193385599</v>
      </c>
    </row>
    <row r="381" spans="1:19" x14ac:dyDescent="0.75">
      <c r="A381" s="1">
        <v>45719</v>
      </c>
      <c r="B381">
        <v>0.121062903175345</v>
      </c>
      <c r="C381">
        <v>-2.7196581022914899</v>
      </c>
      <c r="D381">
        <v>10.3529108354186</v>
      </c>
      <c r="E381" t="s">
        <v>21</v>
      </c>
      <c r="F381">
        <v>-2.59859519911614</v>
      </c>
      <c r="G381">
        <v>7.8516666666666701</v>
      </c>
      <c r="H381">
        <v>57.78</v>
      </c>
      <c r="I381">
        <v>7.7176470588235304</v>
      </c>
      <c r="J381">
        <v>0.112295620348816</v>
      </c>
      <c r="K381">
        <v>31.306206545650699</v>
      </c>
      <c r="L381">
        <v>19.453947885737001</v>
      </c>
      <c r="M381">
        <v>0.134026027419791</v>
      </c>
      <c r="N381">
        <v>2704.8562455442202</v>
      </c>
      <c r="O381">
        <v>1680.82109732768</v>
      </c>
      <c r="P381">
        <v>11579.84876907</v>
      </c>
      <c r="Q381">
        <v>782.95797840909802</v>
      </c>
      <c r="R381">
        <v>2.0800725482676001</v>
      </c>
      <c r="S381">
        <v>1628.60939733586</v>
      </c>
    </row>
    <row r="382" spans="1:19" x14ac:dyDescent="0.75">
      <c r="A382" s="1">
        <v>45720</v>
      </c>
      <c r="B382">
        <v>0.19042884979532601</v>
      </c>
      <c r="C382">
        <v>-3.4347622119261301</v>
      </c>
      <c r="D382">
        <v>11.910996678073399</v>
      </c>
      <c r="E382" t="s">
        <v>21</v>
      </c>
      <c r="F382">
        <v>-3.2443333621308099</v>
      </c>
      <c r="G382">
        <v>7.5408333333333299</v>
      </c>
      <c r="H382">
        <v>57.49</v>
      </c>
      <c r="I382">
        <v>7.4358823529411797</v>
      </c>
      <c r="J382">
        <v>0.10607799427720099</v>
      </c>
      <c r="K382">
        <v>28.2087299937665</v>
      </c>
      <c r="L382">
        <v>19.8542691195542</v>
      </c>
      <c r="M382">
        <v>0.12841025920935301</v>
      </c>
      <c r="N382">
        <v>2437.2342714614301</v>
      </c>
      <c r="O382">
        <v>1715.4088519294901</v>
      </c>
      <c r="P382">
        <v>11094.6463956881</v>
      </c>
      <c r="Q382">
        <v>652.02372957406101</v>
      </c>
      <c r="R382">
        <v>2.07089706099269</v>
      </c>
      <c r="S382">
        <v>1350.27402527242</v>
      </c>
    </row>
    <row r="383" spans="1:19" x14ac:dyDescent="0.75">
      <c r="A383" s="1">
        <v>45721</v>
      </c>
      <c r="B383">
        <v>6.2562188512451294E-2</v>
      </c>
      <c r="C383">
        <v>-3.0349130631832701</v>
      </c>
      <c r="D383">
        <v>9.1906095194790698</v>
      </c>
      <c r="E383" t="s">
        <v>21</v>
      </c>
      <c r="F383">
        <v>-2.9723508746708101</v>
      </c>
      <c r="G383">
        <v>6.6754166666666697</v>
      </c>
      <c r="H383">
        <v>61.7</v>
      </c>
      <c r="I383">
        <v>6.6576470588235299</v>
      </c>
      <c r="J383">
        <v>0.105596553920381</v>
      </c>
      <c r="K383">
        <v>27.9592557417769</v>
      </c>
      <c r="L383">
        <v>20.224791120114801</v>
      </c>
      <c r="M383">
        <v>0.127980778423644</v>
      </c>
      <c r="N383">
        <v>2415.6796960895199</v>
      </c>
      <c r="O383">
        <v>1747.4219527779101</v>
      </c>
      <c r="P383">
        <v>11057.5392558028</v>
      </c>
      <c r="Q383">
        <v>842.19413986165</v>
      </c>
      <c r="R383">
        <v>2.0688600515001601</v>
      </c>
      <c r="S383">
        <v>1742.38181156731</v>
      </c>
    </row>
    <row r="384" spans="1:19" x14ac:dyDescent="0.75">
      <c r="A384" s="1">
        <v>45722</v>
      </c>
      <c r="B384">
        <v>5.88013894485232E-2</v>
      </c>
      <c r="C384">
        <v>-1.4928932348600901</v>
      </c>
      <c r="D384">
        <v>5.2018438624356902</v>
      </c>
      <c r="E384" t="s">
        <v>21</v>
      </c>
      <c r="F384">
        <v>-1.4340918454115701</v>
      </c>
      <c r="G384">
        <v>7.1074999999999999</v>
      </c>
      <c r="H384">
        <v>62.1</v>
      </c>
      <c r="I384">
        <v>6.9870588235294102</v>
      </c>
      <c r="J384">
        <v>0.110792587039719</v>
      </c>
      <c r="K384">
        <v>30.517641819370301</v>
      </c>
      <c r="L384">
        <v>20.5625308533177</v>
      </c>
      <c r="M384">
        <v>0.13268973346265001</v>
      </c>
      <c r="N384">
        <v>2636.7242531935899</v>
      </c>
      <c r="O384">
        <v>1776.60266572665</v>
      </c>
      <c r="P384">
        <v>11464.3929711729</v>
      </c>
      <c r="Q384">
        <v>1542.7366318648801</v>
      </c>
      <c r="R384">
        <v>2.0758833537777299</v>
      </c>
      <c r="S384">
        <v>3202.5412933514399</v>
      </c>
    </row>
    <row r="385" spans="1:19" x14ac:dyDescent="0.75">
      <c r="A385" s="1">
        <v>45723</v>
      </c>
      <c r="B385">
        <v>0.12654613024153</v>
      </c>
      <c r="C385">
        <v>-3.01044831425255</v>
      </c>
      <c r="D385">
        <v>11.6443752918022</v>
      </c>
      <c r="E385" t="s">
        <v>21</v>
      </c>
      <c r="F385">
        <v>-2.8839021840110202</v>
      </c>
      <c r="G385">
        <v>7.8145833333333297</v>
      </c>
      <c r="H385">
        <v>56.7</v>
      </c>
      <c r="I385">
        <v>7.6641176470588199</v>
      </c>
      <c r="J385">
        <v>0.10669447278288501</v>
      </c>
      <c r="K385">
        <v>28.516733347060601</v>
      </c>
      <c r="L385">
        <v>20.864986470966699</v>
      </c>
      <c r="M385">
        <v>0.12896640955872399</v>
      </c>
      <c r="N385">
        <v>2463.8457611860299</v>
      </c>
      <c r="O385">
        <v>1802.7348310915199</v>
      </c>
      <c r="P385">
        <v>11142.697785873799</v>
      </c>
      <c r="Q385">
        <v>669.84172655469695</v>
      </c>
      <c r="R385">
        <v>2.0724365534309599</v>
      </c>
      <c r="S385">
        <v>1388.2044791252599</v>
      </c>
    </row>
    <row r="386" spans="1:19" x14ac:dyDescent="0.75">
      <c r="A386" s="1">
        <v>45724</v>
      </c>
      <c r="B386">
        <v>5.79439414724843E-2</v>
      </c>
      <c r="C386">
        <v>-1.3266860850070801</v>
      </c>
      <c r="D386">
        <v>4.6670788234359</v>
      </c>
      <c r="E386" t="s">
        <v>21</v>
      </c>
      <c r="F386">
        <v>-1.26874214353459</v>
      </c>
      <c r="G386">
        <v>7.7604166666666696</v>
      </c>
      <c r="H386">
        <v>56.44</v>
      </c>
      <c r="I386">
        <v>7.6794117647058799</v>
      </c>
      <c r="J386">
        <v>0.10429607783458</v>
      </c>
      <c r="K386">
        <v>27.3287715882709</v>
      </c>
      <c r="L386">
        <v>21.130223749338501</v>
      </c>
      <c r="M386">
        <v>0.12679672794451399</v>
      </c>
      <c r="N386">
        <v>2361.2058652266001</v>
      </c>
      <c r="O386">
        <v>1825.65133194285</v>
      </c>
      <c r="P386">
        <v>10955.237294406001</v>
      </c>
      <c r="Q386">
        <v>1643.1404731318701</v>
      </c>
      <c r="R386">
        <v>2.0665412934359</v>
      </c>
      <c r="S386">
        <v>3395.6176386428101</v>
      </c>
    </row>
    <row r="387" spans="1:19" x14ac:dyDescent="0.75">
      <c r="A387" s="1">
        <v>45725</v>
      </c>
      <c r="B387">
        <v>4.3736915369200699E-2</v>
      </c>
      <c r="C387">
        <v>-0.445620497332534</v>
      </c>
      <c r="D387">
        <v>0.80879267553884304</v>
      </c>
      <c r="E387" t="s">
        <v>21</v>
      </c>
      <c r="F387">
        <v>-0.40188358196333301</v>
      </c>
      <c r="G387">
        <v>7.0683333333333298</v>
      </c>
      <c r="H387">
        <v>58.6</v>
      </c>
      <c r="I387">
        <v>7.0141176470588196</v>
      </c>
      <c r="J387">
        <v>0.12101145217442</v>
      </c>
      <c r="K387">
        <v>36.2450426741661</v>
      </c>
      <c r="L387">
        <v>21.356705965180002</v>
      </c>
      <c r="M387">
        <v>0.14160063402308101</v>
      </c>
      <c r="N387">
        <v>3131.57168704795</v>
      </c>
      <c r="O387">
        <v>1845.2193953915501</v>
      </c>
      <c r="P387">
        <v>12234.2947795942</v>
      </c>
      <c r="Q387">
        <v>10588.6299477309</v>
      </c>
      <c r="R387">
        <v>2.11522682183343</v>
      </c>
      <c r="S387">
        <v>22397.354071909002</v>
      </c>
    </row>
    <row r="388" spans="1:19" x14ac:dyDescent="0.75">
      <c r="A388" s="1">
        <v>45726</v>
      </c>
      <c r="B388">
        <v>6.8572488009002994E-2</v>
      </c>
      <c r="C388">
        <v>-2.2367782726175398</v>
      </c>
      <c r="D388">
        <v>1.96640444097653</v>
      </c>
      <c r="E388" t="s">
        <v>21</v>
      </c>
      <c r="F388">
        <v>-2.1682057846085301</v>
      </c>
      <c r="G388">
        <v>6.1775000000000002</v>
      </c>
      <c r="H388">
        <v>62.13</v>
      </c>
      <c r="I388">
        <v>6.1752941176470602</v>
      </c>
      <c r="J388">
        <v>0.244383479221504</v>
      </c>
      <c r="K388">
        <v>132.80419048522899</v>
      </c>
      <c r="L388">
        <v>21.543014201702398</v>
      </c>
      <c r="M388">
        <v>0.239696629688745</v>
      </c>
      <c r="N388">
        <v>11474.2820579237</v>
      </c>
      <c r="O388">
        <v>1861.31642702709</v>
      </c>
      <c r="P388">
        <v>20709.788805107499</v>
      </c>
      <c r="Q388">
        <v>7372.2637426388301</v>
      </c>
      <c r="R388">
        <v>2.26713826931354</v>
      </c>
      <c r="S388">
        <v>16713.941262409098</v>
      </c>
    </row>
    <row r="389" spans="1:19" x14ac:dyDescent="0.75">
      <c r="A389" s="1">
        <v>45727</v>
      </c>
      <c r="B389">
        <v>0.108763769783514</v>
      </c>
      <c r="C389">
        <v>-6.6732675909368098</v>
      </c>
      <c r="D389">
        <v>6.5764499314945004</v>
      </c>
      <c r="E389" t="s">
        <v>21</v>
      </c>
      <c r="F389">
        <v>-6.5645038211533002</v>
      </c>
      <c r="G389">
        <v>5.8958333333333304</v>
      </c>
      <c r="H389">
        <v>61.7</v>
      </c>
      <c r="I389">
        <v>5.8341176470588199</v>
      </c>
      <c r="J389">
        <v>0.27025209156478902</v>
      </c>
      <c r="K389">
        <v>156.04809852756699</v>
      </c>
      <c r="L389">
        <v>21.689318997879401</v>
      </c>
      <c r="M389">
        <v>0.25930059086808799</v>
      </c>
      <c r="N389">
        <v>13482.555712781799</v>
      </c>
      <c r="O389">
        <v>1873.9571614167801</v>
      </c>
      <c r="P389">
        <v>22403.5710510028</v>
      </c>
      <c r="Q389">
        <v>2384.6451959740002</v>
      </c>
      <c r="R389">
        <v>2.22682409003342</v>
      </c>
      <c r="S389">
        <v>5310.1853685773804</v>
      </c>
    </row>
    <row r="390" spans="1:19" x14ac:dyDescent="0.75">
      <c r="A390" s="1">
        <v>45728</v>
      </c>
      <c r="B390">
        <v>0.13417572159619201</v>
      </c>
      <c r="C390">
        <v>-7.37153250664264</v>
      </c>
      <c r="D390">
        <v>8.3597687817903807</v>
      </c>
      <c r="E390" t="s">
        <v>21</v>
      </c>
      <c r="F390">
        <v>-7.2373567850464502</v>
      </c>
      <c r="G390">
        <v>6.1941666666666704</v>
      </c>
      <c r="H390">
        <v>60.3</v>
      </c>
      <c r="I390">
        <v>6.1135294117647101</v>
      </c>
      <c r="J390">
        <v>0.24798841067379099</v>
      </c>
      <c r="K390">
        <v>133.35914627550801</v>
      </c>
      <c r="L390">
        <v>21.628294914399302</v>
      </c>
      <c r="M390">
        <v>0.24307387352194901</v>
      </c>
      <c r="N390">
        <v>11522.2302382039</v>
      </c>
      <c r="O390">
        <v>1868.6846806041001</v>
      </c>
      <c r="P390">
        <v>21001.582672296401</v>
      </c>
      <c r="Q390">
        <v>1758.55436368409</v>
      </c>
      <c r="R390">
        <v>2.2123464589977102</v>
      </c>
      <c r="S390">
        <v>3890.5315194514501</v>
      </c>
    </row>
    <row r="391" spans="1:19" x14ac:dyDescent="0.75">
      <c r="A391" s="1">
        <v>45729</v>
      </c>
      <c r="B391">
        <v>0.13768785465373201</v>
      </c>
      <c r="C391">
        <v>-7.3581854030219596</v>
      </c>
      <c r="D391">
        <v>9.3974127359658404</v>
      </c>
      <c r="E391" t="s">
        <v>21</v>
      </c>
      <c r="F391">
        <v>-7.2204975483682299</v>
      </c>
      <c r="G391">
        <v>6.3079166666666699</v>
      </c>
      <c r="H391">
        <v>60.69</v>
      </c>
      <c r="I391">
        <v>6.2294117647058798</v>
      </c>
      <c r="J391">
        <v>0.227351058793027</v>
      </c>
      <c r="K391">
        <v>113.768482389215</v>
      </c>
      <c r="L391">
        <v>21.280717229675599</v>
      </c>
      <c r="M391">
        <v>0.227708733794034</v>
      </c>
      <c r="N391">
        <v>9829.5968784281504</v>
      </c>
      <c r="O391">
        <v>1838.6539686439701</v>
      </c>
      <c r="P391">
        <v>19674.034599804501</v>
      </c>
      <c r="Q391">
        <v>1465.49104597221</v>
      </c>
      <c r="R391">
        <v>2.1975830435473398</v>
      </c>
      <c r="S391">
        <v>3220.53827309899</v>
      </c>
    </row>
    <row r="392" spans="1:19" x14ac:dyDescent="0.75">
      <c r="A392" s="1">
        <v>45730</v>
      </c>
      <c r="B392">
        <v>0.20219519032657499</v>
      </c>
      <c r="C392">
        <v>-8.1420348765307704</v>
      </c>
      <c r="D392">
        <v>11.282412856114799</v>
      </c>
      <c r="E392" t="s">
        <v>21</v>
      </c>
      <c r="F392">
        <v>-7.9398396862041896</v>
      </c>
      <c r="G392">
        <v>6.2858333333333301</v>
      </c>
      <c r="H392">
        <v>61.74</v>
      </c>
      <c r="I392">
        <v>6.2024999999999997</v>
      </c>
      <c r="J392">
        <v>0.20929117418840901</v>
      </c>
      <c r="K392">
        <v>97.748267874093401</v>
      </c>
      <c r="L392">
        <v>20.932005643436799</v>
      </c>
      <c r="M392">
        <v>0.213987096897017</v>
      </c>
      <c r="N392">
        <v>8445.4503443216709</v>
      </c>
      <c r="O392">
        <v>1808.52528759294</v>
      </c>
      <c r="P392">
        <v>18488.485171902201</v>
      </c>
      <c r="Q392">
        <v>1147.0897037168199</v>
      </c>
      <c r="R392">
        <v>2.1825819988134199</v>
      </c>
      <c r="S392">
        <v>2503.6173383565501</v>
      </c>
    </row>
    <row r="393" spans="1:19" x14ac:dyDescent="0.75">
      <c r="A393" s="1">
        <v>45731</v>
      </c>
      <c r="B393">
        <v>0.248031255340524</v>
      </c>
      <c r="C393">
        <v>-9.0471505500302491</v>
      </c>
      <c r="D393">
        <v>12.792657905382899</v>
      </c>
      <c r="E393" t="s">
        <v>21</v>
      </c>
      <c r="F393">
        <v>-8.7991192946897296</v>
      </c>
      <c r="G393">
        <v>6.0841666666666701</v>
      </c>
      <c r="H393">
        <v>63</v>
      </c>
      <c r="I393">
        <v>6.0181250000000004</v>
      </c>
      <c r="J393">
        <v>0.19616605324119701</v>
      </c>
      <c r="K393">
        <v>86.829810495819103</v>
      </c>
      <c r="L393">
        <v>20.581859700501798</v>
      </c>
      <c r="M393">
        <v>0.20382159723919499</v>
      </c>
      <c r="N393">
        <v>7502.0956268387699</v>
      </c>
      <c r="O393">
        <v>1778.27267812336</v>
      </c>
      <c r="P393">
        <v>17610.1860014665</v>
      </c>
      <c r="Q393">
        <v>963.60977462232802</v>
      </c>
      <c r="R393">
        <v>2.17167483175148</v>
      </c>
      <c r="S393">
        <v>2092.6470951770302</v>
      </c>
    </row>
    <row r="394" spans="1:19" x14ac:dyDescent="0.75">
      <c r="A394" s="1">
        <v>45732</v>
      </c>
      <c r="B394">
        <v>0.16112938713233099</v>
      </c>
      <c r="C394">
        <v>-7.6754293885834297</v>
      </c>
      <c r="D394">
        <v>10.0344078272507</v>
      </c>
      <c r="E394" t="s">
        <v>21</v>
      </c>
      <c r="F394">
        <v>-7.5143000014511001</v>
      </c>
      <c r="G394">
        <v>5.6529166666666697</v>
      </c>
      <c r="H394">
        <v>66.02</v>
      </c>
      <c r="I394">
        <v>5.6475</v>
      </c>
      <c r="J394">
        <v>0.194002507247439</v>
      </c>
      <c r="K394">
        <v>85.0715245572041</v>
      </c>
      <c r="L394">
        <v>20.230344307076798</v>
      </c>
      <c r="M394">
        <v>0.202134177921867</v>
      </c>
      <c r="N394">
        <v>7350.17972174243</v>
      </c>
      <c r="O394">
        <v>1747.9017481314399</v>
      </c>
      <c r="P394">
        <v>17464.392972449299</v>
      </c>
      <c r="Q394">
        <v>1218.3155489768401</v>
      </c>
      <c r="R394">
        <v>2.1693874358119598</v>
      </c>
      <c r="S394">
        <v>2642.9984448047098</v>
      </c>
    </row>
    <row r="395" spans="1:19" x14ac:dyDescent="0.75">
      <c r="A395" s="1">
        <v>45733</v>
      </c>
      <c r="B395">
        <v>0.116446316616677</v>
      </c>
      <c r="C395">
        <v>-3.5216558272605001</v>
      </c>
      <c r="D395">
        <v>5.3588131524602103</v>
      </c>
      <c r="E395" t="s">
        <v>21</v>
      </c>
      <c r="F395">
        <v>-3.4052095106438198</v>
      </c>
      <c r="G395">
        <v>6.05833333333333</v>
      </c>
      <c r="H395">
        <v>65.23</v>
      </c>
      <c r="I395">
        <v>5.9781250000000004</v>
      </c>
      <c r="J395">
        <v>0.19432248894800799</v>
      </c>
      <c r="K395">
        <v>85.319438819317995</v>
      </c>
      <c r="L395">
        <v>19.876600888807801</v>
      </c>
      <c r="M395">
        <v>0.20238729924778201</v>
      </c>
      <c r="N395">
        <v>7371.5995139890701</v>
      </c>
      <c r="O395">
        <v>1717.3383167929901</v>
      </c>
      <c r="P395">
        <v>17486.2626550083</v>
      </c>
      <c r="Q395">
        <v>2284.1594790231302</v>
      </c>
      <c r="R395">
        <v>2.1694101653335598</v>
      </c>
      <c r="S395">
        <v>4955.2787930357899</v>
      </c>
    </row>
    <row r="396" spans="1:19" x14ac:dyDescent="0.75">
      <c r="A396" s="1">
        <v>45736</v>
      </c>
      <c r="B396">
        <v>2.22720123738076E-2</v>
      </c>
      <c r="C396">
        <v>-4.4088801107917597</v>
      </c>
      <c r="D396">
        <v>9.4623971626776893</v>
      </c>
      <c r="E396" t="s">
        <v>21</v>
      </c>
      <c r="F396">
        <v>-4.3866080984179501</v>
      </c>
      <c r="G396">
        <v>6.7870833333333298</v>
      </c>
      <c r="H396">
        <v>60.04</v>
      </c>
      <c r="I396">
        <v>6.743125</v>
      </c>
      <c r="J396">
        <v>0.15645896625126601</v>
      </c>
      <c r="K396">
        <v>57.416757786114601</v>
      </c>
      <c r="L396">
        <v>18.791005983894198</v>
      </c>
      <c r="M396">
        <v>0.17196289376816901</v>
      </c>
      <c r="N396">
        <v>4960.8078727203001</v>
      </c>
      <c r="O396">
        <v>1623.5429170084501</v>
      </c>
      <c r="P396">
        <v>14857.594021569799</v>
      </c>
      <c r="Q396">
        <v>1099.12061777755</v>
      </c>
      <c r="R396">
        <v>2.1340444635403202</v>
      </c>
      <c r="S396">
        <v>2345.5722691311998</v>
      </c>
    </row>
    <row r="397" spans="1:19" x14ac:dyDescent="0.75">
      <c r="A397" s="1">
        <v>45737</v>
      </c>
      <c r="B397">
        <v>3.0908352166807901E-2</v>
      </c>
      <c r="C397">
        <v>-1.9699434922283801</v>
      </c>
      <c r="D397">
        <v>5.2236881066059704</v>
      </c>
      <c r="E397" t="s">
        <v>21</v>
      </c>
      <c r="F397">
        <v>-1.93903514006157</v>
      </c>
      <c r="G397">
        <v>7.2091666666666701</v>
      </c>
      <c r="H397">
        <v>60.04</v>
      </c>
      <c r="I397">
        <v>7.0875000000000004</v>
      </c>
      <c r="J397">
        <v>0.14826860896145999</v>
      </c>
      <c r="K397">
        <v>52.030209012517602</v>
      </c>
      <c r="L397">
        <v>18.4150037121921</v>
      </c>
      <c r="M397">
        <v>0.16515657030983499</v>
      </c>
      <c r="N397">
        <v>4495.4100586815202</v>
      </c>
      <c r="O397">
        <v>1591.0563207334001</v>
      </c>
      <c r="P397">
        <v>14269.527674769701</v>
      </c>
      <c r="Q397">
        <v>1912.18716900554</v>
      </c>
      <c r="R397">
        <v>2.1247630330512401</v>
      </c>
      <c r="S397">
        <v>4062.9446089778698</v>
      </c>
    </row>
    <row r="398" spans="1:19" x14ac:dyDescent="0.75">
      <c r="A398" s="1">
        <v>45738</v>
      </c>
      <c r="B398">
        <v>7.8604016107292105E-2</v>
      </c>
      <c r="C398">
        <v>-3.3309245794401301</v>
      </c>
      <c r="D398">
        <v>9.6396973380500892</v>
      </c>
      <c r="E398" t="s">
        <v>21</v>
      </c>
      <c r="F398">
        <v>-3.2523205633328298</v>
      </c>
      <c r="G398">
        <v>7.6620833333333298</v>
      </c>
      <c r="H398">
        <v>56.08</v>
      </c>
      <c r="I398">
        <v>7.55</v>
      </c>
      <c r="J398">
        <v>0.13856347591483101</v>
      </c>
      <c r="K398">
        <v>45.975454964891398</v>
      </c>
      <c r="L398">
        <v>18.027021744329399</v>
      </c>
      <c r="M398">
        <v>0.15696281095108899</v>
      </c>
      <c r="N398">
        <v>3972.2793089666202</v>
      </c>
      <c r="O398">
        <v>1557.53467871006</v>
      </c>
      <c r="P398">
        <v>13561.586866174101</v>
      </c>
      <c r="Q398">
        <v>984.79345081202905</v>
      </c>
      <c r="R398">
        <v>2.1138808224628098</v>
      </c>
      <c r="S398">
        <v>2081.7359897585202</v>
      </c>
    </row>
    <row r="399" spans="1:19" x14ac:dyDescent="0.75">
      <c r="A399" s="1">
        <v>45739</v>
      </c>
      <c r="B399">
        <v>0.21799417885935499</v>
      </c>
      <c r="C399">
        <v>-5.6990779522457098</v>
      </c>
      <c r="D399">
        <v>16.8755513937747</v>
      </c>
      <c r="E399" t="s">
        <v>21</v>
      </c>
      <c r="F399">
        <v>-5.4810837733863602</v>
      </c>
      <c r="G399">
        <v>7.51833333333333</v>
      </c>
      <c r="H399">
        <v>56.84</v>
      </c>
      <c r="I399">
        <v>7.4162499999999998</v>
      </c>
      <c r="J399">
        <v>0.129125483553997</v>
      </c>
      <c r="K399">
        <v>40.410421517749697</v>
      </c>
      <c r="L399">
        <v>17.625711138560501</v>
      </c>
      <c r="M399">
        <v>0.148858506654651</v>
      </c>
      <c r="N399">
        <v>3491.4604191335802</v>
      </c>
      <c r="O399">
        <v>1522.8614423716299</v>
      </c>
      <c r="P399">
        <v>12861.3749749618</v>
      </c>
      <c r="Q399">
        <v>533.49145591736999</v>
      </c>
      <c r="R399">
        <v>2.1023632765384099</v>
      </c>
      <c r="S399">
        <v>1121.5928452676901</v>
      </c>
    </row>
    <row r="400" spans="1:19" x14ac:dyDescent="0.75">
      <c r="A400" s="1">
        <v>45740</v>
      </c>
      <c r="B400">
        <v>9.9051442994041797E-2</v>
      </c>
      <c r="C400">
        <v>-3.8372271379492999</v>
      </c>
      <c r="D400">
        <v>11.032666529243899</v>
      </c>
      <c r="E400" t="s">
        <v>21</v>
      </c>
      <c r="F400">
        <v>-3.73817569495526</v>
      </c>
      <c r="G400">
        <v>7.1241666666666701</v>
      </c>
      <c r="H400">
        <v>59.29</v>
      </c>
      <c r="I400">
        <v>7.0812499999999998</v>
      </c>
      <c r="J400">
        <v>0.122159276439765</v>
      </c>
      <c r="K400">
        <v>36.492868931361897</v>
      </c>
      <c r="L400">
        <v>17.212705911827999</v>
      </c>
      <c r="M400">
        <v>0.142791490779382</v>
      </c>
      <c r="N400">
        <v>3152.9838756696699</v>
      </c>
      <c r="O400">
        <v>1487.1777907819401</v>
      </c>
      <c r="P400">
        <v>12337.1848033386</v>
      </c>
      <c r="Q400">
        <v>782.76900144183298</v>
      </c>
      <c r="R400">
        <v>2.0920845288574998</v>
      </c>
      <c r="S400">
        <v>1637.61891758569</v>
      </c>
    </row>
    <row r="401" spans="1:19" x14ac:dyDescent="0.75">
      <c r="A401" s="1">
        <v>45741</v>
      </c>
      <c r="B401">
        <v>0.236382780677519</v>
      </c>
      <c r="C401">
        <v>-5.6080325092385204</v>
      </c>
      <c r="D401">
        <v>15.987376446529799</v>
      </c>
      <c r="E401" t="s">
        <v>21</v>
      </c>
      <c r="F401">
        <v>-5.3716497285609996</v>
      </c>
      <c r="G401">
        <v>6.7437500000000004</v>
      </c>
      <c r="H401">
        <v>61.23</v>
      </c>
      <c r="I401">
        <v>6.6481250000000003</v>
      </c>
      <c r="J401">
        <v>0.115081516072123</v>
      </c>
      <c r="K401">
        <v>32.730985042717002</v>
      </c>
      <c r="L401">
        <v>16.790918300763</v>
      </c>
      <c r="M401">
        <v>0.136522292126629</v>
      </c>
      <c r="N401">
        <v>2827.95710769075</v>
      </c>
      <c r="O401">
        <v>1450.7353411859201</v>
      </c>
      <c r="P401">
        <v>11795.5260397407</v>
      </c>
      <c r="Q401">
        <v>516.46173813657504</v>
      </c>
      <c r="R401">
        <v>2.0832909623886899</v>
      </c>
      <c r="S401">
        <v>1075.9400714794799</v>
      </c>
    </row>
    <row r="402" spans="1:19" x14ac:dyDescent="0.75">
      <c r="A402" s="1">
        <v>45742</v>
      </c>
      <c r="B402">
        <v>0.15892153140835399</v>
      </c>
      <c r="C402">
        <v>-5.1008418449191204</v>
      </c>
      <c r="D402">
        <v>15.3832141502377</v>
      </c>
      <c r="E402" t="s">
        <v>21</v>
      </c>
      <c r="F402">
        <v>-4.9419203135107699</v>
      </c>
      <c r="G402">
        <v>6.6325000000000003</v>
      </c>
      <c r="H402">
        <v>63.46</v>
      </c>
      <c r="I402">
        <v>6.5168749999999998</v>
      </c>
      <c r="J402">
        <v>0.109133966298236</v>
      </c>
      <c r="K402">
        <v>29.707918352512699</v>
      </c>
      <c r="L402">
        <v>16.362867585234401</v>
      </c>
      <c r="M402">
        <v>0.13118294219378099</v>
      </c>
      <c r="N402">
        <v>2566.7641456571</v>
      </c>
      <c r="O402">
        <v>1413.7517593642499</v>
      </c>
      <c r="P402">
        <v>11334.2062055427</v>
      </c>
      <c r="Q402">
        <v>515.75335728894595</v>
      </c>
      <c r="R402">
        <v>2.0750803378859501</v>
      </c>
      <c r="S402">
        <v>1070.2296509089599</v>
      </c>
    </row>
    <row r="403" spans="1:19" x14ac:dyDescent="0.75">
      <c r="A403" s="1">
        <v>45743</v>
      </c>
      <c r="B403">
        <v>9.5196304253504699E-2</v>
      </c>
      <c r="C403">
        <v>-2.9573658088202501</v>
      </c>
      <c r="D403">
        <v>9.6927797097322994</v>
      </c>
      <c r="E403" t="s">
        <v>21</v>
      </c>
      <c r="F403">
        <v>-2.8621695045667499</v>
      </c>
      <c r="G403">
        <v>6.79</v>
      </c>
      <c r="H403">
        <v>62.74</v>
      </c>
      <c r="I403">
        <v>6.6675000000000004</v>
      </c>
      <c r="J403">
        <v>0.104117005506738</v>
      </c>
      <c r="K403">
        <v>27.2610868447684</v>
      </c>
      <c r="L403">
        <v>15.930651013086401</v>
      </c>
      <c r="M403">
        <v>0.126622910909091</v>
      </c>
      <c r="N403">
        <v>2355.3579033879901</v>
      </c>
      <c r="O403">
        <v>1376.40824753066</v>
      </c>
      <c r="P403">
        <v>10940.2195025455</v>
      </c>
      <c r="Q403">
        <v>790.08848659713703</v>
      </c>
      <c r="R403">
        <v>2.0678032050722801</v>
      </c>
      <c r="S403">
        <v>1633.7475048762701</v>
      </c>
    </row>
    <row r="404" spans="1:19" x14ac:dyDescent="0.75">
      <c r="A404" s="1">
        <v>45744</v>
      </c>
      <c r="B404">
        <v>0.37284107526079402</v>
      </c>
      <c r="C404">
        <v>-7.9099501431526003</v>
      </c>
      <c r="D404">
        <v>25.802565587259998</v>
      </c>
      <c r="E404" t="s">
        <v>21</v>
      </c>
      <c r="F404">
        <v>-7.5371090678918096</v>
      </c>
      <c r="G404">
        <v>6.6825000000000001</v>
      </c>
      <c r="H404">
        <v>61.92</v>
      </c>
      <c r="I404">
        <v>6.59</v>
      </c>
      <c r="J404">
        <v>9.7552977227166507E-2</v>
      </c>
      <c r="K404">
        <v>24.2143643661</v>
      </c>
      <c r="L404">
        <v>15.496804238521801</v>
      </c>
      <c r="M404">
        <v>0.12056695158803001</v>
      </c>
      <c r="N404">
        <v>2092.1210812310401</v>
      </c>
      <c r="O404">
        <v>1338.92388620829</v>
      </c>
      <c r="P404">
        <v>10416.984617205801</v>
      </c>
      <c r="Q404">
        <v>282.60326312839402</v>
      </c>
      <c r="R404">
        <v>2.0587530928668798</v>
      </c>
      <c r="S404">
        <v>581.81034201985199</v>
      </c>
    </row>
    <row r="405" spans="1:19" x14ac:dyDescent="0.75">
      <c r="A405" s="1">
        <v>45745</v>
      </c>
      <c r="B405">
        <v>0.22653574036192101</v>
      </c>
      <c r="C405">
        <v>-4.4440960337328201</v>
      </c>
      <c r="D405">
        <v>14.226991783373199</v>
      </c>
      <c r="E405" t="s">
        <v>21</v>
      </c>
      <c r="F405">
        <v>-4.2175602933708998</v>
      </c>
      <c r="G405">
        <v>6.4058333333333302</v>
      </c>
      <c r="H405">
        <v>64.11</v>
      </c>
      <c r="I405">
        <v>6.2586666666666702</v>
      </c>
      <c r="J405">
        <v>9.2782607837942996E-2</v>
      </c>
      <c r="K405">
        <v>22.074123242880201</v>
      </c>
      <c r="L405">
        <v>15.0682048950029</v>
      </c>
      <c r="M405">
        <v>0.11612079124131</v>
      </c>
      <c r="N405">
        <v>1907.20424818485</v>
      </c>
      <c r="O405">
        <v>1301.8929029282499</v>
      </c>
      <c r="P405">
        <v>10032.8363632492</v>
      </c>
      <c r="Q405">
        <v>493.63811838860101</v>
      </c>
      <c r="R405">
        <v>2.0488346081406901</v>
      </c>
      <c r="S405">
        <v>1011.38286085202</v>
      </c>
    </row>
    <row r="406" spans="1:19" x14ac:dyDescent="0.75">
      <c r="A406" s="1">
        <v>45747</v>
      </c>
      <c r="B406">
        <v>0.17641715486293999</v>
      </c>
      <c r="C406">
        <v>-9.9319614467240793</v>
      </c>
      <c r="D406">
        <v>13.4156633575189</v>
      </c>
      <c r="E406" t="s">
        <v>21</v>
      </c>
      <c r="F406">
        <v>-9.7555442918611401</v>
      </c>
      <c r="G406">
        <v>5.7016666666666698</v>
      </c>
      <c r="H406">
        <v>64.540000000000006</v>
      </c>
      <c r="I406">
        <v>5.6559999999999997</v>
      </c>
      <c r="J406">
        <v>0.190156855616742</v>
      </c>
      <c r="K406">
        <v>81.992320643610896</v>
      </c>
      <c r="L406">
        <v>14.2493414794658</v>
      </c>
      <c r="M406">
        <v>0.19912171394474101</v>
      </c>
      <c r="N406">
        <v>7084.1365036079796</v>
      </c>
      <c r="O406">
        <v>1231.1431038258399</v>
      </c>
      <c r="P406">
        <v>17204.1160848256</v>
      </c>
      <c r="Q406">
        <v>897.67318532395598</v>
      </c>
      <c r="R406">
        <v>2.1654221222830499</v>
      </c>
      <c r="S406">
        <v>1943.84137408079</v>
      </c>
    </row>
    <row r="407" spans="1:19" x14ac:dyDescent="0.75">
      <c r="A407" s="1">
        <v>45749</v>
      </c>
      <c r="B407">
        <v>0.17793444783118401</v>
      </c>
      <c r="C407">
        <v>-9.9867399348198607</v>
      </c>
      <c r="D407">
        <v>12.415757836411499</v>
      </c>
      <c r="E407" t="s">
        <v>21</v>
      </c>
      <c r="F407">
        <v>-9.80880548698868</v>
      </c>
      <c r="G407">
        <v>5.2520833333333297</v>
      </c>
      <c r="H407">
        <v>68.650000000000006</v>
      </c>
      <c r="I407">
        <v>5.1806666666666699</v>
      </c>
      <c r="J407">
        <v>0.19450449688778099</v>
      </c>
      <c r="K407">
        <v>85.477376672517096</v>
      </c>
      <c r="L407">
        <v>13.5036677013741</v>
      </c>
      <c r="M407">
        <v>0.20252631520533401</v>
      </c>
      <c r="N407">
        <v>7385.2453445054798</v>
      </c>
      <c r="O407">
        <v>1166.71688939872</v>
      </c>
      <c r="P407">
        <v>17498.273633740901</v>
      </c>
      <c r="Q407">
        <v>986.55206593163098</v>
      </c>
      <c r="R407">
        <v>2.1699017864307502</v>
      </c>
      <c r="S407">
        <v>2140.7210902719899</v>
      </c>
    </row>
    <row r="408" spans="1:19" x14ac:dyDescent="0.75">
      <c r="A408" s="1">
        <v>45751</v>
      </c>
      <c r="B408">
        <v>2.18218366602374E-2</v>
      </c>
      <c r="C408">
        <v>-2.9272277945458698</v>
      </c>
      <c r="D408">
        <v>4.48661131298784</v>
      </c>
      <c r="E408" t="s">
        <v>21</v>
      </c>
      <c r="F408">
        <v>-2.9054059578856299</v>
      </c>
      <c r="G408">
        <v>5.0625</v>
      </c>
      <c r="H408">
        <v>72.03</v>
      </c>
      <c r="I408">
        <v>4.9913333333333298</v>
      </c>
      <c r="J408">
        <v>0.16131153277458099</v>
      </c>
      <c r="K408">
        <v>60.746173042810703</v>
      </c>
      <c r="L408">
        <v>12.7087027772999</v>
      </c>
      <c r="M408">
        <v>0.175944695523895</v>
      </c>
      <c r="N408">
        <v>5248.4693508988503</v>
      </c>
      <c r="O408">
        <v>1098.03191995871</v>
      </c>
      <c r="P408">
        <v>15201.6216932645</v>
      </c>
      <c r="Q408">
        <v>2371.75329952948</v>
      </c>
      <c r="R408">
        <v>2.1403131858867002</v>
      </c>
      <c r="S408">
        <v>5076.29486065322</v>
      </c>
    </row>
    <row r="409" spans="1:19" x14ac:dyDescent="0.75">
      <c r="A409" s="1">
        <v>45752</v>
      </c>
      <c r="B409">
        <v>4.1635357752567798E-2</v>
      </c>
      <c r="C409">
        <v>-3.70479645228099</v>
      </c>
      <c r="D409">
        <v>6.3962647967961797</v>
      </c>
      <c r="E409" t="s">
        <v>21</v>
      </c>
      <c r="F409">
        <v>-3.6631610945284199</v>
      </c>
      <c r="G409">
        <v>5.1316666666666704</v>
      </c>
      <c r="H409">
        <v>72.03</v>
      </c>
      <c r="I409">
        <v>5.048</v>
      </c>
      <c r="J409">
        <v>0.14410591124212499</v>
      </c>
      <c r="K409">
        <v>49.428673919636303</v>
      </c>
      <c r="L409">
        <v>12.046371109256199</v>
      </c>
      <c r="M409">
        <v>0.161644142674082</v>
      </c>
      <c r="N409">
        <v>4270.6374266565699</v>
      </c>
      <c r="O409">
        <v>1040.80646383974</v>
      </c>
      <c r="P409">
        <v>13966.053927040701</v>
      </c>
      <c r="Q409">
        <v>1528.4291785145101</v>
      </c>
      <c r="R409">
        <v>2.1219599910062201</v>
      </c>
      <c r="S409">
        <v>3243.2655658942899</v>
      </c>
    </row>
    <row r="410" spans="1:19" x14ac:dyDescent="0.75">
      <c r="A410" s="1">
        <v>45753</v>
      </c>
      <c r="B410">
        <v>2.64095706163513E-2</v>
      </c>
      <c r="C410">
        <v>-2.6875426812794498</v>
      </c>
      <c r="D410">
        <v>5.1212671858271603</v>
      </c>
      <c r="E410" t="s">
        <v>21</v>
      </c>
      <c r="F410">
        <v>-2.6611331106631</v>
      </c>
      <c r="G410">
        <v>5.1229166666666703</v>
      </c>
      <c r="H410">
        <v>71.89</v>
      </c>
      <c r="I410">
        <v>5.056</v>
      </c>
      <c r="J410">
        <v>0.13092794928014101</v>
      </c>
      <c r="K410">
        <v>41.481614426577899</v>
      </c>
      <c r="L410">
        <v>11.4062772402966</v>
      </c>
      <c r="M410">
        <v>0.150402333431471</v>
      </c>
      <c r="N410">
        <v>3584.0114864563302</v>
      </c>
      <c r="O410">
        <v>985.50235356162796</v>
      </c>
      <c r="P410">
        <v>12994.761608479101</v>
      </c>
      <c r="Q410">
        <v>1776.18796205537</v>
      </c>
      <c r="R410">
        <v>2.1065351517146902</v>
      </c>
      <c r="S410">
        <v>3741.6023781221002</v>
      </c>
    </row>
    <row r="411" spans="1:19" x14ac:dyDescent="0.75">
      <c r="A411" s="1">
        <v>45754</v>
      </c>
      <c r="B411">
        <v>4.4522828138681803E-2</v>
      </c>
      <c r="C411">
        <v>-2.7889728531839602</v>
      </c>
      <c r="D411">
        <v>5.6929072592127996</v>
      </c>
      <c r="E411" t="s">
        <v>21</v>
      </c>
      <c r="F411">
        <v>-2.7444500250452801</v>
      </c>
      <c r="G411">
        <v>5.0958333333333297</v>
      </c>
      <c r="H411">
        <v>71.64</v>
      </c>
      <c r="I411">
        <v>5.0406666666666702</v>
      </c>
      <c r="J411">
        <v>0.11924714940339</v>
      </c>
      <c r="K411">
        <v>34.975650805889202</v>
      </c>
      <c r="L411">
        <v>10.784990357945199</v>
      </c>
      <c r="M411">
        <v>0.140197150960957</v>
      </c>
      <c r="N411">
        <v>3021.89622962883</v>
      </c>
      <c r="O411">
        <v>931.823166926466</v>
      </c>
      <c r="P411">
        <v>12113.0338430267</v>
      </c>
      <c r="Q411">
        <v>1489.4189039171399</v>
      </c>
      <c r="R411">
        <v>2.09208155329123</v>
      </c>
      <c r="S411">
        <v>3115.9858140083002</v>
      </c>
    </row>
    <row r="412" spans="1:19" x14ac:dyDescent="0.75">
      <c r="A412" s="1">
        <v>45755</v>
      </c>
      <c r="B412">
        <v>1.7672715567994102E-2</v>
      </c>
      <c r="C412">
        <v>-1.30792851426151</v>
      </c>
      <c r="D412">
        <v>3.1891453716456901</v>
      </c>
      <c r="E412" t="s">
        <v>21</v>
      </c>
      <c r="F412">
        <v>-1.2902557986935199</v>
      </c>
      <c r="G412">
        <v>5.3762499999999998</v>
      </c>
      <c r="H412">
        <v>71.239999999999995</v>
      </c>
      <c r="I412">
        <v>5.2733333333333299</v>
      </c>
      <c r="J412">
        <v>0.114641174282348</v>
      </c>
      <c r="K412">
        <v>32.507340051690598</v>
      </c>
      <c r="L412">
        <v>10.1785682155377</v>
      </c>
      <c r="M412">
        <v>0.13612694691629401</v>
      </c>
      <c r="N412">
        <v>2808.6341804660701</v>
      </c>
      <c r="O412">
        <v>879.42829382245804</v>
      </c>
      <c r="P412">
        <v>11761.368213567799</v>
      </c>
      <c r="Q412">
        <v>2581.55611929632</v>
      </c>
      <c r="R412">
        <v>2.0830356571685398</v>
      </c>
      <c r="S412">
        <v>5377.4734474758798</v>
      </c>
    </row>
    <row r="413" spans="1:19" x14ac:dyDescent="0.75">
      <c r="A413" s="1">
        <v>45756</v>
      </c>
      <c r="B413">
        <v>1.9084829787419402E-2</v>
      </c>
      <c r="C413">
        <v>-1.8034007230111999</v>
      </c>
      <c r="D413">
        <v>5.2834316148193503</v>
      </c>
      <c r="E413" t="s">
        <v>21</v>
      </c>
      <c r="F413">
        <v>-1.7843158932237799</v>
      </c>
      <c r="G413">
        <v>6.0566666666666702</v>
      </c>
      <c r="H413">
        <v>65.8</v>
      </c>
      <c r="I413">
        <v>5.9206666666666701</v>
      </c>
      <c r="J413">
        <v>0.10400838786526</v>
      </c>
      <c r="K413">
        <v>27.2695108870826</v>
      </c>
      <c r="L413">
        <v>9.5835283895205698</v>
      </c>
      <c r="M413">
        <v>0.12648919350955501</v>
      </c>
      <c r="N413">
        <v>2356.08574064394</v>
      </c>
      <c r="O413">
        <v>828.01685285457802</v>
      </c>
      <c r="P413">
        <v>10928.6663192256</v>
      </c>
      <c r="Q413">
        <v>1447.93516433532</v>
      </c>
      <c r="R413">
        <v>2.0727912182342001</v>
      </c>
      <c r="S413">
        <v>3001.2672932067499</v>
      </c>
    </row>
    <row r="414" spans="1:19" x14ac:dyDescent="0.75">
      <c r="A414" s="1">
        <v>45757</v>
      </c>
      <c r="B414">
        <v>0.18167276795943299</v>
      </c>
      <c r="C414">
        <v>-5.8287235418528702</v>
      </c>
      <c r="D414">
        <v>17.873568656236301</v>
      </c>
      <c r="E414" t="s">
        <v>21</v>
      </c>
      <c r="F414">
        <v>-5.6470507738934304</v>
      </c>
      <c r="G414">
        <v>6.0858333333333299</v>
      </c>
      <c r="H414">
        <v>64.290000000000006</v>
      </c>
      <c r="I414">
        <v>5.9993333333333299</v>
      </c>
      <c r="J414">
        <v>9.2861869360102503E-2</v>
      </c>
      <c r="K414">
        <v>22.122945558092798</v>
      </c>
      <c r="L414">
        <v>8.9974581416343593</v>
      </c>
      <c r="M414">
        <v>0.116186101783536</v>
      </c>
      <c r="N414">
        <v>1911.42249621922</v>
      </c>
      <c r="O414">
        <v>777.38038343720905</v>
      </c>
      <c r="P414">
        <v>10038.479194097499</v>
      </c>
      <c r="Q414">
        <v>393.14675043455702</v>
      </c>
      <c r="R414">
        <v>2.0504602185790302</v>
      </c>
      <c r="S414">
        <v>806.131771829679</v>
      </c>
    </row>
    <row r="415" spans="1:19" x14ac:dyDescent="0.75">
      <c r="A415" s="1">
        <v>45758</v>
      </c>
      <c r="B415">
        <v>9.5501790270146603E-2</v>
      </c>
      <c r="C415">
        <v>-2.6344395580843298</v>
      </c>
      <c r="D415">
        <v>8.4047339287443492</v>
      </c>
      <c r="E415" t="s">
        <v>21</v>
      </c>
      <c r="F415">
        <v>-2.53893776781418</v>
      </c>
      <c r="G415">
        <v>5.9637500000000001</v>
      </c>
      <c r="H415">
        <v>66.02</v>
      </c>
      <c r="I415">
        <v>5.8453333333333299</v>
      </c>
      <c r="J415">
        <v>8.7008259168033397E-2</v>
      </c>
      <c r="K415">
        <v>19.670756975323201</v>
      </c>
      <c r="L415">
        <v>8.4175269508535209</v>
      </c>
      <c r="M415">
        <v>0.11061562871789</v>
      </c>
      <c r="N415">
        <v>1699.55340266792</v>
      </c>
      <c r="O415">
        <v>727.274328553744</v>
      </c>
      <c r="P415">
        <v>9557.1903212257093</v>
      </c>
      <c r="Q415">
        <v>795.98393971496898</v>
      </c>
      <c r="R415">
        <v>2.0438268546760399</v>
      </c>
      <c r="S415">
        <v>1626.8533518802799</v>
      </c>
    </row>
    <row r="416" spans="1:19" x14ac:dyDescent="0.75">
      <c r="A416" s="1">
        <v>45759</v>
      </c>
      <c r="B416">
        <v>5.0482493959882697E-2</v>
      </c>
      <c r="C416">
        <v>-3.2431172567687199</v>
      </c>
      <c r="D416">
        <v>11.0601848681787</v>
      </c>
      <c r="E416" t="s">
        <v>21</v>
      </c>
      <c r="F416">
        <v>-3.1926347628088401</v>
      </c>
      <c r="G416">
        <v>6.23</v>
      </c>
      <c r="H416">
        <v>64.36</v>
      </c>
      <c r="I416">
        <v>6.09866666666667</v>
      </c>
      <c r="J416">
        <v>8.8666879909517299E-2</v>
      </c>
      <c r="K416">
        <v>20.308067957960599</v>
      </c>
      <c r="L416">
        <v>7.8419405846568297</v>
      </c>
      <c r="M416">
        <v>0.112233698471686</v>
      </c>
      <c r="N416">
        <v>1754.6170715677999</v>
      </c>
      <c r="O416">
        <v>677.54366651434998</v>
      </c>
      <c r="P416">
        <v>9696.9915479536703</v>
      </c>
      <c r="Q416">
        <v>613.72338387372304</v>
      </c>
      <c r="R416">
        <v>2.0407222849492301</v>
      </c>
      <c r="S416">
        <v>1252.4389862655601</v>
      </c>
    </row>
    <row r="417" spans="1:19" x14ac:dyDescent="0.75">
      <c r="A417" s="1">
        <v>45760</v>
      </c>
      <c r="B417">
        <v>5.8541599546033399E-2</v>
      </c>
      <c r="C417">
        <v>-2.5210139078368101</v>
      </c>
      <c r="D417">
        <v>9.7351753019691802</v>
      </c>
      <c r="E417" t="s">
        <v>21</v>
      </c>
      <c r="F417">
        <v>-2.46247230829078</v>
      </c>
      <c r="G417">
        <v>6.5991666666666697</v>
      </c>
      <c r="H417">
        <v>62.13</v>
      </c>
      <c r="I417">
        <v>6.4420000000000002</v>
      </c>
      <c r="J417">
        <v>8.4272268847567902E-2</v>
      </c>
      <c r="K417">
        <v>18.566758473317599</v>
      </c>
      <c r="L417">
        <v>7.2715432318439399</v>
      </c>
      <c r="M417">
        <v>0.107982995452167</v>
      </c>
      <c r="N417">
        <v>1604.16793209464</v>
      </c>
      <c r="O417">
        <v>628.26133523131705</v>
      </c>
      <c r="P417">
        <v>9329.7308070672698</v>
      </c>
      <c r="Q417">
        <v>670.84683761432302</v>
      </c>
      <c r="R417">
        <v>2.0403094014949001</v>
      </c>
      <c r="S417">
        <v>1368.7351097476201</v>
      </c>
    </row>
    <row r="418" spans="1:19" x14ac:dyDescent="0.75">
      <c r="A418" s="1">
        <v>45761</v>
      </c>
      <c r="B418">
        <v>0.18604398002816699</v>
      </c>
      <c r="C418">
        <v>-4.1771487515560297</v>
      </c>
      <c r="D418">
        <v>16.941869259484399</v>
      </c>
      <c r="E418" t="s">
        <v>21</v>
      </c>
      <c r="F418">
        <v>-3.99110477152787</v>
      </c>
      <c r="G418">
        <v>6.5908333333333298</v>
      </c>
      <c r="H418">
        <v>61.48</v>
      </c>
      <c r="I418">
        <v>6.4240000000000004</v>
      </c>
      <c r="J418">
        <v>7.5753123021397306E-2</v>
      </c>
      <c r="K418">
        <v>15.278635274314301</v>
      </c>
      <c r="L418">
        <v>6.7091039403036898</v>
      </c>
      <c r="M418">
        <v>9.9672082290987701E-2</v>
      </c>
      <c r="N418">
        <v>1320.0740877007499</v>
      </c>
      <c r="O418">
        <v>579.66658044223902</v>
      </c>
      <c r="P418">
        <v>8611.6679099413395</v>
      </c>
      <c r="Q418">
        <v>355.81478316415598</v>
      </c>
      <c r="R418">
        <v>2.0235339277640501</v>
      </c>
      <c r="S418">
        <v>720.00328573267802</v>
      </c>
    </row>
    <row r="419" spans="1:19" x14ac:dyDescent="0.75">
      <c r="A419" s="1">
        <v>45762</v>
      </c>
      <c r="B419">
        <v>0.17394671199096401</v>
      </c>
      <c r="C419">
        <v>-2.9703819381418399</v>
      </c>
      <c r="D419">
        <v>11.6143600647783</v>
      </c>
      <c r="E419" t="s">
        <v>21</v>
      </c>
      <c r="F419">
        <v>-2.79643522615088</v>
      </c>
      <c r="G419">
        <v>6.15625</v>
      </c>
      <c r="H419">
        <v>63.82</v>
      </c>
      <c r="I419">
        <v>5.9986666666666704</v>
      </c>
      <c r="J419">
        <v>6.9450364203758594E-2</v>
      </c>
      <c r="K419">
        <v>13.033725946527399</v>
      </c>
      <c r="L419">
        <v>6.1571450645138697</v>
      </c>
      <c r="M419">
        <v>9.3373578887960204E-2</v>
      </c>
      <c r="N419">
        <v>1126.11392177996</v>
      </c>
      <c r="O419">
        <v>531.97733357399795</v>
      </c>
      <c r="P419">
        <v>8067.4772159197701</v>
      </c>
      <c r="Q419">
        <v>486.22860145946498</v>
      </c>
      <c r="R419">
        <v>2.0098796474621698</v>
      </c>
      <c r="S419">
        <v>977.26097008737304</v>
      </c>
    </row>
    <row r="420" spans="1:19" x14ac:dyDescent="0.75">
      <c r="A420" s="1">
        <v>45763</v>
      </c>
      <c r="B420">
        <v>8.1125937963259301E-2</v>
      </c>
      <c r="C420">
        <v>-1.75391865223294</v>
      </c>
      <c r="D420">
        <v>7.5649356810983504</v>
      </c>
      <c r="E420" t="s">
        <v>21</v>
      </c>
      <c r="F420">
        <v>-1.6727927142696799</v>
      </c>
      <c r="G420">
        <v>6.0045833333333301</v>
      </c>
      <c r="H420">
        <v>66.849999999999994</v>
      </c>
      <c r="I420">
        <v>5.8233333333333297</v>
      </c>
      <c r="J420">
        <v>6.5303247809292794E-2</v>
      </c>
      <c r="K420">
        <v>11.643322428175001</v>
      </c>
      <c r="L420">
        <v>5.6178817749021199</v>
      </c>
      <c r="M420">
        <v>8.91536259021488E-2</v>
      </c>
      <c r="N420">
        <v>1005.98305779432</v>
      </c>
      <c r="O420">
        <v>485.38498535154298</v>
      </c>
      <c r="P420">
        <v>7702.8732779456504</v>
      </c>
      <c r="Q420">
        <v>712.76366672017696</v>
      </c>
      <c r="R420">
        <v>1.9998762933773799</v>
      </c>
      <c r="S420">
        <v>1425.43915985442</v>
      </c>
    </row>
    <row r="421" spans="1:19" x14ac:dyDescent="0.75">
      <c r="A421" s="1">
        <v>45764</v>
      </c>
      <c r="B421">
        <v>0.154699993453664</v>
      </c>
      <c r="C421">
        <v>-2.23577049006852</v>
      </c>
      <c r="D421">
        <v>10.5911753961781</v>
      </c>
      <c r="E421" t="s">
        <v>21</v>
      </c>
      <c r="F421">
        <v>-2.0810704966148501</v>
      </c>
      <c r="G421">
        <v>6.415</v>
      </c>
      <c r="H421">
        <v>62.46</v>
      </c>
      <c r="I421">
        <v>6.1793333333333296</v>
      </c>
      <c r="J421">
        <v>6.08196651241786E-2</v>
      </c>
      <c r="K421">
        <v>10.254749491904001</v>
      </c>
      <c r="L421">
        <v>5.0933896152970899</v>
      </c>
      <c r="M421">
        <v>8.4481035940689106E-2</v>
      </c>
      <c r="N421">
        <v>886.01035610050599</v>
      </c>
      <c r="O421">
        <v>440.06886276166802</v>
      </c>
      <c r="P421">
        <v>7299.1615052755396</v>
      </c>
      <c r="Q421">
        <v>482.42172021215401</v>
      </c>
      <c r="R421">
        <v>1.9958219762426801</v>
      </c>
      <c r="S421">
        <v>962.82787101621602</v>
      </c>
    </row>
    <row r="422" spans="1:19" x14ac:dyDescent="0.75">
      <c r="A422" s="1">
        <v>45765</v>
      </c>
      <c r="B422">
        <v>0.19939505027894999</v>
      </c>
      <c r="C422">
        <v>-2.3747815834980299</v>
      </c>
      <c r="D422">
        <v>10.705319094312401</v>
      </c>
      <c r="E422" t="s">
        <v>21</v>
      </c>
      <c r="F422">
        <v>-2.17538653321908</v>
      </c>
      <c r="G422">
        <v>6.0179166666666699</v>
      </c>
      <c r="H422">
        <v>64.08</v>
      </c>
      <c r="I422">
        <v>5.8026666666666697</v>
      </c>
      <c r="J422">
        <v>5.5899579526431799E-2</v>
      </c>
      <c r="K422">
        <v>8.7660364833648892</v>
      </c>
      <c r="L422">
        <v>4.5849444460525399</v>
      </c>
      <c r="M422">
        <v>7.9317472323093302E-2</v>
      </c>
      <c r="N422">
        <v>757.38555216272698</v>
      </c>
      <c r="O422">
        <v>396.13920013894</v>
      </c>
      <c r="P422">
        <v>6853.0296087152601</v>
      </c>
      <c r="Q422">
        <v>448.10628098412701</v>
      </c>
      <c r="R422">
        <v>1.97708739351628</v>
      </c>
      <c r="S422">
        <v>885.94527908918201</v>
      </c>
    </row>
    <row r="423" spans="1:19" x14ac:dyDescent="0.75">
      <c r="A423" s="1">
        <v>45766</v>
      </c>
      <c r="B423">
        <v>9.2371463693341094E-2</v>
      </c>
      <c r="C423">
        <v>-1.4265901991799399</v>
      </c>
      <c r="D423">
        <v>6.2969339001365299</v>
      </c>
      <c r="E423" t="s">
        <v>21</v>
      </c>
      <c r="F423">
        <v>-1.3342187354866</v>
      </c>
      <c r="G423">
        <v>5.3250000000000002</v>
      </c>
      <c r="H423">
        <v>67.819999999999993</v>
      </c>
      <c r="I423">
        <v>5.1233333333333304</v>
      </c>
      <c r="J423">
        <v>5.1093982794026202E-2</v>
      </c>
      <c r="K423">
        <v>7.4673883528689702</v>
      </c>
      <c r="L423">
        <v>4.0936844945466504</v>
      </c>
      <c r="M423">
        <v>7.4099362436536004E-2</v>
      </c>
      <c r="N423">
        <v>645.18235368787896</v>
      </c>
      <c r="O423">
        <v>353.694340328831</v>
      </c>
      <c r="P423">
        <v>6402.1849145167098</v>
      </c>
      <c r="Q423">
        <v>711.70025146119497</v>
      </c>
      <c r="R423">
        <v>1.97235238414495</v>
      </c>
      <c r="S423">
        <v>1403.72368776605</v>
      </c>
    </row>
    <row r="424" spans="1:19" x14ac:dyDescent="0.75">
      <c r="A424" s="1">
        <v>45767</v>
      </c>
      <c r="B424">
        <v>7.6956810446832002E-2</v>
      </c>
      <c r="C424">
        <v>-0.889858144927552</v>
      </c>
      <c r="D424">
        <v>4.1805680308630402</v>
      </c>
      <c r="E424" t="s">
        <v>21</v>
      </c>
      <c r="F424">
        <v>-0.81290133448071999</v>
      </c>
      <c r="G424">
        <v>4.9041666666666703</v>
      </c>
      <c r="H424">
        <v>69.260000000000005</v>
      </c>
      <c r="I424">
        <v>4.7126666666666699</v>
      </c>
      <c r="J424">
        <v>4.3490747890586802E-2</v>
      </c>
      <c r="K424">
        <v>5.5724959959015203</v>
      </c>
      <c r="L424">
        <v>3.6204992370612601</v>
      </c>
      <c r="M424">
        <v>6.5633281500754606E-2</v>
      </c>
      <c r="N424">
        <v>481.46365404589199</v>
      </c>
      <c r="O424">
        <v>312.81113408209302</v>
      </c>
      <c r="P424">
        <v>5670.7155216652</v>
      </c>
      <c r="Q424">
        <v>949.51232365094904</v>
      </c>
      <c r="R424">
        <v>1.9522200577977999</v>
      </c>
      <c r="S424">
        <v>1853.6570033575799</v>
      </c>
    </row>
    <row r="425" spans="1:19" x14ac:dyDescent="0.75">
      <c r="A425" s="1">
        <v>45768</v>
      </c>
      <c r="B425">
        <v>5.3965860239825102E-2</v>
      </c>
      <c r="C425">
        <v>-0.76489902051141001</v>
      </c>
      <c r="D425">
        <v>3.6153720275191401</v>
      </c>
      <c r="E425" t="s">
        <v>21</v>
      </c>
      <c r="F425">
        <v>-0.71093316027158504</v>
      </c>
      <c r="G425">
        <v>4.4775</v>
      </c>
      <c r="H425">
        <v>69.33</v>
      </c>
      <c r="I425">
        <v>4.3366666666666696</v>
      </c>
      <c r="J425">
        <v>4.0217540586596101E-2</v>
      </c>
      <c r="K425">
        <v>4.81709460445862</v>
      </c>
      <c r="L425">
        <v>3.1660497462747998</v>
      </c>
      <c r="M425">
        <v>6.1905012630344397E-2</v>
      </c>
      <c r="N425">
        <v>416.19697382522497</v>
      </c>
      <c r="O425">
        <v>273.54669807814298</v>
      </c>
      <c r="P425">
        <v>5348.5930912617596</v>
      </c>
      <c r="Q425">
        <v>1035.5822679892699</v>
      </c>
      <c r="R425">
        <v>1.93483462319938</v>
      </c>
      <c r="S425">
        <v>2003.68042727697</v>
      </c>
    </row>
    <row r="426" spans="1:19" x14ac:dyDescent="0.75">
      <c r="A426" s="1">
        <v>45769</v>
      </c>
      <c r="B426">
        <v>5.59837465208557E-2</v>
      </c>
      <c r="C426">
        <v>-0.54090850465163698</v>
      </c>
      <c r="D426">
        <v>2.69457736111187</v>
      </c>
      <c r="E426" t="s">
        <v>21</v>
      </c>
      <c r="F426">
        <v>-0.48492475813078101</v>
      </c>
      <c r="G426">
        <v>4.2762500000000001</v>
      </c>
      <c r="H426">
        <v>69.94</v>
      </c>
      <c r="I426">
        <v>4.1506666666666696</v>
      </c>
      <c r="J426">
        <v>3.5637985972941703E-2</v>
      </c>
      <c r="K426">
        <v>3.8776278412587999</v>
      </c>
      <c r="M426">
        <v>5.6498447946120502E-2</v>
      </c>
      <c r="N426">
        <v>335.027045484761</v>
      </c>
      <c r="P426">
        <v>4881.46590254481</v>
      </c>
      <c r="Q426">
        <v>1268.1120910076199</v>
      </c>
      <c r="R426">
        <v>1.92582337974495</v>
      </c>
      <c r="S426">
        <v>2442.1599129997398</v>
      </c>
    </row>
    <row r="427" spans="1:19" x14ac:dyDescent="0.75">
      <c r="A427" s="1">
        <v>45770</v>
      </c>
      <c r="B427">
        <v>4.5739745745114101E-2</v>
      </c>
      <c r="C427">
        <v>-0.42377785007570201</v>
      </c>
      <c r="D427">
        <v>2.3033243974998401</v>
      </c>
      <c r="E427" t="s">
        <v>21</v>
      </c>
      <c r="F427">
        <v>-0.37803810433058799</v>
      </c>
      <c r="G427">
        <v>4.0429166666666703</v>
      </c>
      <c r="H427">
        <v>69.400000000000006</v>
      </c>
      <c r="I427">
        <v>3.9460000000000002</v>
      </c>
      <c r="J427">
        <v>3.0952749329741E-2</v>
      </c>
      <c r="K427">
        <v>3.0164123346935598</v>
      </c>
      <c r="M427">
        <v>5.07781315008691E-2</v>
      </c>
      <c r="N427">
        <v>260.61802571752298</v>
      </c>
      <c r="P427">
        <v>4387.23056167509</v>
      </c>
      <c r="Q427">
        <v>1333.3169207542201</v>
      </c>
      <c r="R427">
        <v>1.9191758121583999</v>
      </c>
      <c r="S427">
        <v>2558.8695842530201</v>
      </c>
    </row>
    <row r="428" spans="1:19" x14ac:dyDescent="0.75">
      <c r="A428" s="1">
        <v>45771</v>
      </c>
      <c r="B428">
        <v>3.5589346876159202E-2</v>
      </c>
      <c r="C428">
        <v>-0.33745390028426903</v>
      </c>
      <c r="D428">
        <v>2.0116160685712599</v>
      </c>
      <c r="E428" t="s">
        <v>21</v>
      </c>
      <c r="F428">
        <v>-0.30186455340810903</v>
      </c>
      <c r="G428">
        <v>3.74583333333333</v>
      </c>
      <c r="H428">
        <v>69.8</v>
      </c>
      <c r="I428">
        <v>3.70733333333333</v>
      </c>
      <c r="J428">
        <v>2.69368322069976E-2</v>
      </c>
      <c r="K428">
        <v>2.3444848877743398</v>
      </c>
      <c r="M428">
        <v>4.5729629277423897E-2</v>
      </c>
      <c r="N428">
        <v>202.56349430370301</v>
      </c>
      <c r="P428">
        <v>3951.03996956943</v>
      </c>
      <c r="Q428">
        <v>1374.87864702877</v>
      </c>
      <c r="R428">
        <v>1.9032824193225699</v>
      </c>
      <c r="S428">
        <v>2616.7823575918701</v>
      </c>
    </row>
    <row r="429" spans="1:19" x14ac:dyDescent="0.75">
      <c r="A429" s="1">
        <v>45772</v>
      </c>
      <c r="B429">
        <v>3.3659114877621903E-2</v>
      </c>
      <c r="C429">
        <v>-0.20798155362920001</v>
      </c>
      <c r="D429">
        <v>1.51546953182804</v>
      </c>
      <c r="E429" t="s">
        <v>21</v>
      </c>
      <c r="F429">
        <v>-0.17432243875157899</v>
      </c>
      <c r="G429">
        <v>3.5645833333333301</v>
      </c>
      <c r="H429">
        <v>68.58</v>
      </c>
      <c r="I429">
        <v>3.5413333333333301</v>
      </c>
      <c r="J429">
        <v>2.04667435092446E-2</v>
      </c>
      <c r="K429">
        <v>1.49775957571333</v>
      </c>
      <c r="M429">
        <v>3.6929650114874903E-2</v>
      </c>
      <c r="N429">
        <v>129.406427341632</v>
      </c>
      <c r="P429">
        <v>3190.7217699251901</v>
      </c>
      <c r="Q429">
        <v>1473.8041194754001</v>
      </c>
      <c r="R429">
        <v>1.98160990724744</v>
      </c>
      <c r="S429">
        <v>2920.5048444945501</v>
      </c>
    </row>
    <row r="430" spans="1:19" x14ac:dyDescent="0.75">
      <c r="A430" s="1">
        <v>45773</v>
      </c>
      <c r="B430">
        <v>2.902418558267E-2</v>
      </c>
      <c r="C430">
        <v>-0.124578993368629</v>
      </c>
      <c r="D430">
        <v>1.2110474284513799</v>
      </c>
      <c r="E430" t="s">
        <v>21</v>
      </c>
      <c r="F430">
        <v>-9.5554807785958901E-2</v>
      </c>
      <c r="G430">
        <v>3.12666666666667</v>
      </c>
      <c r="H430">
        <v>68.319999999999993</v>
      </c>
      <c r="I430">
        <v>3.1606666666666698</v>
      </c>
      <c r="J430">
        <v>1.2173639801825E-2</v>
      </c>
      <c r="K430">
        <v>0.68944318372129498</v>
      </c>
      <c r="M430">
        <v>2.4153573587662999E-2</v>
      </c>
      <c r="N430">
        <v>59.567891073519903</v>
      </c>
      <c r="P430">
        <v>2086.8687579740799</v>
      </c>
      <c r="Q430">
        <v>1206.2352772177201</v>
      </c>
      <c r="R430">
        <v>2.3447505143271399</v>
      </c>
      <c r="S430">
        <v>2828.3207866558</v>
      </c>
    </row>
    <row r="431" spans="1:19" x14ac:dyDescent="0.75">
      <c r="A431" s="1">
        <v>45789</v>
      </c>
      <c r="B431">
        <v>0.146326790589555</v>
      </c>
      <c r="C431">
        <v>-4.0682553632807998</v>
      </c>
      <c r="D431">
        <v>12.043570511523299</v>
      </c>
      <c r="E431" t="s">
        <v>21</v>
      </c>
      <c r="F431">
        <v>-3.9219285726912498</v>
      </c>
      <c r="G431">
        <v>4.7929166666666703</v>
      </c>
      <c r="H431">
        <v>69.08</v>
      </c>
      <c r="I431">
        <v>5.16</v>
      </c>
      <c r="J431">
        <v>6.1992148529751497E-2</v>
      </c>
      <c r="K431">
        <v>10.5732756366472</v>
      </c>
      <c r="M431">
        <v>8.5747987529162406E-2</v>
      </c>
      <c r="N431">
        <v>913.53101500632204</v>
      </c>
      <c r="P431">
        <v>7408.6261225196404</v>
      </c>
      <c r="Q431">
        <v>430.606378797861</v>
      </c>
      <c r="R431">
        <v>1.9890647892503699</v>
      </c>
      <c r="S431">
        <v>856.50398609342994</v>
      </c>
    </row>
    <row r="432" spans="1:19" x14ac:dyDescent="0.75">
      <c r="A432" s="1">
        <v>45790</v>
      </c>
      <c r="B432">
        <v>3.1400505405421802E-2</v>
      </c>
      <c r="C432">
        <v>-0.75165870469193397</v>
      </c>
      <c r="D432">
        <v>2.5401550261056598</v>
      </c>
      <c r="E432" t="s">
        <v>21</v>
      </c>
      <c r="F432">
        <v>-0.72025819928651202</v>
      </c>
      <c r="G432">
        <v>4.0025000000000004</v>
      </c>
      <c r="H432">
        <v>71.92</v>
      </c>
      <c r="I432">
        <v>3.9060000000000001</v>
      </c>
      <c r="J432">
        <v>5.4945505648587002E-2</v>
      </c>
      <c r="K432">
        <v>8.5896799184782804</v>
      </c>
      <c r="M432">
        <v>7.8190087696379001E-2</v>
      </c>
      <c r="N432">
        <v>742.14834495652303</v>
      </c>
      <c r="P432">
        <v>6755.6235769671503</v>
      </c>
      <c r="Q432">
        <v>1861.67240002158</v>
      </c>
      <c r="R432">
        <v>1.99936969979677</v>
      </c>
      <c r="S432">
        <v>3722.17138755108</v>
      </c>
    </row>
    <row r="433" spans="1:19" x14ac:dyDescent="0.75">
      <c r="A433" s="1">
        <v>45791</v>
      </c>
      <c r="B433">
        <v>2.57281243537619E-2</v>
      </c>
      <c r="C433">
        <v>-0.48122400089287098</v>
      </c>
      <c r="D433">
        <v>2.0370196927243298</v>
      </c>
      <c r="E433" t="s">
        <v>21</v>
      </c>
      <c r="F433">
        <v>-0.45549587653911</v>
      </c>
      <c r="G433">
        <v>3.4537499999999999</v>
      </c>
      <c r="H433">
        <v>70.27</v>
      </c>
      <c r="I433">
        <v>3.4</v>
      </c>
      <c r="J433">
        <v>3.8021702861587701E-2</v>
      </c>
      <c r="K433">
        <v>4.4182853084823703</v>
      </c>
      <c r="M433">
        <v>5.9225533024099997E-2</v>
      </c>
      <c r="N433">
        <v>381.73985065287701</v>
      </c>
      <c r="P433">
        <v>5117.0860532822398</v>
      </c>
      <c r="Q433">
        <v>1758.43181589816</v>
      </c>
      <c r="R433">
        <v>1.96206420707427</v>
      </c>
      <c r="S433">
        <v>3450.1561265544001</v>
      </c>
    </row>
    <row r="434" spans="1:19" x14ac:dyDescent="0.75">
      <c r="A434" s="1">
        <v>45792</v>
      </c>
      <c r="B434">
        <v>1.9258035766668301E-2</v>
      </c>
      <c r="C434">
        <v>-0.146998054693603</v>
      </c>
      <c r="D434">
        <v>0.90403379516600302</v>
      </c>
      <c r="E434" t="s">
        <v>21</v>
      </c>
      <c r="F434">
        <v>-0.12774001892693501</v>
      </c>
      <c r="G434">
        <v>2.8358333333333299</v>
      </c>
      <c r="H434">
        <v>70.739999999999995</v>
      </c>
      <c r="I434">
        <v>2.9026666666666698</v>
      </c>
      <c r="J434">
        <v>2.3076502516641399E-2</v>
      </c>
      <c r="K434">
        <v>1.9875663485877799</v>
      </c>
      <c r="M434">
        <v>4.0008996619462597E-2</v>
      </c>
      <c r="N434">
        <v>171.725732517984</v>
      </c>
      <c r="P434">
        <v>3456.7773079215699</v>
      </c>
      <c r="Q434">
        <v>2676.6080300137201</v>
      </c>
      <c r="R434">
        <v>2.1527519315641199</v>
      </c>
      <c r="S434">
        <v>5762.0731066520702</v>
      </c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8AD18-551D-472C-9CB9-45F864638CC2}">
  <dimension ref="A1:D6"/>
  <sheetViews>
    <sheetView workbookViewId="0">
      <selection activeCell="F17" sqref="F17"/>
    </sheetView>
  </sheetViews>
  <sheetFormatPr defaultRowHeight="14.75" x14ac:dyDescent="0.75"/>
  <sheetData>
    <row r="1" spans="1:4" x14ac:dyDescent="0.75">
      <c r="A1" t="s">
        <v>29</v>
      </c>
      <c r="B1" t="s">
        <v>30</v>
      </c>
      <c r="C1" t="s">
        <v>31</v>
      </c>
      <c r="D1" t="s">
        <v>32</v>
      </c>
    </row>
    <row r="2" spans="1:4" x14ac:dyDescent="0.75">
      <c r="A2">
        <v>19864100</v>
      </c>
      <c r="B2">
        <v>0</v>
      </c>
    </row>
    <row r="3" spans="1:4" x14ac:dyDescent="0.75">
      <c r="A3">
        <v>19268200</v>
      </c>
      <c r="B3">
        <v>904.88</v>
      </c>
      <c r="C3">
        <f>$A$2-A3</f>
        <v>595900</v>
      </c>
      <c r="D3">
        <f>C3/$A$2</f>
        <v>2.9998842132288903E-2</v>
      </c>
    </row>
    <row r="4" spans="1:4" x14ac:dyDescent="0.75">
      <c r="A4">
        <v>5821280</v>
      </c>
      <c r="B4">
        <v>2002.8</v>
      </c>
      <c r="C4">
        <f>$A$2-A4</f>
        <v>14042820</v>
      </c>
      <c r="D4">
        <f t="shared" ref="D4:D6" si="0">C4/$A$2</f>
        <v>0.70694468916286168</v>
      </c>
    </row>
    <row r="5" spans="1:4" x14ac:dyDescent="0.75">
      <c r="A5">
        <v>1960760</v>
      </c>
      <c r="B5">
        <v>3140.96</v>
      </c>
      <c r="C5">
        <f>$A$2-A5</f>
        <v>17903340</v>
      </c>
      <c r="D5">
        <f t="shared" si="0"/>
        <v>0.90129127420824506</v>
      </c>
    </row>
    <row r="6" spans="1:4" x14ac:dyDescent="0.75">
      <c r="A6">
        <v>262193</v>
      </c>
      <c r="B6">
        <v>8475.9599999999991</v>
      </c>
      <c r="C6">
        <f t="shared" ref="C4:C6" si="1">$A$2-A6</f>
        <v>19601907</v>
      </c>
      <c r="D6">
        <f t="shared" si="0"/>
        <v>0.98680066048801607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5</vt:lpstr>
      <vt:lpstr>Sheet1</vt:lpstr>
      <vt:lpstr>6</vt:lpstr>
      <vt:lpstr>Sheet2</vt:lpstr>
      <vt:lpstr>9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19126</dc:creator>
  <cp:lastModifiedBy>Howley,Samantha T</cp:lastModifiedBy>
  <dcterms:created xsi:type="dcterms:W3CDTF">2025-07-10T13:23:23Z</dcterms:created>
  <dcterms:modified xsi:type="dcterms:W3CDTF">2025-07-10T20:34:12Z</dcterms:modified>
</cp:coreProperties>
</file>