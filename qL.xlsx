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Howley_Bradford_Streams\Howley_Bradford_Streams\"/>
    </mc:Choice>
  </mc:AlternateContent>
  <xr:revisionPtr revIDLastSave="0" documentId="13_ncr:1_{A58260B2-4D70-45C2-8F93-C9254C470525}" xr6:coauthVersionLast="47" xr6:coauthVersionMax="47" xr10:uidLastSave="{00000000-0000-0000-0000-000000000000}"/>
  <bookViews>
    <workbookView xWindow="-90" yWindow="-90" windowWidth="19380" windowHeight="10260" activeTab="4" xr2:uid="{00000000-000D-0000-FFFF-FFFF00000000}"/>
  </bookViews>
  <sheets>
    <sheet name="Sheet 1" sheetId="1" r:id="rId1"/>
    <sheet name="6" sheetId="2" r:id="rId2"/>
    <sheet name="5" sheetId="3" r:id="rId3"/>
    <sheet name="Sheet1" sheetId="8" r:id="rId4"/>
    <sheet name="9" sheetId="4" r:id="rId5"/>
    <sheet name="TransportModel" sheetId="5" r:id="rId6"/>
    <sheet name="Sheet2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3" l="1"/>
  <c r="T4" i="3"/>
  <c r="V3" i="3"/>
  <c r="T6" i="3"/>
  <c r="V6" i="3" s="1"/>
  <c r="S3" i="2"/>
  <c r="S4" i="2"/>
  <c r="S5" i="2"/>
  <c r="S6" i="2"/>
  <c r="S2" i="2"/>
  <c r="R3" i="2"/>
  <c r="R4" i="2"/>
  <c r="R5" i="2"/>
  <c r="R6" i="2"/>
  <c r="R2" i="2"/>
  <c r="S4" i="4"/>
  <c r="S5" i="4"/>
  <c r="S6" i="4"/>
  <c r="S3" i="4"/>
  <c r="R4" i="4"/>
  <c r="R5" i="4"/>
  <c r="R6" i="4"/>
  <c r="R3" i="4"/>
  <c r="D4" i="8"/>
  <c r="D5" i="8"/>
  <c r="D6" i="8"/>
  <c r="D3" i="8"/>
  <c r="C4" i="8"/>
  <c r="C5" i="8"/>
  <c r="C6" i="8"/>
  <c r="C3" i="8"/>
  <c r="V5" i="3"/>
  <c r="U2" i="3"/>
  <c r="U3" i="3"/>
  <c r="U4" i="3"/>
  <c r="U5" i="3"/>
  <c r="U6" i="3"/>
  <c r="T5" i="3"/>
  <c r="E4" i="7" l="1"/>
  <c r="L501" i="7"/>
  <c r="E501" i="7"/>
  <c r="D501" i="7"/>
  <c r="C501" i="7"/>
  <c r="N501" i="7" s="1"/>
  <c r="B501" i="7"/>
  <c r="N500" i="7"/>
  <c r="L500" i="7"/>
  <c r="E500" i="7"/>
  <c r="D500" i="7"/>
  <c r="C500" i="7"/>
  <c r="B500" i="7"/>
  <c r="D499" i="7"/>
  <c r="C499" i="7"/>
  <c r="B499" i="7"/>
  <c r="D498" i="7"/>
  <c r="C498" i="7"/>
  <c r="B498" i="7"/>
  <c r="L497" i="7"/>
  <c r="E497" i="7"/>
  <c r="D497" i="7"/>
  <c r="C497" i="7"/>
  <c r="N497" i="7" s="1"/>
  <c r="B497" i="7"/>
  <c r="N496" i="7"/>
  <c r="L496" i="7"/>
  <c r="E496" i="7"/>
  <c r="D496" i="7"/>
  <c r="C496" i="7"/>
  <c r="B496" i="7"/>
  <c r="D495" i="7"/>
  <c r="C495" i="7"/>
  <c r="B495" i="7"/>
  <c r="D494" i="7"/>
  <c r="C494" i="7"/>
  <c r="B494" i="7"/>
  <c r="L493" i="7"/>
  <c r="E493" i="7"/>
  <c r="D493" i="7"/>
  <c r="C493" i="7"/>
  <c r="N493" i="7" s="1"/>
  <c r="B493" i="7"/>
  <c r="N492" i="7"/>
  <c r="L492" i="7"/>
  <c r="D492" i="7"/>
  <c r="C492" i="7"/>
  <c r="E492" i="7" s="1"/>
  <c r="B492" i="7"/>
  <c r="N491" i="7"/>
  <c r="D491" i="7"/>
  <c r="C491" i="7"/>
  <c r="B491" i="7"/>
  <c r="D490" i="7"/>
  <c r="C490" i="7"/>
  <c r="B490" i="7"/>
  <c r="L489" i="7"/>
  <c r="E489" i="7"/>
  <c r="D489" i="7"/>
  <c r="C489" i="7"/>
  <c r="N489" i="7" s="1"/>
  <c r="B489" i="7"/>
  <c r="N488" i="7"/>
  <c r="L488" i="7"/>
  <c r="D488" i="7"/>
  <c r="C488" i="7"/>
  <c r="E488" i="7" s="1"/>
  <c r="B488" i="7"/>
  <c r="N487" i="7"/>
  <c r="D487" i="7"/>
  <c r="C487" i="7"/>
  <c r="B487" i="7"/>
  <c r="D486" i="7"/>
  <c r="C486" i="7"/>
  <c r="B486" i="7"/>
  <c r="L485" i="7"/>
  <c r="O485" i="7" s="1"/>
  <c r="E485" i="7"/>
  <c r="D485" i="7"/>
  <c r="C485" i="7"/>
  <c r="N485" i="7" s="1"/>
  <c r="B485" i="7"/>
  <c r="N484" i="7"/>
  <c r="L484" i="7"/>
  <c r="O484" i="7" s="1"/>
  <c r="D484" i="7"/>
  <c r="C484" i="7"/>
  <c r="E484" i="7" s="1"/>
  <c r="B484" i="7"/>
  <c r="D483" i="7"/>
  <c r="C483" i="7"/>
  <c r="B483" i="7"/>
  <c r="D482" i="7"/>
  <c r="C482" i="7"/>
  <c r="B482" i="7"/>
  <c r="L481" i="7"/>
  <c r="O481" i="7" s="1"/>
  <c r="E481" i="7"/>
  <c r="D481" i="7"/>
  <c r="C481" i="7"/>
  <c r="N481" i="7" s="1"/>
  <c r="B481" i="7"/>
  <c r="N480" i="7"/>
  <c r="L480" i="7"/>
  <c r="O480" i="7" s="1"/>
  <c r="E480" i="7"/>
  <c r="D480" i="7"/>
  <c r="C480" i="7"/>
  <c r="B480" i="7"/>
  <c r="N479" i="7"/>
  <c r="D479" i="7"/>
  <c r="C479" i="7"/>
  <c r="B479" i="7"/>
  <c r="D478" i="7"/>
  <c r="C478" i="7"/>
  <c r="B478" i="7"/>
  <c r="L477" i="7"/>
  <c r="O477" i="7" s="1"/>
  <c r="E477" i="7"/>
  <c r="D477" i="7"/>
  <c r="C477" i="7"/>
  <c r="N477" i="7" s="1"/>
  <c r="B477" i="7"/>
  <c r="N476" i="7"/>
  <c r="L476" i="7"/>
  <c r="O476" i="7" s="1"/>
  <c r="E476" i="7"/>
  <c r="D476" i="7"/>
  <c r="C476" i="7"/>
  <c r="B476" i="7"/>
  <c r="D475" i="7"/>
  <c r="C475" i="7"/>
  <c r="B475" i="7"/>
  <c r="D474" i="7"/>
  <c r="C474" i="7"/>
  <c r="B474" i="7"/>
  <c r="L473" i="7"/>
  <c r="O473" i="7" s="1"/>
  <c r="E473" i="7"/>
  <c r="D473" i="7"/>
  <c r="C473" i="7"/>
  <c r="N473" i="7" s="1"/>
  <c r="B473" i="7"/>
  <c r="N472" i="7"/>
  <c r="L472" i="7"/>
  <c r="O472" i="7" s="1"/>
  <c r="E472" i="7"/>
  <c r="D472" i="7"/>
  <c r="C472" i="7"/>
  <c r="B472" i="7"/>
  <c r="N471" i="7"/>
  <c r="D471" i="7"/>
  <c r="C471" i="7"/>
  <c r="B471" i="7"/>
  <c r="D470" i="7"/>
  <c r="C470" i="7"/>
  <c r="B470" i="7"/>
  <c r="L469" i="7"/>
  <c r="O469" i="7" s="1"/>
  <c r="E469" i="7"/>
  <c r="D469" i="7"/>
  <c r="C469" i="7"/>
  <c r="N469" i="7" s="1"/>
  <c r="B469" i="7"/>
  <c r="N468" i="7"/>
  <c r="L468" i="7"/>
  <c r="O468" i="7" s="1"/>
  <c r="E468" i="7"/>
  <c r="D468" i="7"/>
  <c r="C468" i="7"/>
  <c r="B468" i="7"/>
  <c r="D467" i="7"/>
  <c r="C467" i="7"/>
  <c r="B467" i="7"/>
  <c r="D466" i="7"/>
  <c r="C466" i="7"/>
  <c r="B466" i="7"/>
  <c r="L465" i="7"/>
  <c r="O465" i="7" s="1"/>
  <c r="E465" i="7"/>
  <c r="D465" i="7"/>
  <c r="C465" i="7"/>
  <c r="N465" i="7" s="1"/>
  <c r="B465" i="7"/>
  <c r="N464" i="7"/>
  <c r="L464" i="7"/>
  <c r="O464" i="7" s="1"/>
  <c r="E464" i="7"/>
  <c r="D464" i="7"/>
  <c r="C464" i="7"/>
  <c r="B464" i="7"/>
  <c r="D463" i="7"/>
  <c r="C463" i="7"/>
  <c r="B463" i="7"/>
  <c r="E462" i="7"/>
  <c r="D462" i="7"/>
  <c r="C462" i="7"/>
  <c r="B462" i="7"/>
  <c r="L461" i="7"/>
  <c r="O461" i="7" s="1"/>
  <c r="E461" i="7"/>
  <c r="D461" i="7"/>
  <c r="C461" i="7"/>
  <c r="N461" i="7" s="1"/>
  <c r="B461" i="7"/>
  <c r="N460" i="7"/>
  <c r="L460" i="7"/>
  <c r="O460" i="7" s="1"/>
  <c r="D460" i="7"/>
  <c r="C460" i="7"/>
  <c r="E460" i="7" s="1"/>
  <c r="B460" i="7"/>
  <c r="D459" i="7"/>
  <c r="C459" i="7"/>
  <c r="B459" i="7"/>
  <c r="D458" i="7"/>
  <c r="C458" i="7"/>
  <c r="B458" i="7"/>
  <c r="L457" i="7"/>
  <c r="O457" i="7" s="1"/>
  <c r="E457" i="7"/>
  <c r="D457" i="7"/>
  <c r="C457" i="7"/>
  <c r="N457" i="7" s="1"/>
  <c r="B457" i="7"/>
  <c r="N456" i="7"/>
  <c r="L456" i="7"/>
  <c r="O456" i="7" s="1"/>
  <c r="E456" i="7"/>
  <c r="D456" i="7"/>
  <c r="C456" i="7"/>
  <c r="B456" i="7"/>
  <c r="D455" i="7"/>
  <c r="C455" i="7"/>
  <c r="B455" i="7"/>
  <c r="E454" i="7"/>
  <c r="D454" i="7"/>
  <c r="C454" i="7"/>
  <c r="B454" i="7"/>
  <c r="L453" i="7"/>
  <c r="O453" i="7" s="1"/>
  <c r="E453" i="7"/>
  <c r="D453" i="7"/>
  <c r="C453" i="7"/>
  <c r="N453" i="7" s="1"/>
  <c r="B453" i="7"/>
  <c r="N452" i="7"/>
  <c r="L452" i="7"/>
  <c r="O452" i="7" s="1"/>
  <c r="E452" i="7"/>
  <c r="D452" i="7"/>
  <c r="C452" i="7"/>
  <c r="B452" i="7"/>
  <c r="D451" i="7"/>
  <c r="C451" i="7"/>
  <c r="B451" i="7"/>
  <c r="D450" i="7"/>
  <c r="C450" i="7"/>
  <c r="B450" i="7"/>
  <c r="L449" i="7"/>
  <c r="O449" i="7" s="1"/>
  <c r="E449" i="7"/>
  <c r="D449" i="7"/>
  <c r="C449" i="7"/>
  <c r="N449" i="7" s="1"/>
  <c r="B449" i="7"/>
  <c r="N448" i="7"/>
  <c r="L448" i="7"/>
  <c r="O448" i="7" s="1"/>
  <c r="E448" i="7"/>
  <c r="D448" i="7"/>
  <c r="C448" i="7"/>
  <c r="B448" i="7"/>
  <c r="D447" i="7"/>
  <c r="C447" i="7"/>
  <c r="B447" i="7"/>
  <c r="D446" i="7"/>
  <c r="C446" i="7"/>
  <c r="B446" i="7"/>
  <c r="L445" i="7"/>
  <c r="O445" i="7" s="1"/>
  <c r="E445" i="7"/>
  <c r="D445" i="7"/>
  <c r="C445" i="7"/>
  <c r="N445" i="7" s="1"/>
  <c r="B445" i="7"/>
  <c r="N444" i="7"/>
  <c r="L444" i="7"/>
  <c r="O444" i="7" s="1"/>
  <c r="E444" i="7"/>
  <c r="D444" i="7"/>
  <c r="C444" i="7"/>
  <c r="B444" i="7"/>
  <c r="D443" i="7"/>
  <c r="C443" i="7"/>
  <c r="B443" i="7"/>
  <c r="D442" i="7"/>
  <c r="C442" i="7"/>
  <c r="B442" i="7"/>
  <c r="L441" i="7"/>
  <c r="O441" i="7" s="1"/>
  <c r="E441" i="7"/>
  <c r="D441" i="7"/>
  <c r="C441" i="7"/>
  <c r="N441" i="7" s="1"/>
  <c r="B441" i="7"/>
  <c r="N440" i="7"/>
  <c r="L440" i="7"/>
  <c r="O440" i="7" s="1"/>
  <c r="D440" i="7"/>
  <c r="C440" i="7"/>
  <c r="E440" i="7" s="1"/>
  <c r="B440" i="7"/>
  <c r="D439" i="7"/>
  <c r="C439" i="7"/>
  <c r="B439" i="7"/>
  <c r="D438" i="7"/>
  <c r="C438" i="7"/>
  <c r="B438" i="7"/>
  <c r="L437" i="7"/>
  <c r="E437" i="7"/>
  <c r="D437" i="7"/>
  <c r="C437" i="7"/>
  <c r="N437" i="7" s="1"/>
  <c r="B437" i="7"/>
  <c r="N436" i="7"/>
  <c r="L436" i="7"/>
  <c r="D436" i="7"/>
  <c r="C436" i="7"/>
  <c r="E436" i="7" s="1"/>
  <c r="B436" i="7"/>
  <c r="N435" i="7"/>
  <c r="D435" i="7"/>
  <c r="C435" i="7"/>
  <c r="B435" i="7"/>
  <c r="E434" i="7"/>
  <c r="D434" i="7"/>
  <c r="C434" i="7"/>
  <c r="B434" i="7"/>
  <c r="L433" i="7"/>
  <c r="E433" i="7"/>
  <c r="D433" i="7"/>
  <c r="C433" i="7"/>
  <c r="N433" i="7" s="1"/>
  <c r="B433" i="7"/>
  <c r="N432" i="7"/>
  <c r="L432" i="7"/>
  <c r="E432" i="7"/>
  <c r="D432" i="7"/>
  <c r="C432" i="7"/>
  <c r="B432" i="7"/>
  <c r="N431" i="7"/>
  <c r="D431" i="7"/>
  <c r="C431" i="7"/>
  <c r="B431" i="7"/>
  <c r="E430" i="7"/>
  <c r="D430" i="7"/>
  <c r="C430" i="7"/>
  <c r="B430" i="7"/>
  <c r="L429" i="7"/>
  <c r="E429" i="7"/>
  <c r="D429" i="7"/>
  <c r="C429" i="7"/>
  <c r="N429" i="7" s="1"/>
  <c r="B429" i="7"/>
  <c r="N428" i="7"/>
  <c r="L428" i="7"/>
  <c r="O428" i="7" s="1"/>
  <c r="D428" i="7"/>
  <c r="C428" i="7"/>
  <c r="E428" i="7" s="1"/>
  <c r="B428" i="7"/>
  <c r="D427" i="7"/>
  <c r="C427" i="7"/>
  <c r="B427" i="7"/>
  <c r="E426" i="7"/>
  <c r="D426" i="7"/>
  <c r="C426" i="7"/>
  <c r="B426" i="7"/>
  <c r="L425" i="7"/>
  <c r="E425" i="7"/>
  <c r="D425" i="7"/>
  <c r="C425" i="7"/>
  <c r="N425" i="7" s="1"/>
  <c r="B425" i="7"/>
  <c r="N424" i="7"/>
  <c r="L424" i="7"/>
  <c r="O424" i="7" s="1"/>
  <c r="E424" i="7"/>
  <c r="D424" i="7"/>
  <c r="C424" i="7"/>
  <c r="B424" i="7"/>
  <c r="D423" i="7"/>
  <c r="C423" i="7"/>
  <c r="B423" i="7"/>
  <c r="E422" i="7"/>
  <c r="D422" i="7"/>
  <c r="C422" i="7"/>
  <c r="B422" i="7"/>
  <c r="L421" i="7"/>
  <c r="E421" i="7"/>
  <c r="D421" i="7"/>
  <c r="C421" i="7"/>
  <c r="N421" i="7" s="1"/>
  <c r="B421" i="7"/>
  <c r="N420" i="7"/>
  <c r="L420" i="7"/>
  <c r="O420" i="7" s="1"/>
  <c r="E420" i="7"/>
  <c r="D420" i="7"/>
  <c r="C420" i="7"/>
  <c r="B420" i="7"/>
  <c r="D419" i="7"/>
  <c r="C419" i="7"/>
  <c r="B419" i="7"/>
  <c r="E418" i="7"/>
  <c r="D418" i="7"/>
  <c r="C418" i="7"/>
  <c r="B418" i="7"/>
  <c r="D417" i="7"/>
  <c r="C417" i="7"/>
  <c r="B417" i="7"/>
  <c r="D416" i="7"/>
  <c r="C416" i="7"/>
  <c r="B416" i="7"/>
  <c r="N415" i="7"/>
  <c r="E415" i="7"/>
  <c r="D415" i="7"/>
  <c r="C415" i="7"/>
  <c r="L415" i="7" s="1"/>
  <c r="O415" i="7" s="1"/>
  <c r="B415" i="7"/>
  <c r="L414" i="7"/>
  <c r="D414" i="7"/>
  <c r="C414" i="7"/>
  <c r="E414" i="7" s="1"/>
  <c r="B414" i="7"/>
  <c r="N413" i="7"/>
  <c r="L413" i="7"/>
  <c r="E413" i="7"/>
  <c r="D413" i="7"/>
  <c r="C413" i="7"/>
  <c r="B413" i="7"/>
  <c r="O413" i="7" s="1"/>
  <c r="D412" i="7"/>
  <c r="C412" i="7"/>
  <c r="B412" i="7"/>
  <c r="N411" i="7"/>
  <c r="E411" i="7"/>
  <c r="D411" i="7"/>
  <c r="C411" i="7"/>
  <c r="L411" i="7" s="1"/>
  <c r="O411" i="7" s="1"/>
  <c r="B411" i="7"/>
  <c r="L410" i="7"/>
  <c r="D410" i="7"/>
  <c r="C410" i="7"/>
  <c r="E410" i="7" s="1"/>
  <c r="B410" i="7"/>
  <c r="N409" i="7"/>
  <c r="E409" i="7"/>
  <c r="D409" i="7"/>
  <c r="C409" i="7"/>
  <c r="L409" i="7" s="1"/>
  <c r="O409" i="7" s="1"/>
  <c r="B409" i="7"/>
  <c r="D408" i="7"/>
  <c r="C408" i="7"/>
  <c r="B408" i="7"/>
  <c r="N407" i="7"/>
  <c r="E407" i="7"/>
  <c r="D407" i="7"/>
  <c r="C407" i="7"/>
  <c r="L407" i="7" s="1"/>
  <c r="O407" i="7" s="1"/>
  <c r="B407" i="7"/>
  <c r="L406" i="7"/>
  <c r="D406" i="7"/>
  <c r="C406" i="7"/>
  <c r="E406" i="7" s="1"/>
  <c r="B406" i="7"/>
  <c r="N405" i="7"/>
  <c r="L405" i="7"/>
  <c r="E405" i="7"/>
  <c r="D405" i="7"/>
  <c r="C405" i="7"/>
  <c r="B405" i="7"/>
  <c r="O405" i="7" s="1"/>
  <c r="D404" i="7"/>
  <c r="C404" i="7"/>
  <c r="B404" i="7"/>
  <c r="N403" i="7"/>
  <c r="E403" i="7"/>
  <c r="D403" i="7"/>
  <c r="C403" i="7"/>
  <c r="L403" i="7" s="1"/>
  <c r="O403" i="7" s="1"/>
  <c r="B403" i="7"/>
  <c r="L402" i="7"/>
  <c r="D402" i="7"/>
  <c r="C402" i="7"/>
  <c r="E402" i="7" s="1"/>
  <c r="B402" i="7"/>
  <c r="N401" i="7"/>
  <c r="O401" i="7" s="1"/>
  <c r="L401" i="7"/>
  <c r="E401" i="7"/>
  <c r="D401" i="7"/>
  <c r="C401" i="7"/>
  <c r="B401" i="7"/>
  <c r="D400" i="7"/>
  <c r="C400" i="7"/>
  <c r="B400" i="7"/>
  <c r="N399" i="7"/>
  <c r="E399" i="7"/>
  <c r="D399" i="7"/>
  <c r="C399" i="7"/>
  <c r="L399" i="7" s="1"/>
  <c r="O399" i="7" s="1"/>
  <c r="B399" i="7"/>
  <c r="L398" i="7"/>
  <c r="D398" i="7"/>
  <c r="C398" i="7"/>
  <c r="E398" i="7" s="1"/>
  <c r="B398" i="7"/>
  <c r="O397" i="7"/>
  <c r="N397" i="7"/>
  <c r="L397" i="7"/>
  <c r="E397" i="7"/>
  <c r="D397" i="7"/>
  <c r="C397" i="7"/>
  <c r="B397" i="7"/>
  <c r="D396" i="7"/>
  <c r="C396" i="7"/>
  <c r="B396" i="7"/>
  <c r="N395" i="7"/>
  <c r="E395" i="7"/>
  <c r="D395" i="7"/>
  <c r="C395" i="7"/>
  <c r="L395" i="7" s="1"/>
  <c r="O395" i="7" s="1"/>
  <c r="B395" i="7"/>
  <c r="L394" i="7"/>
  <c r="D394" i="7"/>
  <c r="C394" i="7"/>
  <c r="E394" i="7" s="1"/>
  <c r="B394" i="7"/>
  <c r="N393" i="7"/>
  <c r="O393" i="7" s="1"/>
  <c r="L393" i="7"/>
  <c r="E393" i="7"/>
  <c r="D393" i="7"/>
  <c r="C393" i="7"/>
  <c r="B393" i="7"/>
  <c r="D392" i="7"/>
  <c r="C392" i="7"/>
  <c r="B392" i="7"/>
  <c r="N391" i="7"/>
  <c r="E391" i="7"/>
  <c r="D391" i="7"/>
  <c r="C391" i="7"/>
  <c r="L391" i="7" s="1"/>
  <c r="O391" i="7" s="1"/>
  <c r="B391" i="7"/>
  <c r="L390" i="7"/>
  <c r="D390" i="7"/>
  <c r="C390" i="7"/>
  <c r="E390" i="7" s="1"/>
  <c r="B390" i="7"/>
  <c r="N389" i="7"/>
  <c r="O389" i="7" s="1"/>
  <c r="L389" i="7"/>
  <c r="E389" i="7"/>
  <c r="D389" i="7"/>
  <c r="C389" i="7"/>
  <c r="B389" i="7"/>
  <c r="D388" i="7"/>
  <c r="C388" i="7"/>
  <c r="B388" i="7"/>
  <c r="N387" i="7"/>
  <c r="E387" i="7"/>
  <c r="D387" i="7"/>
  <c r="C387" i="7"/>
  <c r="L387" i="7" s="1"/>
  <c r="O387" i="7" s="1"/>
  <c r="B387" i="7"/>
  <c r="D386" i="7"/>
  <c r="C386" i="7"/>
  <c r="B386" i="7"/>
  <c r="N385" i="7"/>
  <c r="O385" i="7" s="1"/>
  <c r="E385" i="7"/>
  <c r="D385" i="7"/>
  <c r="C385" i="7"/>
  <c r="L385" i="7" s="1"/>
  <c r="B385" i="7"/>
  <c r="L384" i="7"/>
  <c r="D384" i="7"/>
  <c r="C384" i="7"/>
  <c r="B384" i="7"/>
  <c r="N383" i="7"/>
  <c r="E383" i="7"/>
  <c r="D383" i="7"/>
  <c r="C383" i="7"/>
  <c r="L383" i="7" s="1"/>
  <c r="O383" i="7" s="1"/>
  <c r="B383" i="7"/>
  <c r="D382" i="7"/>
  <c r="C382" i="7"/>
  <c r="B382" i="7"/>
  <c r="N381" i="7"/>
  <c r="E381" i="7"/>
  <c r="D381" i="7"/>
  <c r="C381" i="7"/>
  <c r="L381" i="7" s="1"/>
  <c r="B381" i="7"/>
  <c r="D380" i="7"/>
  <c r="C380" i="7"/>
  <c r="B380" i="7"/>
  <c r="N379" i="7"/>
  <c r="E379" i="7"/>
  <c r="D379" i="7"/>
  <c r="C379" i="7"/>
  <c r="L379" i="7" s="1"/>
  <c r="B379" i="7"/>
  <c r="L378" i="7"/>
  <c r="D378" i="7"/>
  <c r="C378" i="7"/>
  <c r="B378" i="7"/>
  <c r="O377" i="7"/>
  <c r="N377" i="7"/>
  <c r="L377" i="7"/>
  <c r="E377" i="7"/>
  <c r="D377" i="7"/>
  <c r="C377" i="7"/>
  <c r="B377" i="7"/>
  <c r="D376" i="7"/>
  <c r="C376" i="7"/>
  <c r="B376" i="7"/>
  <c r="N375" i="7"/>
  <c r="E375" i="7"/>
  <c r="D375" i="7"/>
  <c r="C375" i="7"/>
  <c r="L375" i="7" s="1"/>
  <c r="O375" i="7" s="1"/>
  <c r="B375" i="7"/>
  <c r="D374" i="7"/>
  <c r="C374" i="7"/>
  <c r="B374" i="7"/>
  <c r="N373" i="7"/>
  <c r="O373" i="7" s="1"/>
  <c r="E373" i="7"/>
  <c r="D373" i="7"/>
  <c r="C373" i="7"/>
  <c r="L373" i="7" s="1"/>
  <c r="B373" i="7"/>
  <c r="L372" i="7"/>
  <c r="D372" i="7"/>
  <c r="C372" i="7"/>
  <c r="B372" i="7"/>
  <c r="N371" i="7"/>
  <c r="E371" i="7"/>
  <c r="D371" i="7"/>
  <c r="C371" i="7"/>
  <c r="L371" i="7" s="1"/>
  <c r="O371" i="7" s="1"/>
  <c r="B371" i="7"/>
  <c r="D370" i="7"/>
  <c r="C370" i="7"/>
  <c r="B370" i="7"/>
  <c r="O369" i="7"/>
  <c r="N369" i="7"/>
  <c r="E369" i="7"/>
  <c r="D369" i="7"/>
  <c r="C369" i="7"/>
  <c r="L369" i="7" s="1"/>
  <c r="B369" i="7"/>
  <c r="D368" i="7"/>
  <c r="C368" i="7"/>
  <c r="B368" i="7"/>
  <c r="N367" i="7"/>
  <c r="E367" i="7"/>
  <c r="D367" i="7"/>
  <c r="C367" i="7"/>
  <c r="L367" i="7" s="1"/>
  <c r="B367" i="7"/>
  <c r="D366" i="7"/>
  <c r="C366" i="7"/>
  <c r="B366" i="7"/>
  <c r="N365" i="7"/>
  <c r="E365" i="7"/>
  <c r="D365" i="7"/>
  <c r="C365" i="7"/>
  <c r="L365" i="7" s="1"/>
  <c r="B365" i="7"/>
  <c r="L364" i="7"/>
  <c r="D364" i="7"/>
  <c r="C364" i="7"/>
  <c r="B364" i="7"/>
  <c r="N363" i="7"/>
  <c r="E363" i="7"/>
  <c r="D363" i="7"/>
  <c r="C363" i="7"/>
  <c r="L363" i="7" s="1"/>
  <c r="B363" i="7"/>
  <c r="L362" i="7"/>
  <c r="D362" i="7"/>
  <c r="C362" i="7"/>
  <c r="B362" i="7"/>
  <c r="N361" i="7"/>
  <c r="O361" i="7" s="1"/>
  <c r="E361" i="7"/>
  <c r="D361" i="7"/>
  <c r="C361" i="7"/>
  <c r="L361" i="7" s="1"/>
  <c r="B361" i="7"/>
  <c r="D360" i="7"/>
  <c r="C360" i="7"/>
  <c r="B360" i="7"/>
  <c r="D359" i="7"/>
  <c r="C359" i="7"/>
  <c r="B359" i="7"/>
  <c r="D358" i="7"/>
  <c r="C358" i="7"/>
  <c r="B358" i="7"/>
  <c r="N357" i="7"/>
  <c r="L357" i="7"/>
  <c r="O357" i="7" s="1"/>
  <c r="E357" i="7"/>
  <c r="D357" i="7"/>
  <c r="C357" i="7"/>
  <c r="B357" i="7"/>
  <c r="L356" i="7"/>
  <c r="D356" i="7"/>
  <c r="C356" i="7"/>
  <c r="E356" i="7" s="1"/>
  <c r="B356" i="7"/>
  <c r="N355" i="7"/>
  <c r="O355" i="7" s="1"/>
  <c r="E355" i="7"/>
  <c r="D355" i="7"/>
  <c r="C355" i="7"/>
  <c r="L355" i="7" s="1"/>
  <c r="B355" i="7"/>
  <c r="D354" i="7"/>
  <c r="C354" i="7"/>
  <c r="B354" i="7"/>
  <c r="N353" i="7"/>
  <c r="L353" i="7"/>
  <c r="O353" i="7" s="1"/>
  <c r="E353" i="7"/>
  <c r="D353" i="7"/>
  <c r="C353" i="7"/>
  <c r="B353" i="7"/>
  <c r="L352" i="7"/>
  <c r="D352" i="7"/>
  <c r="C352" i="7"/>
  <c r="E352" i="7" s="1"/>
  <c r="B352" i="7"/>
  <c r="N351" i="7"/>
  <c r="O351" i="7" s="1"/>
  <c r="E351" i="7"/>
  <c r="D351" i="7"/>
  <c r="C351" i="7"/>
  <c r="L351" i="7" s="1"/>
  <c r="B351" i="7"/>
  <c r="D350" i="7"/>
  <c r="C350" i="7"/>
  <c r="B350" i="7"/>
  <c r="N349" i="7"/>
  <c r="L349" i="7"/>
  <c r="O349" i="7" s="1"/>
  <c r="E349" i="7"/>
  <c r="D349" i="7"/>
  <c r="C349" i="7"/>
  <c r="B349" i="7"/>
  <c r="L348" i="7"/>
  <c r="D348" i="7"/>
  <c r="C348" i="7"/>
  <c r="E348" i="7" s="1"/>
  <c r="B348" i="7"/>
  <c r="N347" i="7"/>
  <c r="O347" i="7" s="1"/>
  <c r="E347" i="7"/>
  <c r="D347" i="7"/>
  <c r="C347" i="7"/>
  <c r="L347" i="7" s="1"/>
  <c r="B347" i="7"/>
  <c r="D346" i="7"/>
  <c r="C346" i="7"/>
  <c r="B346" i="7"/>
  <c r="N345" i="7"/>
  <c r="L345" i="7"/>
  <c r="O345" i="7" s="1"/>
  <c r="E345" i="7"/>
  <c r="D345" i="7"/>
  <c r="C345" i="7"/>
  <c r="B345" i="7"/>
  <c r="L344" i="7"/>
  <c r="D344" i="7"/>
  <c r="C344" i="7"/>
  <c r="E344" i="7" s="1"/>
  <c r="B344" i="7"/>
  <c r="N343" i="7"/>
  <c r="O343" i="7" s="1"/>
  <c r="E343" i="7"/>
  <c r="D343" i="7"/>
  <c r="C343" i="7"/>
  <c r="L343" i="7" s="1"/>
  <c r="B343" i="7"/>
  <c r="L342" i="7"/>
  <c r="D342" i="7"/>
  <c r="C342" i="7"/>
  <c r="B342" i="7"/>
  <c r="N341" i="7"/>
  <c r="L341" i="7"/>
  <c r="O341" i="7" s="1"/>
  <c r="E341" i="7"/>
  <c r="D341" i="7"/>
  <c r="C341" i="7"/>
  <c r="B341" i="7"/>
  <c r="D340" i="7"/>
  <c r="C340" i="7"/>
  <c r="B340" i="7"/>
  <c r="N339" i="7"/>
  <c r="E339" i="7"/>
  <c r="D339" i="7"/>
  <c r="C339" i="7"/>
  <c r="L339" i="7" s="1"/>
  <c r="B339" i="7"/>
  <c r="L338" i="7"/>
  <c r="D338" i="7"/>
  <c r="C338" i="7"/>
  <c r="B338" i="7"/>
  <c r="N337" i="7"/>
  <c r="L337" i="7"/>
  <c r="E337" i="7"/>
  <c r="D337" i="7"/>
  <c r="C337" i="7"/>
  <c r="B337" i="7"/>
  <c r="L336" i="7"/>
  <c r="D336" i="7"/>
  <c r="C336" i="7"/>
  <c r="B336" i="7"/>
  <c r="N335" i="7"/>
  <c r="O335" i="7" s="1"/>
  <c r="E335" i="7"/>
  <c r="D335" i="7"/>
  <c r="C335" i="7"/>
  <c r="L335" i="7" s="1"/>
  <c r="B335" i="7"/>
  <c r="D334" i="7"/>
  <c r="C334" i="7"/>
  <c r="B334" i="7"/>
  <c r="N333" i="7"/>
  <c r="L333" i="7"/>
  <c r="O333" i="7" s="1"/>
  <c r="E333" i="7"/>
  <c r="D333" i="7"/>
  <c r="C333" i="7"/>
  <c r="B333" i="7"/>
  <c r="L332" i="7"/>
  <c r="D332" i="7"/>
  <c r="C332" i="7"/>
  <c r="B332" i="7"/>
  <c r="O331" i="7"/>
  <c r="N331" i="7"/>
  <c r="E331" i="7"/>
  <c r="D331" i="7"/>
  <c r="C331" i="7"/>
  <c r="L331" i="7" s="1"/>
  <c r="B331" i="7"/>
  <c r="D330" i="7"/>
  <c r="C330" i="7"/>
  <c r="B330" i="7"/>
  <c r="N329" i="7"/>
  <c r="L329" i="7"/>
  <c r="O329" i="7" s="1"/>
  <c r="E329" i="7"/>
  <c r="D329" i="7"/>
  <c r="C329" i="7"/>
  <c r="B329" i="7"/>
  <c r="L328" i="7"/>
  <c r="D328" i="7"/>
  <c r="C328" i="7"/>
  <c r="B328" i="7"/>
  <c r="N327" i="7"/>
  <c r="E327" i="7"/>
  <c r="D327" i="7"/>
  <c r="C327" i="7"/>
  <c r="L327" i="7" s="1"/>
  <c r="O327" i="7" s="1"/>
  <c r="B327" i="7"/>
  <c r="D326" i="7"/>
  <c r="C326" i="7"/>
  <c r="B326" i="7"/>
  <c r="N325" i="7"/>
  <c r="L325" i="7"/>
  <c r="E325" i="7"/>
  <c r="D325" i="7"/>
  <c r="C325" i="7"/>
  <c r="B325" i="7"/>
  <c r="D324" i="7"/>
  <c r="C324" i="7"/>
  <c r="B324" i="7"/>
  <c r="O323" i="7"/>
  <c r="N323" i="7"/>
  <c r="E323" i="7"/>
  <c r="D323" i="7"/>
  <c r="C323" i="7"/>
  <c r="L323" i="7" s="1"/>
  <c r="B323" i="7"/>
  <c r="L322" i="7"/>
  <c r="D322" i="7"/>
  <c r="C322" i="7"/>
  <c r="B322" i="7"/>
  <c r="N321" i="7"/>
  <c r="L321" i="7"/>
  <c r="E321" i="7"/>
  <c r="D321" i="7"/>
  <c r="C321" i="7"/>
  <c r="B321" i="7"/>
  <c r="D320" i="7"/>
  <c r="C320" i="7"/>
  <c r="B320" i="7"/>
  <c r="N319" i="7"/>
  <c r="E319" i="7"/>
  <c r="D319" i="7"/>
  <c r="C319" i="7"/>
  <c r="L319" i="7" s="1"/>
  <c r="B319" i="7"/>
  <c r="D318" i="7"/>
  <c r="C318" i="7"/>
  <c r="B318" i="7"/>
  <c r="N317" i="7"/>
  <c r="L317" i="7"/>
  <c r="O317" i="7" s="1"/>
  <c r="E317" i="7"/>
  <c r="D317" i="7"/>
  <c r="C317" i="7"/>
  <c r="B317" i="7"/>
  <c r="L316" i="7"/>
  <c r="D316" i="7"/>
  <c r="C316" i="7"/>
  <c r="B316" i="7"/>
  <c r="O315" i="7"/>
  <c r="N315" i="7"/>
  <c r="E315" i="7"/>
  <c r="D315" i="7"/>
  <c r="C315" i="7"/>
  <c r="L315" i="7" s="1"/>
  <c r="B315" i="7"/>
  <c r="D314" i="7"/>
  <c r="C314" i="7"/>
  <c r="B314" i="7"/>
  <c r="N313" i="7"/>
  <c r="L313" i="7"/>
  <c r="O313" i="7" s="1"/>
  <c r="E313" i="7"/>
  <c r="D313" i="7"/>
  <c r="C313" i="7"/>
  <c r="B313" i="7"/>
  <c r="D312" i="7"/>
  <c r="C312" i="7"/>
  <c r="B312" i="7"/>
  <c r="O311" i="7"/>
  <c r="N311" i="7"/>
  <c r="E311" i="7"/>
  <c r="D311" i="7"/>
  <c r="C311" i="7"/>
  <c r="L311" i="7" s="1"/>
  <c r="B311" i="7"/>
  <c r="L310" i="7"/>
  <c r="D310" i="7"/>
  <c r="C310" i="7"/>
  <c r="B310" i="7"/>
  <c r="N309" i="7"/>
  <c r="L309" i="7"/>
  <c r="E309" i="7"/>
  <c r="D309" i="7"/>
  <c r="C309" i="7"/>
  <c r="B309" i="7"/>
  <c r="D308" i="7"/>
  <c r="C308" i="7"/>
  <c r="B308" i="7"/>
  <c r="N307" i="7"/>
  <c r="E307" i="7"/>
  <c r="D307" i="7"/>
  <c r="C307" i="7"/>
  <c r="L307" i="7" s="1"/>
  <c r="O307" i="7" s="1"/>
  <c r="B307" i="7"/>
  <c r="L306" i="7"/>
  <c r="D306" i="7"/>
  <c r="C306" i="7"/>
  <c r="B306" i="7"/>
  <c r="N305" i="7"/>
  <c r="L305" i="7"/>
  <c r="O305" i="7" s="1"/>
  <c r="E305" i="7"/>
  <c r="D305" i="7"/>
  <c r="C305" i="7"/>
  <c r="B305" i="7"/>
  <c r="D304" i="7"/>
  <c r="C304" i="7"/>
  <c r="B304" i="7"/>
  <c r="N303" i="7"/>
  <c r="O303" i="7" s="1"/>
  <c r="E303" i="7"/>
  <c r="D303" i="7"/>
  <c r="C303" i="7"/>
  <c r="L303" i="7" s="1"/>
  <c r="B303" i="7"/>
  <c r="D302" i="7"/>
  <c r="C302" i="7"/>
  <c r="B302" i="7"/>
  <c r="N301" i="7"/>
  <c r="L301" i="7"/>
  <c r="O301" i="7" s="1"/>
  <c r="E301" i="7"/>
  <c r="D301" i="7"/>
  <c r="C301" i="7"/>
  <c r="B301" i="7"/>
  <c r="L300" i="7"/>
  <c r="D300" i="7"/>
  <c r="C300" i="7"/>
  <c r="B300" i="7"/>
  <c r="D299" i="7"/>
  <c r="C299" i="7"/>
  <c r="B299" i="7"/>
  <c r="E298" i="7"/>
  <c r="D298" i="7"/>
  <c r="C298" i="7"/>
  <c r="N298" i="7" s="1"/>
  <c r="B298" i="7"/>
  <c r="N297" i="7"/>
  <c r="E297" i="7"/>
  <c r="D297" i="7"/>
  <c r="C297" i="7"/>
  <c r="L297" i="7" s="1"/>
  <c r="B297" i="7"/>
  <c r="D296" i="7"/>
  <c r="C296" i="7"/>
  <c r="B296" i="7"/>
  <c r="D295" i="7"/>
  <c r="C295" i="7"/>
  <c r="B295" i="7"/>
  <c r="N294" i="7"/>
  <c r="L294" i="7"/>
  <c r="E294" i="7"/>
  <c r="D294" i="7"/>
  <c r="C294" i="7"/>
  <c r="B294" i="7"/>
  <c r="O294" i="7" s="1"/>
  <c r="N293" i="7"/>
  <c r="L293" i="7"/>
  <c r="D293" i="7"/>
  <c r="C293" i="7"/>
  <c r="E293" i="7" s="1"/>
  <c r="B293" i="7"/>
  <c r="N292" i="7"/>
  <c r="D292" i="7"/>
  <c r="C292" i="7"/>
  <c r="B292" i="7"/>
  <c r="E291" i="7"/>
  <c r="D291" i="7"/>
  <c r="C291" i="7"/>
  <c r="B291" i="7"/>
  <c r="O290" i="7"/>
  <c r="N290" i="7"/>
  <c r="L290" i="7"/>
  <c r="E290" i="7"/>
  <c r="D290" i="7"/>
  <c r="C290" i="7"/>
  <c r="B290" i="7"/>
  <c r="N289" i="7"/>
  <c r="L289" i="7"/>
  <c r="D289" i="7"/>
  <c r="C289" i="7"/>
  <c r="E289" i="7" s="1"/>
  <c r="B289" i="7"/>
  <c r="D288" i="7"/>
  <c r="C288" i="7"/>
  <c r="B288" i="7"/>
  <c r="E287" i="7"/>
  <c r="D287" i="7"/>
  <c r="C287" i="7"/>
  <c r="B287" i="7"/>
  <c r="N286" i="7"/>
  <c r="L286" i="7"/>
  <c r="O286" i="7" s="1"/>
  <c r="E286" i="7"/>
  <c r="D286" i="7"/>
  <c r="C286" i="7"/>
  <c r="B286" i="7"/>
  <c r="N285" i="7"/>
  <c r="L285" i="7"/>
  <c r="O285" i="7" s="1"/>
  <c r="D285" i="7"/>
  <c r="C285" i="7"/>
  <c r="E285" i="7" s="1"/>
  <c r="B285" i="7"/>
  <c r="N284" i="7"/>
  <c r="D284" i="7"/>
  <c r="C284" i="7"/>
  <c r="B284" i="7"/>
  <c r="D283" i="7"/>
  <c r="C283" i="7"/>
  <c r="B283" i="7"/>
  <c r="N282" i="7"/>
  <c r="L282" i="7"/>
  <c r="E282" i="7"/>
  <c r="D282" i="7"/>
  <c r="C282" i="7"/>
  <c r="B282" i="7"/>
  <c r="N281" i="7"/>
  <c r="L281" i="7"/>
  <c r="O281" i="7" s="1"/>
  <c r="D281" i="7"/>
  <c r="C281" i="7"/>
  <c r="E281" i="7" s="1"/>
  <c r="B281" i="7"/>
  <c r="D280" i="7"/>
  <c r="C280" i="7"/>
  <c r="B280" i="7"/>
  <c r="E279" i="7"/>
  <c r="D279" i="7"/>
  <c r="C279" i="7"/>
  <c r="B279" i="7"/>
  <c r="N278" i="7"/>
  <c r="L278" i="7"/>
  <c r="O278" i="7" s="1"/>
  <c r="E278" i="7"/>
  <c r="D278" i="7"/>
  <c r="C278" i="7"/>
  <c r="B278" i="7"/>
  <c r="N277" i="7"/>
  <c r="L277" i="7"/>
  <c r="O277" i="7" s="1"/>
  <c r="D277" i="7"/>
  <c r="C277" i="7"/>
  <c r="E277" i="7" s="1"/>
  <c r="B277" i="7"/>
  <c r="D276" i="7"/>
  <c r="C276" i="7"/>
  <c r="B276" i="7"/>
  <c r="E275" i="7"/>
  <c r="D275" i="7"/>
  <c r="C275" i="7"/>
  <c r="B275" i="7"/>
  <c r="N274" i="7"/>
  <c r="L274" i="7"/>
  <c r="E274" i="7"/>
  <c r="D274" i="7"/>
  <c r="C274" i="7"/>
  <c r="B274" i="7"/>
  <c r="O274" i="7" s="1"/>
  <c r="N273" i="7"/>
  <c r="L273" i="7"/>
  <c r="D273" i="7"/>
  <c r="C273" i="7"/>
  <c r="E273" i="7" s="1"/>
  <c r="B273" i="7"/>
  <c r="N272" i="7"/>
  <c r="D272" i="7"/>
  <c r="C272" i="7"/>
  <c r="B272" i="7"/>
  <c r="D271" i="7"/>
  <c r="C271" i="7"/>
  <c r="B271" i="7"/>
  <c r="O270" i="7"/>
  <c r="N270" i="7"/>
  <c r="L270" i="7"/>
  <c r="E270" i="7"/>
  <c r="D270" i="7"/>
  <c r="C270" i="7"/>
  <c r="B270" i="7"/>
  <c r="N269" i="7"/>
  <c r="L269" i="7"/>
  <c r="D269" i="7"/>
  <c r="C269" i="7"/>
  <c r="E269" i="7" s="1"/>
  <c r="B269" i="7"/>
  <c r="N268" i="7"/>
  <c r="D268" i="7"/>
  <c r="C268" i="7"/>
  <c r="B268" i="7"/>
  <c r="D267" i="7"/>
  <c r="C267" i="7"/>
  <c r="B267" i="7"/>
  <c r="N266" i="7"/>
  <c r="L266" i="7"/>
  <c r="O266" i="7" s="1"/>
  <c r="E266" i="7"/>
  <c r="D266" i="7"/>
  <c r="C266" i="7"/>
  <c r="B266" i="7"/>
  <c r="N265" i="7"/>
  <c r="L265" i="7"/>
  <c r="O265" i="7" s="1"/>
  <c r="D265" i="7"/>
  <c r="C265" i="7"/>
  <c r="E265" i="7" s="1"/>
  <c r="B265" i="7"/>
  <c r="D264" i="7"/>
  <c r="C264" i="7"/>
  <c r="B264" i="7"/>
  <c r="D263" i="7"/>
  <c r="C263" i="7"/>
  <c r="B263" i="7"/>
  <c r="O262" i="7"/>
  <c r="N262" i="7"/>
  <c r="L262" i="7"/>
  <c r="E262" i="7"/>
  <c r="D262" i="7"/>
  <c r="C262" i="7"/>
  <c r="B262" i="7"/>
  <c r="N261" i="7"/>
  <c r="L261" i="7"/>
  <c r="D261" i="7"/>
  <c r="C261" i="7"/>
  <c r="E261" i="7" s="1"/>
  <c r="B261" i="7"/>
  <c r="D260" i="7"/>
  <c r="C260" i="7"/>
  <c r="B260" i="7"/>
  <c r="E259" i="7"/>
  <c r="D259" i="7"/>
  <c r="C259" i="7"/>
  <c r="B259" i="7"/>
  <c r="O258" i="7"/>
  <c r="N258" i="7"/>
  <c r="L258" i="7"/>
  <c r="E258" i="7"/>
  <c r="D258" i="7"/>
  <c r="C258" i="7"/>
  <c r="B258" i="7"/>
  <c r="N257" i="7"/>
  <c r="L257" i="7"/>
  <c r="D257" i="7"/>
  <c r="C257" i="7"/>
  <c r="E257" i="7" s="1"/>
  <c r="B257" i="7"/>
  <c r="D256" i="7"/>
  <c r="C256" i="7"/>
  <c r="B256" i="7"/>
  <c r="E255" i="7"/>
  <c r="D255" i="7"/>
  <c r="C255" i="7"/>
  <c r="B255" i="7"/>
  <c r="N254" i="7"/>
  <c r="L254" i="7"/>
  <c r="O254" i="7" s="1"/>
  <c r="E254" i="7"/>
  <c r="D254" i="7"/>
  <c r="C254" i="7"/>
  <c r="B254" i="7"/>
  <c r="N253" i="7"/>
  <c r="L253" i="7"/>
  <c r="O253" i="7" s="1"/>
  <c r="D253" i="7"/>
  <c r="C253" i="7"/>
  <c r="E253" i="7" s="1"/>
  <c r="B253" i="7"/>
  <c r="N252" i="7"/>
  <c r="D252" i="7"/>
  <c r="C252" i="7"/>
  <c r="B252" i="7"/>
  <c r="D251" i="7"/>
  <c r="C251" i="7"/>
  <c r="B251" i="7"/>
  <c r="N250" i="7"/>
  <c r="L250" i="7"/>
  <c r="E250" i="7"/>
  <c r="D250" i="7"/>
  <c r="C250" i="7"/>
  <c r="B250" i="7"/>
  <c r="N249" i="7"/>
  <c r="L249" i="7"/>
  <c r="O249" i="7" s="1"/>
  <c r="D249" i="7"/>
  <c r="C249" i="7"/>
  <c r="E249" i="7" s="1"/>
  <c r="B249" i="7"/>
  <c r="D248" i="7"/>
  <c r="C248" i="7"/>
  <c r="B248" i="7"/>
  <c r="E247" i="7"/>
  <c r="D247" i="7"/>
  <c r="C247" i="7"/>
  <c r="B247" i="7"/>
  <c r="L246" i="7"/>
  <c r="O246" i="7" s="1"/>
  <c r="E246" i="7"/>
  <c r="D246" i="7"/>
  <c r="C246" i="7"/>
  <c r="N246" i="7" s="1"/>
  <c r="B246" i="7"/>
  <c r="N245" i="7"/>
  <c r="L245" i="7"/>
  <c r="D245" i="7"/>
  <c r="C245" i="7"/>
  <c r="E245" i="7" s="1"/>
  <c r="B245" i="7"/>
  <c r="D244" i="7"/>
  <c r="C244" i="7"/>
  <c r="B244" i="7"/>
  <c r="E243" i="7"/>
  <c r="D243" i="7"/>
  <c r="C243" i="7"/>
  <c r="B243" i="7"/>
  <c r="L242" i="7"/>
  <c r="O242" i="7" s="1"/>
  <c r="E242" i="7"/>
  <c r="D242" i="7"/>
  <c r="C242" i="7"/>
  <c r="N242" i="7" s="1"/>
  <c r="B242" i="7"/>
  <c r="N241" i="7"/>
  <c r="L241" i="7"/>
  <c r="O241" i="7" s="1"/>
  <c r="D241" i="7"/>
  <c r="C241" i="7"/>
  <c r="E241" i="7" s="1"/>
  <c r="B241" i="7"/>
  <c r="D240" i="7"/>
  <c r="C240" i="7"/>
  <c r="B240" i="7"/>
  <c r="N239" i="7"/>
  <c r="D239" i="7"/>
  <c r="C239" i="7"/>
  <c r="B239" i="7"/>
  <c r="N238" i="7"/>
  <c r="O238" i="7" s="1"/>
  <c r="L238" i="7"/>
  <c r="E238" i="7"/>
  <c r="D238" i="7"/>
  <c r="C238" i="7"/>
  <c r="B238" i="7"/>
  <c r="D237" i="7"/>
  <c r="C237" i="7"/>
  <c r="B237" i="7"/>
  <c r="N236" i="7"/>
  <c r="E236" i="7"/>
  <c r="D236" i="7"/>
  <c r="C236" i="7"/>
  <c r="L236" i="7" s="1"/>
  <c r="O236" i="7" s="1"/>
  <c r="B236" i="7"/>
  <c r="D235" i="7"/>
  <c r="C235" i="7"/>
  <c r="B235" i="7"/>
  <c r="N234" i="7"/>
  <c r="O234" i="7" s="1"/>
  <c r="L234" i="7"/>
  <c r="E234" i="7"/>
  <c r="D234" i="7"/>
  <c r="C234" i="7"/>
  <c r="B234" i="7"/>
  <c r="L233" i="7"/>
  <c r="D233" i="7"/>
  <c r="C233" i="7"/>
  <c r="B233" i="7"/>
  <c r="O232" i="7"/>
  <c r="N232" i="7"/>
  <c r="E232" i="7"/>
  <c r="D232" i="7"/>
  <c r="C232" i="7"/>
  <c r="L232" i="7" s="1"/>
  <c r="B232" i="7"/>
  <c r="D231" i="7"/>
  <c r="C231" i="7"/>
  <c r="B231" i="7"/>
  <c r="N230" i="7"/>
  <c r="O230" i="7" s="1"/>
  <c r="L230" i="7"/>
  <c r="E230" i="7"/>
  <c r="D230" i="7"/>
  <c r="C230" i="7"/>
  <c r="B230" i="7"/>
  <c r="D229" i="7"/>
  <c r="C229" i="7"/>
  <c r="B229" i="7"/>
  <c r="O228" i="7"/>
  <c r="N228" i="7"/>
  <c r="E228" i="7"/>
  <c r="D228" i="7"/>
  <c r="C228" i="7"/>
  <c r="L228" i="7" s="1"/>
  <c r="B228" i="7"/>
  <c r="L227" i="7"/>
  <c r="D227" i="7"/>
  <c r="C227" i="7"/>
  <c r="B227" i="7"/>
  <c r="N226" i="7"/>
  <c r="O226" i="7" s="1"/>
  <c r="L226" i="7"/>
  <c r="E226" i="7"/>
  <c r="D226" i="7"/>
  <c r="C226" i="7"/>
  <c r="B226" i="7"/>
  <c r="D225" i="7"/>
  <c r="C225" i="7"/>
  <c r="B225" i="7"/>
  <c r="N224" i="7"/>
  <c r="E224" i="7"/>
  <c r="D224" i="7"/>
  <c r="C224" i="7"/>
  <c r="L224" i="7" s="1"/>
  <c r="O224" i="7" s="1"/>
  <c r="B224" i="7"/>
  <c r="L223" i="7"/>
  <c r="D223" i="7"/>
  <c r="C223" i="7"/>
  <c r="B223" i="7"/>
  <c r="N222" i="7"/>
  <c r="O222" i="7" s="1"/>
  <c r="L222" i="7"/>
  <c r="E222" i="7"/>
  <c r="D222" i="7"/>
  <c r="C222" i="7"/>
  <c r="B222" i="7"/>
  <c r="L221" i="7"/>
  <c r="D221" i="7"/>
  <c r="C221" i="7"/>
  <c r="B221" i="7"/>
  <c r="N220" i="7"/>
  <c r="E220" i="7"/>
  <c r="D220" i="7"/>
  <c r="C220" i="7"/>
  <c r="L220" i="7" s="1"/>
  <c r="O220" i="7" s="1"/>
  <c r="B220" i="7"/>
  <c r="D219" i="7"/>
  <c r="C219" i="7"/>
  <c r="B219" i="7"/>
  <c r="N218" i="7"/>
  <c r="O218" i="7" s="1"/>
  <c r="L218" i="7"/>
  <c r="E218" i="7"/>
  <c r="D218" i="7"/>
  <c r="C218" i="7"/>
  <c r="B218" i="7"/>
  <c r="L217" i="7"/>
  <c r="D217" i="7"/>
  <c r="C217" i="7"/>
  <c r="B217" i="7"/>
  <c r="O216" i="7"/>
  <c r="N216" i="7"/>
  <c r="E216" i="7"/>
  <c r="D216" i="7"/>
  <c r="C216" i="7"/>
  <c r="L216" i="7" s="1"/>
  <c r="B216" i="7"/>
  <c r="D215" i="7"/>
  <c r="C215" i="7"/>
  <c r="B215" i="7"/>
  <c r="N214" i="7"/>
  <c r="O214" i="7" s="1"/>
  <c r="L214" i="7"/>
  <c r="E214" i="7"/>
  <c r="D214" i="7"/>
  <c r="C214" i="7"/>
  <c r="B214" i="7"/>
  <c r="L213" i="7"/>
  <c r="D213" i="7"/>
  <c r="C213" i="7"/>
  <c r="B213" i="7"/>
  <c r="N212" i="7"/>
  <c r="E212" i="7"/>
  <c r="D212" i="7"/>
  <c r="C212" i="7"/>
  <c r="L212" i="7" s="1"/>
  <c r="O212" i="7" s="1"/>
  <c r="B212" i="7"/>
  <c r="D211" i="7"/>
  <c r="C211" i="7"/>
  <c r="B211" i="7"/>
  <c r="N210" i="7"/>
  <c r="O210" i="7" s="1"/>
  <c r="L210" i="7"/>
  <c r="E210" i="7"/>
  <c r="D210" i="7"/>
  <c r="C210" i="7"/>
  <c r="B210" i="7"/>
  <c r="D209" i="7"/>
  <c r="C209" i="7"/>
  <c r="B209" i="7"/>
  <c r="N208" i="7"/>
  <c r="E208" i="7"/>
  <c r="D208" i="7"/>
  <c r="C208" i="7"/>
  <c r="L208" i="7" s="1"/>
  <c r="B208" i="7"/>
  <c r="L207" i="7"/>
  <c r="D207" i="7"/>
  <c r="C207" i="7"/>
  <c r="B207" i="7"/>
  <c r="N206" i="7"/>
  <c r="O206" i="7" s="1"/>
  <c r="L206" i="7"/>
  <c r="E206" i="7"/>
  <c r="D206" i="7"/>
  <c r="C206" i="7"/>
  <c r="B206" i="7"/>
  <c r="D205" i="7"/>
  <c r="C205" i="7"/>
  <c r="B205" i="7"/>
  <c r="N204" i="7"/>
  <c r="E204" i="7"/>
  <c r="D204" i="7"/>
  <c r="C204" i="7"/>
  <c r="L204" i="7" s="1"/>
  <c r="O204" i="7" s="1"/>
  <c r="B204" i="7"/>
  <c r="D203" i="7"/>
  <c r="C203" i="7"/>
  <c r="B203" i="7"/>
  <c r="N202" i="7"/>
  <c r="O202" i="7" s="1"/>
  <c r="L202" i="7"/>
  <c r="E202" i="7"/>
  <c r="D202" i="7"/>
  <c r="C202" i="7"/>
  <c r="B202" i="7"/>
  <c r="L201" i="7"/>
  <c r="D201" i="7"/>
  <c r="C201" i="7"/>
  <c r="B201" i="7"/>
  <c r="O200" i="7"/>
  <c r="N200" i="7"/>
  <c r="E200" i="7"/>
  <c r="D200" i="7"/>
  <c r="C200" i="7"/>
  <c r="L200" i="7" s="1"/>
  <c r="B200" i="7"/>
  <c r="D199" i="7"/>
  <c r="C199" i="7"/>
  <c r="B199" i="7"/>
  <c r="N198" i="7"/>
  <c r="O198" i="7" s="1"/>
  <c r="L198" i="7"/>
  <c r="E198" i="7"/>
  <c r="D198" i="7"/>
  <c r="C198" i="7"/>
  <c r="B198" i="7"/>
  <c r="L197" i="7"/>
  <c r="D197" i="7"/>
  <c r="C197" i="7"/>
  <c r="B197" i="7"/>
  <c r="N196" i="7"/>
  <c r="O196" i="7" s="1"/>
  <c r="E196" i="7"/>
  <c r="D196" i="7"/>
  <c r="C196" i="7"/>
  <c r="L196" i="7" s="1"/>
  <c r="B196" i="7"/>
  <c r="L195" i="7"/>
  <c r="D195" i="7"/>
  <c r="C195" i="7"/>
  <c r="B195" i="7"/>
  <c r="N194" i="7"/>
  <c r="O194" i="7" s="1"/>
  <c r="L194" i="7"/>
  <c r="E194" i="7"/>
  <c r="D194" i="7"/>
  <c r="C194" i="7"/>
  <c r="B194" i="7"/>
  <c r="D193" i="7"/>
  <c r="C193" i="7"/>
  <c r="B193" i="7"/>
  <c r="N192" i="7"/>
  <c r="E192" i="7"/>
  <c r="D192" i="7"/>
  <c r="C192" i="7"/>
  <c r="L192" i="7" s="1"/>
  <c r="B192" i="7"/>
  <c r="L191" i="7"/>
  <c r="D191" i="7"/>
  <c r="C191" i="7"/>
  <c r="B191" i="7"/>
  <c r="N190" i="7"/>
  <c r="O190" i="7" s="1"/>
  <c r="L190" i="7"/>
  <c r="E190" i="7"/>
  <c r="D190" i="7"/>
  <c r="C190" i="7"/>
  <c r="B190" i="7"/>
  <c r="L189" i="7"/>
  <c r="D189" i="7"/>
  <c r="C189" i="7"/>
  <c r="B189" i="7"/>
  <c r="N188" i="7"/>
  <c r="E188" i="7"/>
  <c r="D188" i="7"/>
  <c r="C188" i="7"/>
  <c r="L188" i="7" s="1"/>
  <c r="O188" i="7" s="1"/>
  <c r="B188" i="7"/>
  <c r="D187" i="7"/>
  <c r="C187" i="7"/>
  <c r="B187" i="7"/>
  <c r="N186" i="7"/>
  <c r="O186" i="7" s="1"/>
  <c r="L186" i="7"/>
  <c r="E186" i="7"/>
  <c r="D186" i="7"/>
  <c r="C186" i="7"/>
  <c r="B186" i="7"/>
  <c r="L185" i="7"/>
  <c r="D185" i="7"/>
  <c r="C185" i="7"/>
  <c r="B185" i="7"/>
  <c r="O184" i="7"/>
  <c r="N184" i="7"/>
  <c r="E184" i="7"/>
  <c r="D184" i="7"/>
  <c r="C184" i="7"/>
  <c r="L184" i="7" s="1"/>
  <c r="B184" i="7"/>
  <c r="D183" i="7"/>
  <c r="C183" i="7"/>
  <c r="B183" i="7"/>
  <c r="N182" i="7"/>
  <c r="O182" i="7" s="1"/>
  <c r="L182" i="7"/>
  <c r="E182" i="7"/>
  <c r="D182" i="7"/>
  <c r="C182" i="7"/>
  <c r="B182" i="7"/>
  <c r="L181" i="7"/>
  <c r="D181" i="7"/>
  <c r="C181" i="7"/>
  <c r="B181" i="7"/>
  <c r="N180" i="7"/>
  <c r="E180" i="7"/>
  <c r="D180" i="7"/>
  <c r="C180" i="7"/>
  <c r="L180" i="7" s="1"/>
  <c r="O180" i="7" s="1"/>
  <c r="B180" i="7"/>
  <c r="D179" i="7"/>
  <c r="C179" i="7"/>
  <c r="B179" i="7"/>
  <c r="N178" i="7"/>
  <c r="O178" i="7" s="1"/>
  <c r="L178" i="7"/>
  <c r="E178" i="7"/>
  <c r="D178" i="7"/>
  <c r="C178" i="7"/>
  <c r="B178" i="7"/>
  <c r="D177" i="7"/>
  <c r="C177" i="7"/>
  <c r="B177" i="7"/>
  <c r="N176" i="7"/>
  <c r="E176" i="7"/>
  <c r="D176" i="7"/>
  <c r="C176" i="7"/>
  <c r="L176" i="7" s="1"/>
  <c r="B176" i="7"/>
  <c r="L175" i="7"/>
  <c r="D175" i="7"/>
  <c r="C175" i="7"/>
  <c r="B175" i="7"/>
  <c r="N174" i="7"/>
  <c r="O174" i="7" s="1"/>
  <c r="L174" i="7"/>
  <c r="E174" i="7"/>
  <c r="D174" i="7"/>
  <c r="C174" i="7"/>
  <c r="B174" i="7"/>
  <c r="D173" i="7"/>
  <c r="C173" i="7"/>
  <c r="B173" i="7"/>
  <c r="N172" i="7"/>
  <c r="E172" i="7"/>
  <c r="D172" i="7"/>
  <c r="C172" i="7"/>
  <c r="L172" i="7" s="1"/>
  <c r="B172" i="7"/>
  <c r="D171" i="7"/>
  <c r="C171" i="7"/>
  <c r="B171" i="7"/>
  <c r="N170" i="7"/>
  <c r="O170" i="7" s="1"/>
  <c r="L170" i="7"/>
  <c r="E170" i="7"/>
  <c r="D170" i="7"/>
  <c r="C170" i="7"/>
  <c r="B170" i="7"/>
  <c r="L169" i="7"/>
  <c r="D169" i="7"/>
  <c r="C169" i="7"/>
  <c r="B169" i="7"/>
  <c r="O168" i="7"/>
  <c r="N168" i="7"/>
  <c r="E168" i="7"/>
  <c r="D168" i="7"/>
  <c r="C168" i="7"/>
  <c r="L168" i="7" s="1"/>
  <c r="B168" i="7"/>
  <c r="D167" i="7"/>
  <c r="C167" i="7"/>
  <c r="B167" i="7"/>
  <c r="N166" i="7"/>
  <c r="O166" i="7" s="1"/>
  <c r="L166" i="7"/>
  <c r="E166" i="7"/>
  <c r="D166" i="7"/>
  <c r="C166" i="7"/>
  <c r="B166" i="7"/>
  <c r="L165" i="7"/>
  <c r="D165" i="7"/>
  <c r="C165" i="7"/>
  <c r="B165" i="7"/>
  <c r="O164" i="7"/>
  <c r="N164" i="7"/>
  <c r="E164" i="7"/>
  <c r="D164" i="7"/>
  <c r="C164" i="7"/>
  <c r="L164" i="7" s="1"/>
  <c r="B164" i="7"/>
  <c r="L163" i="7"/>
  <c r="D163" i="7"/>
  <c r="C163" i="7"/>
  <c r="B163" i="7"/>
  <c r="N162" i="7"/>
  <c r="E162" i="7"/>
  <c r="D162" i="7"/>
  <c r="C162" i="7"/>
  <c r="L162" i="7" s="1"/>
  <c r="O162" i="7" s="1"/>
  <c r="B162" i="7"/>
  <c r="D161" i="7"/>
  <c r="C161" i="7"/>
  <c r="B161" i="7"/>
  <c r="N160" i="7"/>
  <c r="E160" i="7"/>
  <c r="D160" i="7"/>
  <c r="C160" i="7"/>
  <c r="L160" i="7" s="1"/>
  <c r="O160" i="7" s="1"/>
  <c r="B160" i="7"/>
  <c r="D159" i="7"/>
  <c r="C159" i="7"/>
  <c r="B159" i="7"/>
  <c r="N158" i="7"/>
  <c r="O158" i="7" s="1"/>
  <c r="L158" i="7"/>
  <c r="E158" i="7"/>
  <c r="D158" i="7"/>
  <c r="C158" i="7"/>
  <c r="B158" i="7"/>
  <c r="L157" i="7"/>
  <c r="D157" i="7"/>
  <c r="C157" i="7"/>
  <c r="B157" i="7"/>
  <c r="O156" i="7"/>
  <c r="N156" i="7"/>
  <c r="E156" i="7"/>
  <c r="D156" i="7"/>
  <c r="C156" i="7"/>
  <c r="L156" i="7" s="1"/>
  <c r="B156" i="7"/>
  <c r="D155" i="7"/>
  <c r="C155" i="7"/>
  <c r="B155" i="7"/>
  <c r="N154" i="7"/>
  <c r="E154" i="7"/>
  <c r="D154" i="7"/>
  <c r="C154" i="7"/>
  <c r="L154" i="7" s="1"/>
  <c r="O154" i="7" s="1"/>
  <c r="B154" i="7"/>
  <c r="D153" i="7"/>
  <c r="C153" i="7"/>
  <c r="B153" i="7"/>
  <c r="N152" i="7"/>
  <c r="O152" i="7" s="1"/>
  <c r="L152" i="7"/>
  <c r="E152" i="7"/>
  <c r="D152" i="7"/>
  <c r="C152" i="7"/>
  <c r="B152" i="7"/>
  <c r="L151" i="7"/>
  <c r="D151" i="7"/>
  <c r="C151" i="7"/>
  <c r="B151" i="7"/>
  <c r="N150" i="7"/>
  <c r="E150" i="7"/>
  <c r="D150" i="7"/>
  <c r="C150" i="7"/>
  <c r="L150" i="7" s="1"/>
  <c r="O150" i="7" s="1"/>
  <c r="B150" i="7"/>
  <c r="D149" i="7"/>
  <c r="C149" i="7"/>
  <c r="B149" i="7"/>
  <c r="N148" i="7"/>
  <c r="L148" i="7"/>
  <c r="E148" i="7"/>
  <c r="D148" i="7"/>
  <c r="C148" i="7"/>
  <c r="B148" i="7"/>
  <c r="L147" i="7"/>
  <c r="D147" i="7"/>
  <c r="C147" i="7"/>
  <c r="B147" i="7"/>
  <c r="N146" i="7"/>
  <c r="E146" i="7"/>
  <c r="D146" i="7"/>
  <c r="C146" i="7"/>
  <c r="L146" i="7" s="1"/>
  <c r="B146" i="7"/>
  <c r="L145" i="7"/>
  <c r="D145" i="7"/>
  <c r="C145" i="7"/>
  <c r="B145" i="7"/>
  <c r="O144" i="7"/>
  <c r="N144" i="7"/>
  <c r="E144" i="7"/>
  <c r="D144" i="7"/>
  <c r="C144" i="7"/>
  <c r="L144" i="7" s="1"/>
  <c r="B144" i="7"/>
  <c r="D143" i="7"/>
  <c r="C143" i="7"/>
  <c r="B143" i="7"/>
  <c r="N142" i="7"/>
  <c r="E142" i="7"/>
  <c r="D142" i="7"/>
  <c r="C142" i="7"/>
  <c r="L142" i="7" s="1"/>
  <c r="O142" i="7" s="1"/>
  <c r="B142" i="7"/>
  <c r="D141" i="7"/>
  <c r="C141" i="7"/>
  <c r="B141" i="7"/>
  <c r="N140" i="7"/>
  <c r="O140" i="7" s="1"/>
  <c r="L140" i="7"/>
  <c r="E140" i="7"/>
  <c r="D140" i="7"/>
  <c r="C140" i="7"/>
  <c r="B140" i="7"/>
  <c r="L139" i="7"/>
  <c r="D139" i="7"/>
  <c r="C139" i="7"/>
  <c r="B139" i="7"/>
  <c r="N138" i="7"/>
  <c r="E138" i="7"/>
  <c r="D138" i="7"/>
  <c r="C138" i="7"/>
  <c r="L138" i="7" s="1"/>
  <c r="O138" i="7" s="1"/>
  <c r="B138" i="7"/>
  <c r="D137" i="7"/>
  <c r="C137" i="7"/>
  <c r="B137" i="7"/>
  <c r="N136" i="7"/>
  <c r="O136" i="7" s="1"/>
  <c r="L136" i="7"/>
  <c r="E136" i="7"/>
  <c r="D136" i="7"/>
  <c r="C136" i="7"/>
  <c r="B136" i="7"/>
  <c r="L135" i="7"/>
  <c r="D135" i="7"/>
  <c r="C135" i="7"/>
  <c r="B135" i="7"/>
  <c r="N134" i="7"/>
  <c r="E134" i="7"/>
  <c r="D134" i="7"/>
  <c r="C134" i="7"/>
  <c r="L134" i="7" s="1"/>
  <c r="B134" i="7"/>
  <c r="L133" i="7"/>
  <c r="D133" i="7"/>
  <c r="C133" i="7"/>
  <c r="B133" i="7"/>
  <c r="N132" i="7"/>
  <c r="L132" i="7"/>
  <c r="E132" i="7"/>
  <c r="D132" i="7"/>
  <c r="C132" i="7"/>
  <c r="B132" i="7"/>
  <c r="O132" i="7" s="1"/>
  <c r="D131" i="7"/>
  <c r="C131" i="7"/>
  <c r="B131" i="7"/>
  <c r="N130" i="7"/>
  <c r="E130" i="7"/>
  <c r="D130" i="7"/>
  <c r="C130" i="7"/>
  <c r="L130" i="7" s="1"/>
  <c r="O130" i="7" s="1"/>
  <c r="B130" i="7"/>
  <c r="L129" i="7"/>
  <c r="D129" i="7"/>
  <c r="C129" i="7"/>
  <c r="B129" i="7"/>
  <c r="N128" i="7"/>
  <c r="O128" i="7" s="1"/>
  <c r="E128" i="7"/>
  <c r="D128" i="7"/>
  <c r="C128" i="7"/>
  <c r="L128" i="7" s="1"/>
  <c r="B128" i="7"/>
  <c r="L127" i="7"/>
  <c r="D127" i="7"/>
  <c r="C127" i="7"/>
  <c r="B127" i="7"/>
  <c r="N126" i="7"/>
  <c r="E126" i="7"/>
  <c r="D126" i="7"/>
  <c r="C126" i="7"/>
  <c r="L126" i="7" s="1"/>
  <c r="O126" i="7" s="1"/>
  <c r="B126" i="7"/>
  <c r="D125" i="7"/>
  <c r="C125" i="7"/>
  <c r="B125" i="7"/>
  <c r="N124" i="7"/>
  <c r="L124" i="7"/>
  <c r="E124" i="7"/>
  <c r="D124" i="7"/>
  <c r="C124" i="7"/>
  <c r="B124" i="7"/>
  <c r="L123" i="7"/>
  <c r="D123" i="7"/>
  <c r="C123" i="7"/>
  <c r="B123" i="7"/>
  <c r="N122" i="7"/>
  <c r="E122" i="7"/>
  <c r="D122" i="7"/>
  <c r="C122" i="7"/>
  <c r="L122" i="7" s="1"/>
  <c r="B122" i="7"/>
  <c r="L121" i="7"/>
  <c r="D121" i="7"/>
  <c r="C121" i="7"/>
  <c r="B121" i="7"/>
  <c r="N120" i="7"/>
  <c r="L120" i="7"/>
  <c r="E120" i="7"/>
  <c r="D120" i="7"/>
  <c r="C120" i="7"/>
  <c r="B120" i="7"/>
  <c r="O120" i="7" s="1"/>
  <c r="D119" i="7"/>
  <c r="C119" i="7"/>
  <c r="B119" i="7"/>
  <c r="N118" i="7"/>
  <c r="E118" i="7"/>
  <c r="D118" i="7"/>
  <c r="C118" i="7"/>
  <c r="L118" i="7" s="1"/>
  <c r="O118" i="7" s="1"/>
  <c r="B118" i="7"/>
  <c r="L117" i="7"/>
  <c r="D117" i="7"/>
  <c r="C117" i="7"/>
  <c r="B117" i="7"/>
  <c r="O116" i="7"/>
  <c r="N116" i="7"/>
  <c r="L116" i="7"/>
  <c r="E116" i="7"/>
  <c r="D116" i="7"/>
  <c r="C116" i="7"/>
  <c r="B116" i="7"/>
  <c r="D115" i="7"/>
  <c r="C115" i="7"/>
  <c r="B115" i="7"/>
  <c r="N114" i="7"/>
  <c r="E114" i="7"/>
  <c r="D114" i="7"/>
  <c r="C114" i="7"/>
  <c r="L114" i="7" s="1"/>
  <c r="B114" i="7"/>
  <c r="D113" i="7"/>
  <c r="C113" i="7"/>
  <c r="B113" i="7"/>
  <c r="N112" i="7"/>
  <c r="O112" i="7" s="1"/>
  <c r="L112" i="7"/>
  <c r="E112" i="7"/>
  <c r="D112" i="7"/>
  <c r="C112" i="7"/>
  <c r="B112" i="7"/>
  <c r="D111" i="7"/>
  <c r="C111" i="7"/>
  <c r="B111" i="7"/>
  <c r="N110" i="7"/>
  <c r="E110" i="7"/>
  <c r="D110" i="7"/>
  <c r="C110" i="7"/>
  <c r="L110" i="7" s="1"/>
  <c r="B110" i="7"/>
  <c r="L109" i="7"/>
  <c r="D109" i="7"/>
  <c r="C109" i="7"/>
  <c r="B109" i="7"/>
  <c r="N108" i="7"/>
  <c r="O108" i="7" s="1"/>
  <c r="L108" i="7"/>
  <c r="E108" i="7"/>
  <c r="D108" i="7"/>
  <c r="C108" i="7"/>
  <c r="B108" i="7"/>
  <c r="L107" i="7"/>
  <c r="D107" i="7"/>
  <c r="C107" i="7"/>
  <c r="B107" i="7"/>
  <c r="N106" i="7"/>
  <c r="E106" i="7"/>
  <c r="D106" i="7"/>
  <c r="C106" i="7"/>
  <c r="L106" i="7" s="1"/>
  <c r="B106" i="7"/>
  <c r="L105" i="7"/>
  <c r="D105" i="7"/>
  <c r="C105" i="7"/>
  <c r="B105" i="7"/>
  <c r="N104" i="7"/>
  <c r="L104" i="7"/>
  <c r="E104" i="7"/>
  <c r="D104" i="7"/>
  <c r="C104" i="7"/>
  <c r="B104" i="7"/>
  <c r="O104" i="7" s="1"/>
  <c r="L103" i="7"/>
  <c r="D103" i="7"/>
  <c r="C103" i="7"/>
  <c r="B103" i="7"/>
  <c r="N102" i="7"/>
  <c r="E102" i="7"/>
  <c r="D102" i="7"/>
  <c r="C102" i="7"/>
  <c r="L102" i="7" s="1"/>
  <c r="B102" i="7"/>
  <c r="L101" i="7"/>
  <c r="D101" i="7"/>
  <c r="C101" i="7"/>
  <c r="B101" i="7"/>
  <c r="O100" i="7"/>
  <c r="N100" i="7"/>
  <c r="L100" i="7"/>
  <c r="E100" i="7"/>
  <c r="D100" i="7"/>
  <c r="C100" i="7"/>
  <c r="B100" i="7"/>
  <c r="D99" i="7"/>
  <c r="C99" i="7"/>
  <c r="B99" i="7"/>
  <c r="N98" i="7"/>
  <c r="E98" i="7"/>
  <c r="D98" i="7"/>
  <c r="C98" i="7"/>
  <c r="L98" i="7" s="1"/>
  <c r="B98" i="7"/>
  <c r="N97" i="7"/>
  <c r="L97" i="7"/>
  <c r="E97" i="7"/>
  <c r="D97" i="7"/>
  <c r="B97" i="7"/>
  <c r="N96" i="7"/>
  <c r="L96" i="7"/>
  <c r="E96" i="7"/>
  <c r="D96" i="7"/>
  <c r="B96" i="7"/>
  <c r="N95" i="7"/>
  <c r="O95" i="7" s="1"/>
  <c r="L95" i="7"/>
  <c r="E95" i="7"/>
  <c r="D95" i="7"/>
  <c r="B95" i="7"/>
  <c r="N94" i="7"/>
  <c r="L94" i="7"/>
  <c r="O94" i="7" s="1"/>
  <c r="E94" i="7"/>
  <c r="D94" i="7"/>
  <c r="B94" i="7"/>
  <c r="O93" i="7"/>
  <c r="N93" i="7"/>
  <c r="L93" i="7"/>
  <c r="E93" i="7"/>
  <c r="D93" i="7"/>
  <c r="B93" i="7"/>
  <c r="N92" i="7"/>
  <c r="L92" i="7"/>
  <c r="E92" i="7"/>
  <c r="D92" i="7"/>
  <c r="B92" i="7"/>
  <c r="N91" i="7"/>
  <c r="L91" i="7"/>
  <c r="E91" i="7"/>
  <c r="D91" i="7"/>
  <c r="B91" i="7"/>
  <c r="O91" i="7" s="1"/>
  <c r="N90" i="7"/>
  <c r="L90" i="7"/>
  <c r="O90" i="7" s="1"/>
  <c r="E90" i="7"/>
  <c r="D90" i="7"/>
  <c r="B90" i="7"/>
  <c r="N89" i="7"/>
  <c r="L89" i="7"/>
  <c r="E89" i="7"/>
  <c r="D89" i="7"/>
  <c r="B89" i="7"/>
  <c r="N88" i="7"/>
  <c r="L88" i="7"/>
  <c r="O88" i="7" s="1"/>
  <c r="E88" i="7"/>
  <c r="D88" i="7"/>
  <c r="B88" i="7"/>
  <c r="N87" i="7"/>
  <c r="O87" i="7" s="1"/>
  <c r="L87" i="7"/>
  <c r="E87" i="7"/>
  <c r="D87" i="7"/>
  <c r="B87" i="7"/>
  <c r="O86" i="7"/>
  <c r="N86" i="7"/>
  <c r="L86" i="7"/>
  <c r="E86" i="7"/>
  <c r="D86" i="7"/>
  <c r="B86" i="7"/>
  <c r="N85" i="7"/>
  <c r="L85" i="7"/>
  <c r="O85" i="7" s="1"/>
  <c r="E85" i="7"/>
  <c r="D85" i="7"/>
  <c r="B85" i="7"/>
  <c r="N84" i="7"/>
  <c r="L84" i="7"/>
  <c r="E84" i="7"/>
  <c r="D84" i="7"/>
  <c r="B84" i="7"/>
  <c r="N83" i="7"/>
  <c r="O83" i="7" s="1"/>
  <c r="L83" i="7"/>
  <c r="E83" i="7"/>
  <c r="D83" i="7"/>
  <c r="B83" i="7"/>
  <c r="O82" i="7"/>
  <c r="N82" i="7"/>
  <c r="L82" i="7"/>
  <c r="E82" i="7"/>
  <c r="D82" i="7"/>
  <c r="B82" i="7"/>
  <c r="N81" i="7"/>
  <c r="L81" i="7"/>
  <c r="O81" i="7" s="1"/>
  <c r="E81" i="7"/>
  <c r="D81" i="7"/>
  <c r="B81" i="7"/>
  <c r="N80" i="7"/>
  <c r="L80" i="7"/>
  <c r="O80" i="7" s="1"/>
  <c r="E80" i="7"/>
  <c r="D80" i="7"/>
  <c r="B80" i="7"/>
  <c r="N79" i="7"/>
  <c r="O79" i="7" s="1"/>
  <c r="L79" i="7"/>
  <c r="E79" i="7"/>
  <c r="D79" i="7"/>
  <c r="B79" i="7"/>
  <c r="O78" i="7"/>
  <c r="N78" i="7"/>
  <c r="L78" i="7"/>
  <c r="E78" i="7"/>
  <c r="D78" i="7"/>
  <c r="B78" i="7"/>
  <c r="O77" i="7"/>
  <c r="N77" i="7"/>
  <c r="L77" i="7"/>
  <c r="E77" i="7"/>
  <c r="D77" i="7"/>
  <c r="B77" i="7"/>
  <c r="N76" i="7"/>
  <c r="L76" i="7"/>
  <c r="E76" i="7"/>
  <c r="D76" i="7"/>
  <c r="B76" i="7"/>
  <c r="N75" i="7"/>
  <c r="O75" i="7" s="1"/>
  <c r="L75" i="7"/>
  <c r="E75" i="7"/>
  <c r="D75" i="7"/>
  <c r="B75" i="7"/>
  <c r="O74" i="7"/>
  <c r="N74" i="7"/>
  <c r="L74" i="7"/>
  <c r="E74" i="7"/>
  <c r="D74" i="7"/>
  <c r="B74" i="7"/>
  <c r="N73" i="7"/>
  <c r="L73" i="7"/>
  <c r="E73" i="7"/>
  <c r="D73" i="7"/>
  <c r="B73" i="7"/>
  <c r="N72" i="7"/>
  <c r="L72" i="7"/>
  <c r="O72" i="7" s="1"/>
  <c r="E72" i="7"/>
  <c r="D72" i="7"/>
  <c r="B72" i="7"/>
  <c r="N71" i="7"/>
  <c r="O71" i="7" s="1"/>
  <c r="L71" i="7"/>
  <c r="E71" i="7"/>
  <c r="D71" i="7"/>
  <c r="B71" i="7"/>
  <c r="O70" i="7"/>
  <c r="N70" i="7"/>
  <c r="L70" i="7"/>
  <c r="E70" i="7"/>
  <c r="D70" i="7"/>
  <c r="B70" i="7"/>
  <c r="N69" i="7"/>
  <c r="L69" i="7"/>
  <c r="O69" i="7" s="1"/>
  <c r="E69" i="7"/>
  <c r="D69" i="7"/>
  <c r="B69" i="7"/>
  <c r="N68" i="7"/>
  <c r="L68" i="7"/>
  <c r="E68" i="7"/>
  <c r="D68" i="7"/>
  <c r="B68" i="7"/>
  <c r="N67" i="7"/>
  <c r="O67" i="7" s="1"/>
  <c r="L67" i="7"/>
  <c r="E67" i="7"/>
  <c r="D67" i="7"/>
  <c r="B67" i="7"/>
  <c r="O66" i="7"/>
  <c r="N66" i="7"/>
  <c r="L66" i="7"/>
  <c r="E66" i="7"/>
  <c r="D66" i="7"/>
  <c r="B66" i="7"/>
  <c r="N65" i="7"/>
  <c r="L65" i="7"/>
  <c r="O65" i="7" s="1"/>
  <c r="E65" i="7"/>
  <c r="D65" i="7"/>
  <c r="B65" i="7"/>
  <c r="N64" i="7"/>
  <c r="L64" i="7"/>
  <c r="O64" i="7" s="1"/>
  <c r="E64" i="7"/>
  <c r="D64" i="7"/>
  <c r="B64" i="7"/>
  <c r="N63" i="7"/>
  <c r="O63" i="7" s="1"/>
  <c r="L63" i="7"/>
  <c r="E63" i="7"/>
  <c r="D63" i="7"/>
  <c r="B63" i="7"/>
  <c r="O62" i="7"/>
  <c r="N62" i="7"/>
  <c r="L62" i="7"/>
  <c r="E62" i="7"/>
  <c r="D62" i="7"/>
  <c r="B62" i="7"/>
  <c r="O61" i="7"/>
  <c r="N61" i="7"/>
  <c r="L61" i="7"/>
  <c r="E61" i="7"/>
  <c r="D61" i="7"/>
  <c r="B61" i="7"/>
  <c r="N60" i="7"/>
  <c r="L60" i="7"/>
  <c r="E60" i="7"/>
  <c r="D60" i="7"/>
  <c r="B60" i="7"/>
  <c r="N59" i="7"/>
  <c r="O59" i="7" s="1"/>
  <c r="L59" i="7"/>
  <c r="E59" i="7"/>
  <c r="D59" i="7"/>
  <c r="B59" i="7"/>
  <c r="O58" i="7"/>
  <c r="N58" i="7"/>
  <c r="L58" i="7"/>
  <c r="E58" i="7"/>
  <c r="D58" i="7"/>
  <c r="B58" i="7"/>
  <c r="N57" i="7"/>
  <c r="L57" i="7"/>
  <c r="E57" i="7"/>
  <c r="D57" i="7"/>
  <c r="B57" i="7"/>
  <c r="N56" i="7"/>
  <c r="L56" i="7"/>
  <c r="O56" i="7" s="1"/>
  <c r="E56" i="7"/>
  <c r="D56" i="7"/>
  <c r="B56" i="7"/>
  <c r="N55" i="7"/>
  <c r="O55" i="7" s="1"/>
  <c r="L55" i="7"/>
  <c r="E55" i="7"/>
  <c r="D55" i="7"/>
  <c r="B55" i="7"/>
  <c r="O54" i="7"/>
  <c r="N54" i="7"/>
  <c r="L54" i="7"/>
  <c r="E54" i="7"/>
  <c r="D54" i="7"/>
  <c r="B54" i="7"/>
  <c r="N53" i="7"/>
  <c r="L53" i="7"/>
  <c r="O53" i="7" s="1"/>
  <c r="E53" i="7"/>
  <c r="D53" i="7"/>
  <c r="B53" i="7"/>
  <c r="N52" i="7"/>
  <c r="L52" i="7"/>
  <c r="E52" i="7"/>
  <c r="D52" i="7"/>
  <c r="B52" i="7"/>
  <c r="N51" i="7"/>
  <c r="O51" i="7" s="1"/>
  <c r="L51" i="7"/>
  <c r="E51" i="7"/>
  <c r="D51" i="7"/>
  <c r="B51" i="7"/>
  <c r="O50" i="7"/>
  <c r="N50" i="7"/>
  <c r="L50" i="7"/>
  <c r="E50" i="7"/>
  <c r="D50" i="7"/>
  <c r="B50" i="7"/>
  <c r="N49" i="7"/>
  <c r="L49" i="7"/>
  <c r="O49" i="7" s="1"/>
  <c r="E49" i="7"/>
  <c r="D49" i="7"/>
  <c r="B49" i="7"/>
  <c r="N48" i="7"/>
  <c r="L48" i="7"/>
  <c r="O48" i="7" s="1"/>
  <c r="E48" i="7"/>
  <c r="D48" i="7"/>
  <c r="B48" i="7"/>
  <c r="N47" i="7"/>
  <c r="O47" i="7" s="1"/>
  <c r="L47" i="7"/>
  <c r="E47" i="7"/>
  <c r="D47" i="7"/>
  <c r="B47" i="7"/>
  <c r="O46" i="7"/>
  <c r="N46" i="7"/>
  <c r="L46" i="7"/>
  <c r="E46" i="7"/>
  <c r="D46" i="7"/>
  <c r="B46" i="7"/>
  <c r="O45" i="7"/>
  <c r="N45" i="7"/>
  <c r="L45" i="7"/>
  <c r="E45" i="7"/>
  <c r="D45" i="7"/>
  <c r="B45" i="7"/>
  <c r="N44" i="7"/>
  <c r="L44" i="7"/>
  <c r="E44" i="7"/>
  <c r="D44" i="7"/>
  <c r="B44" i="7"/>
  <c r="N43" i="7"/>
  <c r="O43" i="7" s="1"/>
  <c r="L43" i="7"/>
  <c r="E43" i="7"/>
  <c r="D43" i="7"/>
  <c r="B43" i="7"/>
  <c r="O42" i="7"/>
  <c r="N42" i="7"/>
  <c r="L42" i="7"/>
  <c r="E42" i="7"/>
  <c r="D42" i="7"/>
  <c r="B42" i="7"/>
  <c r="N41" i="7"/>
  <c r="L41" i="7"/>
  <c r="E41" i="7"/>
  <c r="D41" i="7"/>
  <c r="B41" i="7"/>
  <c r="N40" i="7"/>
  <c r="L40" i="7"/>
  <c r="O40" i="7" s="1"/>
  <c r="E40" i="7"/>
  <c r="D40" i="7"/>
  <c r="B40" i="7"/>
  <c r="N39" i="7"/>
  <c r="O39" i="7" s="1"/>
  <c r="L39" i="7"/>
  <c r="E39" i="7"/>
  <c r="D39" i="7"/>
  <c r="B39" i="7"/>
  <c r="O38" i="7"/>
  <c r="N38" i="7"/>
  <c r="L38" i="7"/>
  <c r="E38" i="7"/>
  <c r="D38" i="7"/>
  <c r="B38" i="7"/>
  <c r="N37" i="7"/>
  <c r="L37" i="7"/>
  <c r="O37" i="7" s="1"/>
  <c r="E37" i="7"/>
  <c r="D37" i="7"/>
  <c r="B37" i="7"/>
  <c r="N36" i="7"/>
  <c r="L36" i="7"/>
  <c r="E36" i="7"/>
  <c r="D36" i="7"/>
  <c r="B36" i="7"/>
  <c r="N35" i="7"/>
  <c r="L35" i="7"/>
  <c r="O35" i="7" s="1"/>
  <c r="E35" i="7"/>
  <c r="D35" i="7"/>
  <c r="B35" i="7"/>
  <c r="O34" i="7"/>
  <c r="N34" i="7"/>
  <c r="L34" i="7"/>
  <c r="E34" i="7"/>
  <c r="D34" i="7"/>
  <c r="B34" i="7"/>
  <c r="N33" i="7"/>
  <c r="L33" i="7"/>
  <c r="O33" i="7" s="1"/>
  <c r="E33" i="7"/>
  <c r="D33" i="7"/>
  <c r="B33" i="7"/>
  <c r="N32" i="7"/>
  <c r="L32" i="7"/>
  <c r="O32" i="7" s="1"/>
  <c r="E32" i="7"/>
  <c r="D32" i="7"/>
  <c r="B32" i="7"/>
  <c r="N31" i="7"/>
  <c r="O31" i="7" s="1"/>
  <c r="L31" i="7"/>
  <c r="E31" i="7"/>
  <c r="D31" i="7"/>
  <c r="B31" i="7"/>
  <c r="O30" i="7"/>
  <c r="N30" i="7"/>
  <c r="L30" i="7"/>
  <c r="E30" i="7"/>
  <c r="D30" i="7"/>
  <c r="B30" i="7"/>
  <c r="O29" i="7"/>
  <c r="N29" i="7"/>
  <c r="L29" i="7"/>
  <c r="E29" i="7"/>
  <c r="D29" i="7"/>
  <c r="B29" i="7"/>
  <c r="N28" i="7"/>
  <c r="L28" i="7"/>
  <c r="E28" i="7"/>
  <c r="D28" i="7"/>
  <c r="B28" i="7"/>
  <c r="N27" i="7"/>
  <c r="L27" i="7"/>
  <c r="O27" i="7" s="1"/>
  <c r="E27" i="7"/>
  <c r="D27" i="7"/>
  <c r="B27" i="7"/>
  <c r="O26" i="7"/>
  <c r="N26" i="7"/>
  <c r="L26" i="7"/>
  <c r="E26" i="7"/>
  <c r="D26" i="7"/>
  <c r="B26" i="7"/>
  <c r="N25" i="7"/>
  <c r="L25" i="7"/>
  <c r="E25" i="7"/>
  <c r="D25" i="7"/>
  <c r="B25" i="7"/>
  <c r="N24" i="7"/>
  <c r="L24" i="7"/>
  <c r="O24" i="7" s="1"/>
  <c r="E24" i="7"/>
  <c r="D24" i="7"/>
  <c r="B24" i="7"/>
  <c r="N23" i="7"/>
  <c r="O23" i="7" s="1"/>
  <c r="L23" i="7"/>
  <c r="E23" i="7"/>
  <c r="D23" i="7"/>
  <c r="B23" i="7"/>
  <c r="O22" i="7"/>
  <c r="N22" i="7"/>
  <c r="L22" i="7"/>
  <c r="E22" i="7"/>
  <c r="D22" i="7"/>
  <c r="B22" i="7"/>
  <c r="N21" i="7"/>
  <c r="L21" i="7"/>
  <c r="O21" i="7" s="1"/>
  <c r="E21" i="7"/>
  <c r="D21" i="7"/>
  <c r="B21" i="7"/>
  <c r="N20" i="7"/>
  <c r="L20" i="7"/>
  <c r="E20" i="7"/>
  <c r="D20" i="7"/>
  <c r="B20" i="7"/>
  <c r="O20" i="7" s="1"/>
  <c r="N19" i="7"/>
  <c r="L19" i="7"/>
  <c r="O19" i="7" s="1"/>
  <c r="E19" i="7"/>
  <c r="D19" i="7"/>
  <c r="B19" i="7"/>
  <c r="O18" i="7"/>
  <c r="N18" i="7"/>
  <c r="L18" i="7"/>
  <c r="E18" i="7"/>
  <c r="D18" i="7"/>
  <c r="B18" i="7"/>
  <c r="N17" i="7"/>
  <c r="L17" i="7"/>
  <c r="O17" i="7" s="1"/>
  <c r="E17" i="7"/>
  <c r="D17" i="7"/>
  <c r="B17" i="7"/>
  <c r="N16" i="7"/>
  <c r="L16" i="7"/>
  <c r="O16" i="7" s="1"/>
  <c r="E16" i="7"/>
  <c r="D16" i="7"/>
  <c r="B16" i="7"/>
  <c r="N15" i="7"/>
  <c r="O15" i="7" s="1"/>
  <c r="L15" i="7"/>
  <c r="E15" i="7"/>
  <c r="D15" i="7"/>
  <c r="B15" i="7"/>
  <c r="O14" i="7"/>
  <c r="N14" i="7"/>
  <c r="L14" i="7"/>
  <c r="E14" i="7"/>
  <c r="D14" i="7"/>
  <c r="B14" i="7"/>
  <c r="O13" i="7"/>
  <c r="N13" i="7"/>
  <c r="L13" i="7"/>
  <c r="E13" i="7"/>
  <c r="D13" i="7"/>
  <c r="B13" i="7"/>
  <c r="N12" i="7"/>
  <c r="L12" i="7"/>
  <c r="E12" i="7"/>
  <c r="D12" i="7"/>
  <c r="B12" i="7"/>
  <c r="O12" i="7" s="1"/>
  <c r="N11" i="7"/>
  <c r="O11" i="7" s="1"/>
  <c r="L11" i="7"/>
  <c r="E11" i="7"/>
  <c r="D11" i="7"/>
  <c r="B11" i="7"/>
  <c r="O10" i="7"/>
  <c r="N10" i="7"/>
  <c r="L10" i="7"/>
  <c r="E10" i="7"/>
  <c r="D10" i="7"/>
  <c r="B10" i="7"/>
  <c r="N9" i="7"/>
  <c r="L9" i="7"/>
  <c r="E9" i="7"/>
  <c r="D9" i="7"/>
  <c r="B9" i="7"/>
  <c r="N8" i="7"/>
  <c r="L8" i="7"/>
  <c r="O8" i="7" s="1"/>
  <c r="E8" i="7"/>
  <c r="D8" i="7"/>
  <c r="B8" i="7"/>
  <c r="N7" i="7"/>
  <c r="O7" i="7" s="1"/>
  <c r="L7" i="7"/>
  <c r="E7" i="7"/>
  <c r="D7" i="7"/>
  <c r="B7" i="7"/>
  <c r="O6" i="7"/>
  <c r="N6" i="7"/>
  <c r="L6" i="7"/>
  <c r="E6" i="7"/>
  <c r="D6" i="7"/>
  <c r="B6" i="7"/>
  <c r="N5" i="7"/>
  <c r="L5" i="7"/>
  <c r="O5" i="7" s="1"/>
  <c r="E5" i="7"/>
  <c r="D5" i="7"/>
  <c r="B5" i="7"/>
  <c r="N4" i="7"/>
  <c r="L4" i="7"/>
  <c r="I4" i="7"/>
  <c r="I501" i="7" s="1"/>
  <c r="K242" i="7" s="1"/>
  <c r="M242" i="7" s="1"/>
  <c r="D4" i="7"/>
  <c r="B4" i="7"/>
  <c r="O4" i="7" s="1"/>
  <c r="N3" i="7"/>
  <c r="L3" i="7"/>
  <c r="O3" i="7" s="1"/>
  <c r="E3" i="7"/>
  <c r="D3" i="7"/>
  <c r="B3" i="7"/>
  <c r="N2" i="7"/>
  <c r="L2" i="7"/>
  <c r="E2" i="7"/>
  <c r="D2" i="7"/>
  <c r="B2" i="7"/>
  <c r="K5" i="5"/>
  <c r="K19" i="5"/>
  <c r="H4" i="5"/>
  <c r="K4" i="5"/>
  <c r="K28" i="5"/>
  <c r="K20" i="5"/>
  <c r="K12" i="5"/>
  <c r="K26" i="5"/>
  <c r="K25" i="5"/>
  <c r="K18" i="5"/>
  <c r="K17" i="5"/>
  <c r="K11" i="5"/>
  <c r="K10" i="5"/>
  <c r="K9" i="5"/>
  <c r="K2" i="5"/>
  <c r="K3" i="5"/>
  <c r="K38" i="7" l="1"/>
  <c r="M38" i="7" s="1"/>
  <c r="K22" i="7"/>
  <c r="M22" i="7" s="1"/>
  <c r="K86" i="7"/>
  <c r="M86" i="7" s="1"/>
  <c r="K6" i="7"/>
  <c r="M6" i="7" s="1"/>
  <c r="K70" i="7"/>
  <c r="M70" i="7" s="1"/>
  <c r="K54" i="7"/>
  <c r="M54" i="7" s="1"/>
  <c r="K17" i="7"/>
  <c r="M17" i="7" s="1"/>
  <c r="K33" i="7"/>
  <c r="M33" i="7" s="1"/>
  <c r="K49" i="7"/>
  <c r="M49" i="7" s="1"/>
  <c r="K65" i="7"/>
  <c r="M65" i="7" s="1"/>
  <c r="K81" i="7"/>
  <c r="M81" i="7" s="1"/>
  <c r="N99" i="7"/>
  <c r="E99" i="7"/>
  <c r="K99" i="7" s="1"/>
  <c r="M99" i="7" s="1"/>
  <c r="L99" i="7"/>
  <c r="O99" i="7" s="1"/>
  <c r="K118" i="7"/>
  <c r="M118" i="7" s="1"/>
  <c r="O147" i="7"/>
  <c r="E149" i="7"/>
  <c r="K149" i="7" s="1"/>
  <c r="M149" i="7" s="1"/>
  <c r="N149" i="7"/>
  <c r="L149" i="7"/>
  <c r="O149" i="7" s="1"/>
  <c r="E173" i="7"/>
  <c r="N173" i="7"/>
  <c r="L173" i="7"/>
  <c r="K181" i="7"/>
  <c r="M181" i="7" s="1"/>
  <c r="N219" i="7"/>
  <c r="E219" i="7"/>
  <c r="L219" i="7"/>
  <c r="E205" i="7"/>
  <c r="N205" i="7"/>
  <c r="L205" i="7"/>
  <c r="O205" i="7" s="1"/>
  <c r="E237" i="7"/>
  <c r="N237" i="7"/>
  <c r="L237" i="7"/>
  <c r="O237" i="7" s="1"/>
  <c r="N271" i="7"/>
  <c r="L271" i="7"/>
  <c r="E271" i="7"/>
  <c r="K271" i="7" s="1"/>
  <c r="M271" i="7" s="1"/>
  <c r="L463" i="7"/>
  <c r="O463" i="7" s="1"/>
  <c r="E463" i="7"/>
  <c r="K463" i="7" s="1"/>
  <c r="M463" i="7" s="1"/>
  <c r="N463" i="7"/>
  <c r="K500" i="7"/>
  <c r="M500" i="7" s="1"/>
  <c r="K496" i="7"/>
  <c r="M496" i="7" s="1"/>
  <c r="K492" i="7"/>
  <c r="M492" i="7" s="1"/>
  <c r="K488" i="7"/>
  <c r="M488" i="7" s="1"/>
  <c r="K484" i="7"/>
  <c r="M484" i="7" s="1"/>
  <c r="K480" i="7"/>
  <c r="M480" i="7" s="1"/>
  <c r="K476" i="7"/>
  <c r="M476" i="7" s="1"/>
  <c r="K472" i="7"/>
  <c r="M472" i="7" s="1"/>
  <c r="K468" i="7"/>
  <c r="M468" i="7" s="1"/>
  <c r="K464" i="7"/>
  <c r="M464" i="7" s="1"/>
  <c r="K460" i="7"/>
  <c r="M460" i="7" s="1"/>
  <c r="K456" i="7"/>
  <c r="M456" i="7" s="1"/>
  <c r="K452" i="7"/>
  <c r="M452" i="7" s="1"/>
  <c r="K448" i="7"/>
  <c r="M448" i="7" s="1"/>
  <c r="K444" i="7"/>
  <c r="M444" i="7" s="1"/>
  <c r="K440" i="7"/>
  <c r="M440" i="7" s="1"/>
  <c r="K436" i="7"/>
  <c r="M436" i="7" s="1"/>
  <c r="K432" i="7"/>
  <c r="M432" i="7" s="1"/>
  <c r="K428" i="7"/>
  <c r="M428" i="7" s="1"/>
  <c r="K424" i="7"/>
  <c r="M424" i="7" s="1"/>
  <c r="K420" i="7"/>
  <c r="M420" i="7" s="1"/>
  <c r="K427" i="7"/>
  <c r="M427" i="7" s="1"/>
  <c r="K462" i="7"/>
  <c r="M462" i="7" s="1"/>
  <c r="K454" i="7"/>
  <c r="M454" i="7" s="1"/>
  <c r="K434" i="7"/>
  <c r="M434" i="7" s="1"/>
  <c r="K430" i="7"/>
  <c r="M430" i="7" s="1"/>
  <c r="K426" i="7"/>
  <c r="M426" i="7" s="1"/>
  <c r="K422" i="7"/>
  <c r="M422" i="7" s="1"/>
  <c r="K418" i="7"/>
  <c r="M418" i="7" s="1"/>
  <c r="K485" i="7"/>
  <c r="M485" i="7" s="1"/>
  <c r="K501" i="7"/>
  <c r="M501" i="7" s="1"/>
  <c r="K489" i="7"/>
  <c r="M489" i="7" s="1"/>
  <c r="K413" i="7"/>
  <c r="M413" i="7" s="1"/>
  <c r="K409" i="7"/>
  <c r="M409" i="7" s="1"/>
  <c r="K405" i="7"/>
  <c r="M405" i="7" s="1"/>
  <c r="K401" i="7"/>
  <c r="M401" i="7" s="1"/>
  <c r="K397" i="7"/>
  <c r="M397" i="7" s="1"/>
  <c r="K393" i="7"/>
  <c r="M393" i="7" s="1"/>
  <c r="K389" i="7"/>
  <c r="M389" i="7" s="1"/>
  <c r="K385" i="7"/>
  <c r="M385" i="7" s="1"/>
  <c r="K381" i="7"/>
  <c r="M381" i="7" s="1"/>
  <c r="K377" i="7"/>
  <c r="M377" i="7" s="1"/>
  <c r="K373" i="7"/>
  <c r="M373" i="7" s="1"/>
  <c r="K369" i="7"/>
  <c r="M369" i="7" s="1"/>
  <c r="K365" i="7"/>
  <c r="M365" i="7" s="1"/>
  <c r="K361" i="7"/>
  <c r="M361" i="7" s="1"/>
  <c r="K497" i="7"/>
  <c r="M497" i="7" s="1"/>
  <c r="K493" i="7"/>
  <c r="M493" i="7" s="1"/>
  <c r="K425" i="7"/>
  <c r="M425" i="7" s="1"/>
  <c r="K421" i="7"/>
  <c r="M421" i="7" s="1"/>
  <c r="K400" i="7"/>
  <c r="M400" i="7" s="1"/>
  <c r="K433" i="7"/>
  <c r="M433" i="7" s="1"/>
  <c r="K429" i="7"/>
  <c r="M429" i="7" s="1"/>
  <c r="K457" i="7"/>
  <c r="M457" i="7" s="1"/>
  <c r="K395" i="7"/>
  <c r="M395" i="7" s="1"/>
  <c r="K390" i="7"/>
  <c r="M390" i="7" s="1"/>
  <c r="K481" i="7"/>
  <c r="M481" i="7" s="1"/>
  <c r="K473" i="7"/>
  <c r="M473" i="7" s="1"/>
  <c r="K465" i="7"/>
  <c r="M465" i="7" s="1"/>
  <c r="K441" i="7"/>
  <c r="M441" i="7" s="1"/>
  <c r="K391" i="7"/>
  <c r="M391" i="7" s="1"/>
  <c r="K375" i="7"/>
  <c r="M375" i="7" s="1"/>
  <c r="K355" i="7"/>
  <c r="M355" i="7" s="1"/>
  <c r="K351" i="7"/>
  <c r="M351" i="7" s="1"/>
  <c r="K347" i="7"/>
  <c r="M347" i="7" s="1"/>
  <c r="K343" i="7"/>
  <c r="M343" i="7" s="1"/>
  <c r="K339" i="7"/>
  <c r="M339" i="7" s="1"/>
  <c r="K335" i="7"/>
  <c r="M335" i="7" s="1"/>
  <c r="K331" i="7"/>
  <c r="M331" i="7" s="1"/>
  <c r="K327" i="7"/>
  <c r="M327" i="7" s="1"/>
  <c r="K323" i="7"/>
  <c r="M323" i="7" s="1"/>
  <c r="K319" i="7"/>
  <c r="M319" i="7" s="1"/>
  <c r="K315" i="7"/>
  <c r="M315" i="7" s="1"/>
  <c r="K311" i="7"/>
  <c r="M311" i="7" s="1"/>
  <c r="K307" i="7"/>
  <c r="M307" i="7" s="1"/>
  <c r="K303" i="7"/>
  <c r="M303" i="7" s="1"/>
  <c r="K387" i="7"/>
  <c r="M387" i="7" s="1"/>
  <c r="K453" i="7"/>
  <c r="M453" i="7" s="1"/>
  <c r="K437" i="7"/>
  <c r="M437" i="7" s="1"/>
  <c r="K414" i="7"/>
  <c r="M414" i="7" s="1"/>
  <c r="K371" i="7"/>
  <c r="M371" i="7" s="1"/>
  <c r="K298" i="7"/>
  <c r="M298" i="7" s="1"/>
  <c r="K415" i="7"/>
  <c r="M415" i="7" s="1"/>
  <c r="K410" i="7"/>
  <c r="M410" i="7" s="1"/>
  <c r="K406" i="7"/>
  <c r="M406" i="7" s="1"/>
  <c r="K383" i="7"/>
  <c r="M383" i="7" s="1"/>
  <c r="K394" i="7"/>
  <c r="M394" i="7" s="1"/>
  <c r="K367" i="7"/>
  <c r="M367" i="7" s="1"/>
  <c r="K357" i="7"/>
  <c r="M357" i="7" s="1"/>
  <c r="K352" i="7"/>
  <c r="M352" i="7" s="1"/>
  <c r="K337" i="7"/>
  <c r="M337" i="7" s="1"/>
  <c r="K305" i="7"/>
  <c r="M305" i="7" s="1"/>
  <c r="K293" i="7"/>
  <c r="M293" i="7" s="1"/>
  <c r="K289" i="7"/>
  <c r="M289" i="7" s="1"/>
  <c r="K285" i="7"/>
  <c r="M285" i="7" s="1"/>
  <c r="K281" i="7"/>
  <c r="M281" i="7" s="1"/>
  <c r="K277" i="7"/>
  <c r="M277" i="7" s="1"/>
  <c r="K273" i="7"/>
  <c r="M273" i="7" s="1"/>
  <c r="K269" i="7"/>
  <c r="M269" i="7" s="1"/>
  <c r="K265" i="7"/>
  <c r="M265" i="7" s="1"/>
  <c r="K261" i="7"/>
  <c r="M261" i="7" s="1"/>
  <c r="K257" i="7"/>
  <c r="M257" i="7" s="1"/>
  <c r="K253" i="7"/>
  <c r="M253" i="7" s="1"/>
  <c r="K249" i="7"/>
  <c r="M249" i="7" s="1"/>
  <c r="K245" i="7"/>
  <c r="M245" i="7" s="1"/>
  <c r="K241" i="7"/>
  <c r="M241" i="7" s="1"/>
  <c r="K449" i="7"/>
  <c r="M449" i="7" s="1"/>
  <c r="K403" i="7"/>
  <c r="M403" i="7" s="1"/>
  <c r="K353" i="7"/>
  <c r="M353" i="7" s="1"/>
  <c r="K348" i="7"/>
  <c r="M348" i="7" s="1"/>
  <c r="K325" i="7"/>
  <c r="M325" i="7" s="1"/>
  <c r="K297" i="7"/>
  <c r="M297" i="7" s="1"/>
  <c r="K445" i="7"/>
  <c r="M445" i="7" s="1"/>
  <c r="K411" i="7"/>
  <c r="M411" i="7" s="1"/>
  <c r="K398" i="7"/>
  <c r="M398" i="7" s="1"/>
  <c r="K363" i="7"/>
  <c r="M363" i="7" s="1"/>
  <c r="K345" i="7"/>
  <c r="M345" i="7" s="1"/>
  <c r="K333" i="7"/>
  <c r="M333" i="7" s="1"/>
  <c r="K301" i="7"/>
  <c r="M301" i="7" s="1"/>
  <c r="K321" i="7"/>
  <c r="M321" i="7" s="1"/>
  <c r="K291" i="7"/>
  <c r="M291" i="7" s="1"/>
  <c r="K287" i="7"/>
  <c r="M287" i="7" s="1"/>
  <c r="K279" i="7"/>
  <c r="M279" i="7" s="1"/>
  <c r="K275" i="7"/>
  <c r="M275" i="7" s="1"/>
  <c r="K259" i="7"/>
  <c r="M259" i="7" s="1"/>
  <c r="K255" i="7"/>
  <c r="M255" i="7" s="1"/>
  <c r="K247" i="7"/>
  <c r="M247" i="7" s="1"/>
  <c r="K243" i="7"/>
  <c r="M243" i="7" s="1"/>
  <c r="K477" i="7"/>
  <c r="M477" i="7" s="1"/>
  <c r="K317" i="7"/>
  <c r="M317" i="7" s="1"/>
  <c r="K313" i="7"/>
  <c r="M313" i="7" s="1"/>
  <c r="K309" i="7"/>
  <c r="M309" i="7" s="1"/>
  <c r="K286" i="7"/>
  <c r="M286" i="7" s="1"/>
  <c r="K254" i="7"/>
  <c r="M254" i="7" s="1"/>
  <c r="K96" i="7"/>
  <c r="M96" i="7" s="1"/>
  <c r="K461" i="7"/>
  <c r="M461" i="7" s="1"/>
  <c r="K379" i="7"/>
  <c r="M379" i="7" s="1"/>
  <c r="K349" i="7"/>
  <c r="M349" i="7" s="1"/>
  <c r="K274" i="7"/>
  <c r="M274" i="7" s="1"/>
  <c r="K236" i="7"/>
  <c r="M236" i="7" s="1"/>
  <c r="K232" i="7"/>
  <c r="M232" i="7" s="1"/>
  <c r="K228" i="7"/>
  <c r="M228" i="7" s="1"/>
  <c r="K224" i="7"/>
  <c r="M224" i="7" s="1"/>
  <c r="K220" i="7"/>
  <c r="M220" i="7" s="1"/>
  <c r="K216" i="7"/>
  <c r="M216" i="7" s="1"/>
  <c r="K212" i="7"/>
  <c r="M212" i="7" s="1"/>
  <c r="K208" i="7"/>
  <c r="M208" i="7" s="1"/>
  <c r="K204" i="7"/>
  <c r="M204" i="7" s="1"/>
  <c r="K200" i="7"/>
  <c r="M200" i="7" s="1"/>
  <c r="K196" i="7"/>
  <c r="M196" i="7" s="1"/>
  <c r="K192" i="7"/>
  <c r="M192" i="7" s="1"/>
  <c r="K188" i="7"/>
  <c r="M188" i="7" s="1"/>
  <c r="K184" i="7"/>
  <c r="M184" i="7" s="1"/>
  <c r="K180" i="7"/>
  <c r="M180" i="7" s="1"/>
  <c r="K176" i="7"/>
  <c r="M176" i="7" s="1"/>
  <c r="K172" i="7"/>
  <c r="M172" i="7" s="1"/>
  <c r="K168" i="7"/>
  <c r="M168" i="7" s="1"/>
  <c r="K164" i="7"/>
  <c r="M164" i="7" s="1"/>
  <c r="K160" i="7"/>
  <c r="M160" i="7" s="1"/>
  <c r="K156" i="7"/>
  <c r="M156" i="7" s="1"/>
  <c r="K152" i="7"/>
  <c r="M152" i="7" s="1"/>
  <c r="K148" i="7"/>
  <c r="M148" i="7" s="1"/>
  <c r="K144" i="7"/>
  <c r="M144" i="7" s="1"/>
  <c r="K140" i="7"/>
  <c r="M140" i="7" s="1"/>
  <c r="K136" i="7"/>
  <c r="M136" i="7" s="1"/>
  <c r="K132" i="7"/>
  <c r="M132" i="7" s="1"/>
  <c r="K128" i="7"/>
  <c r="M128" i="7" s="1"/>
  <c r="K124" i="7"/>
  <c r="M124" i="7" s="1"/>
  <c r="K120" i="7"/>
  <c r="M120" i="7" s="1"/>
  <c r="K116" i="7"/>
  <c r="M116" i="7" s="1"/>
  <c r="K112" i="7"/>
  <c r="M112" i="7" s="1"/>
  <c r="K108" i="7"/>
  <c r="M108" i="7" s="1"/>
  <c r="K104" i="7"/>
  <c r="M104" i="7" s="1"/>
  <c r="K100" i="7"/>
  <c r="M100" i="7" s="1"/>
  <c r="K399" i="7"/>
  <c r="M399" i="7" s="1"/>
  <c r="K282" i="7"/>
  <c r="M282" i="7" s="1"/>
  <c r="K250" i="7"/>
  <c r="M250" i="7" s="1"/>
  <c r="K219" i="7"/>
  <c r="M219" i="7" s="1"/>
  <c r="K93" i="7"/>
  <c r="M93" i="7" s="1"/>
  <c r="K469" i="7"/>
  <c r="M469" i="7" s="1"/>
  <c r="K270" i="7"/>
  <c r="M270" i="7" s="1"/>
  <c r="K92" i="7"/>
  <c r="M92" i="7" s="1"/>
  <c r="K407" i="7"/>
  <c r="M407" i="7" s="1"/>
  <c r="K402" i="7"/>
  <c r="M402" i="7" s="1"/>
  <c r="K222" i="7"/>
  <c r="M222" i="7" s="1"/>
  <c r="K190" i="7"/>
  <c r="M190" i="7" s="1"/>
  <c r="K110" i="7"/>
  <c r="M110" i="7" s="1"/>
  <c r="K95" i="7"/>
  <c r="M95" i="7" s="1"/>
  <c r="K94" i="7"/>
  <c r="M94" i="7" s="1"/>
  <c r="K88" i="7"/>
  <c r="M88" i="7" s="1"/>
  <c r="K80" i="7"/>
  <c r="M80" i="7" s="1"/>
  <c r="K72" i="7"/>
  <c r="M72" i="7" s="1"/>
  <c r="K64" i="7"/>
  <c r="M64" i="7" s="1"/>
  <c r="K56" i="7"/>
  <c r="M56" i="7" s="1"/>
  <c r="K48" i="7"/>
  <c r="M48" i="7" s="1"/>
  <c r="K40" i="7"/>
  <c r="M40" i="7" s="1"/>
  <c r="K32" i="7"/>
  <c r="M32" i="7" s="1"/>
  <c r="K24" i="7"/>
  <c r="M24" i="7" s="1"/>
  <c r="K16" i="7"/>
  <c r="M16" i="7" s="1"/>
  <c r="K8" i="7"/>
  <c r="M8" i="7" s="1"/>
  <c r="K262" i="7"/>
  <c r="M262" i="7" s="1"/>
  <c r="K258" i="7"/>
  <c r="M258" i="7" s="1"/>
  <c r="K246" i="7"/>
  <c r="M246" i="7" s="1"/>
  <c r="K210" i="7"/>
  <c r="M210" i="7" s="1"/>
  <c r="K178" i="7"/>
  <c r="M178" i="7" s="1"/>
  <c r="K154" i="7"/>
  <c r="M154" i="7" s="1"/>
  <c r="K142" i="7"/>
  <c r="M142" i="7" s="1"/>
  <c r="K98" i="7"/>
  <c r="M98" i="7" s="1"/>
  <c r="K87" i="7"/>
  <c r="M87" i="7" s="1"/>
  <c r="K79" i="7"/>
  <c r="M79" i="7" s="1"/>
  <c r="K71" i="7"/>
  <c r="M71" i="7" s="1"/>
  <c r="K63" i="7"/>
  <c r="M63" i="7" s="1"/>
  <c r="K55" i="7"/>
  <c r="M55" i="7" s="1"/>
  <c r="K47" i="7"/>
  <c r="M47" i="7" s="1"/>
  <c r="K39" i="7"/>
  <c r="M39" i="7" s="1"/>
  <c r="K31" i="7"/>
  <c r="M31" i="7" s="1"/>
  <c r="K23" i="7"/>
  <c r="M23" i="7" s="1"/>
  <c r="K15" i="7"/>
  <c r="M15" i="7" s="1"/>
  <c r="K7" i="7"/>
  <c r="M7" i="7" s="1"/>
  <c r="K266" i="7"/>
  <c r="M266" i="7" s="1"/>
  <c r="K230" i="7"/>
  <c r="M230" i="7" s="1"/>
  <c r="K198" i="7"/>
  <c r="M198" i="7" s="1"/>
  <c r="K166" i="7"/>
  <c r="M166" i="7" s="1"/>
  <c r="K130" i="7"/>
  <c r="M130" i="7" s="1"/>
  <c r="K218" i="7"/>
  <c r="M218" i="7" s="1"/>
  <c r="K186" i="7"/>
  <c r="M186" i="7" s="1"/>
  <c r="K106" i="7"/>
  <c r="M106" i="7" s="1"/>
  <c r="K85" i="7"/>
  <c r="M85" i="7" s="1"/>
  <c r="K77" i="7"/>
  <c r="M77" i="7" s="1"/>
  <c r="K69" i="7"/>
  <c r="M69" i="7" s="1"/>
  <c r="K61" i="7"/>
  <c r="M61" i="7" s="1"/>
  <c r="K53" i="7"/>
  <c r="M53" i="7" s="1"/>
  <c r="K45" i="7"/>
  <c r="M45" i="7" s="1"/>
  <c r="K37" i="7"/>
  <c r="M37" i="7" s="1"/>
  <c r="K29" i="7"/>
  <c r="M29" i="7" s="1"/>
  <c r="K21" i="7"/>
  <c r="M21" i="7" s="1"/>
  <c r="K13" i="7"/>
  <c r="M13" i="7" s="1"/>
  <c r="K5" i="7"/>
  <c r="M5" i="7" s="1"/>
  <c r="K114" i="7"/>
  <c r="M114" i="7" s="1"/>
  <c r="K75" i="7"/>
  <c r="M75" i="7" s="1"/>
  <c r="K59" i="7"/>
  <c r="M59" i="7" s="1"/>
  <c r="K35" i="7"/>
  <c r="M35" i="7" s="1"/>
  <c r="K19" i="7"/>
  <c r="M19" i="7" s="1"/>
  <c r="K344" i="7"/>
  <c r="M344" i="7" s="1"/>
  <c r="K341" i="7"/>
  <c r="M341" i="7" s="1"/>
  <c r="K238" i="7"/>
  <c r="M238" i="7" s="1"/>
  <c r="K237" i="7"/>
  <c r="M237" i="7" s="1"/>
  <c r="K206" i="7"/>
  <c r="M206" i="7" s="1"/>
  <c r="K205" i="7"/>
  <c r="M205" i="7" s="1"/>
  <c r="K174" i="7"/>
  <c r="M174" i="7" s="1"/>
  <c r="K173" i="7"/>
  <c r="M173" i="7" s="1"/>
  <c r="K162" i="7"/>
  <c r="M162" i="7" s="1"/>
  <c r="K150" i="7"/>
  <c r="M150" i="7" s="1"/>
  <c r="K138" i="7"/>
  <c r="M138" i="7" s="1"/>
  <c r="K137" i="7"/>
  <c r="M137" i="7" s="1"/>
  <c r="K126" i="7"/>
  <c r="M126" i="7" s="1"/>
  <c r="K84" i="7"/>
  <c r="M84" i="7" s="1"/>
  <c r="K76" i="7"/>
  <c r="M76" i="7" s="1"/>
  <c r="K68" i="7"/>
  <c r="M68" i="7" s="1"/>
  <c r="K60" i="7"/>
  <c r="M60" i="7" s="1"/>
  <c r="K52" i="7"/>
  <c r="M52" i="7" s="1"/>
  <c r="K44" i="7"/>
  <c r="M44" i="7" s="1"/>
  <c r="K36" i="7"/>
  <c r="M36" i="7" s="1"/>
  <c r="K28" i="7"/>
  <c r="M28" i="7" s="1"/>
  <c r="K20" i="7"/>
  <c r="M20" i="7" s="1"/>
  <c r="K12" i="7"/>
  <c r="M12" i="7" s="1"/>
  <c r="K4" i="7"/>
  <c r="M4" i="7" s="1"/>
  <c r="K226" i="7"/>
  <c r="M226" i="7" s="1"/>
  <c r="K194" i="7"/>
  <c r="M194" i="7" s="1"/>
  <c r="K83" i="7"/>
  <c r="M83" i="7" s="1"/>
  <c r="K67" i="7"/>
  <c r="M67" i="7" s="1"/>
  <c r="K51" i="7"/>
  <c r="M51" i="7" s="1"/>
  <c r="K43" i="7"/>
  <c r="M43" i="7" s="1"/>
  <c r="K27" i="7"/>
  <c r="M27" i="7" s="1"/>
  <c r="K11" i="7"/>
  <c r="M11" i="7" s="1"/>
  <c r="K91" i="7"/>
  <c r="M91" i="7" s="1"/>
  <c r="E113" i="7"/>
  <c r="K113" i="7" s="1"/>
  <c r="M113" i="7" s="1"/>
  <c r="N113" i="7"/>
  <c r="L113" i="7"/>
  <c r="N143" i="7"/>
  <c r="E143" i="7"/>
  <c r="K143" i="7" s="1"/>
  <c r="M143" i="7" s="1"/>
  <c r="L143" i="7"/>
  <c r="O143" i="7" s="1"/>
  <c r="K2" i="7"/>
  <c r="M2" i="7" s="1"/>
  <c r="K3" i="7"/>
  <c r="M3" i="7" s="1"/>
  <c r="K10" i="7"/>
  <c r="M10" i="7" s="1"/>
  <c r="K26" i="7"/>
  <c r="M26" i="7" s="1"/>
  <c r="O36" i="7"/>
  <c r="K42" i="7"/>
  <c r="M42" i="7" s="1"/>
  <c r="O52" i="7"/>
  <c r="K58" i="7"/>
  <c r="M58" i="7" s="1"/>
  <c r="O68" i="7"/>
  <c r="K74" i="7"/>
  <c r="M74" i="7" s="1"/>
  <c r="O84" i="7"/>
  <c r="K90" i="7"/>
  <c r="M90" i="7" s="1"/>
  <c r="K102" i="7"/>
  <c r="M102" i="7" s="1"/>
  <c r="N115" i="7"/>
  <c r="E115" i="7"/>
  <c r="K115" i="7" s="1"/>
  <c r="M115" i="7" s="1"/>
  <c r="L115" i="7"/>
  <c r="N119" i="7"/>
  <c r="E119" i="7"/>
  <c r="K119" i="7" s="1"/>
  <c r="M119" i="7" s="1"/>
  <c r="L119" i="7"/>
  <c r="K146" i="7"/>
  <c r="M146" i="7" s="1"/>
  <c r="K170" i="7"/>
  <c r="M170" i="7" s="1"/>
  <c r="O172" i="7"/>
  <c r="N199" i="7"/>
  <c r="E199" i="7"/>
  <c r="K199" i="7" s="1"/>
  <c r="M199" i="7" s="1"/>
  <c r="L199" i="7"/>
  <c r="O199" i="7" s="1"/>
  <c r="O221" i="7"/>
  <c r="N231" i="7"/>
  <c r="E231" i="7"/>
  <c r="K231" i="7" s="1"/>
  <c r="M231" i="7" s="1"/>
  <c r="L231" i="7"/>
  <c r="O231" i="7" s="1"/>
  <c r="K278" i="7"/>
  <c r="M278" i="7" s="1"/>
  <c r="E125" i="7"/>
  <c r="K125" i="7" s="1"/>
  <c r="M125" i="7" s="1"/>
  <c r="N125" i="7"/>
  <c r="L125" i="7"/>
  <c r="N167" i="7"/>
  <c r="E167" i="7"/>
  <c r="K167" i="7" s="1"/>
  <c r="M167" i="7" s="1"/>
  <c r="L167" i="7"/>
  <c r="K294" i="7"/>
  <c r="M294" i="7" s="1"/>
  <c r="K356" i="7"/>
  <c r="M356" i="7" s="1"/>
  <c r="O2" i="7"/>
  <c r="K9" i="7"/>
  <c r="M9" i="7" s="1"/>
  <c r="K25" i="7"/>
  <c r="M25" i="7" s="1"/>
  <c r="K41" i="7"/>
  <c r="M41" i="7" s="1"/>
  <c r="K57" i="7"/>
  <c r="M57" i="7" s="1"/>
  <c r="K73" i="7"/>
  <c r="M73" i="7" s="1"/>
  <c r="K89" i="7"/>
  <c r="M89" i="7" s="1"/>
  <c r="K122" i="7"/>
  <c r="M122" i="7" s="1"/>
  <c r="E137" i="7"/>
  <c r="N137" i="7"/>
  <c r="L137" i="7"/>
  <c r="E161" i="7"/>
  <c r="K161" i="7" s="1"/>
  <c r="M161" i="7" s="1"/>
  <c r="N161" i="7"/>
  <c r="L161" i="7"/>
  <c r="E193" i="7"/>
  <c r="K193" i="7" s="1"/>
  <c r="M193" i="7" s="1"/>
  <c r="N193" i="7"/>
  <c r="L193" i="7"/>
  <c r="K202" i="7"/>
  <c r="M202" i="7" s="1"/>
  <c r="K234" i="7"/>
  <c r="M234" i="7" s="1"/>
  <c r="L260" i="7"/>
  <c r="O260" i="7" s="1"/>
  <c r="E260" i="7"/>
  <c r="K260" i="7" s="1"/>
  <c r="M260" i="7" s="1"/>
  <c r="N260" i="7"/>
  <c r="K290" i="7"/>
  <c r="M290" i="7" s="1"/>
  <c r="N334" i="7"/>
  <c r="E334" i="7"/>
  <c r="K334" i="7" s="1"/>
  <c r="M334" i="7" s="1"/>
  <c r="L334" i="7"/>
  <c r="O334" i="7" s="1"/>
  <c r="O123" i="7"/>
  <c r="O9" i="7"/>
  <c r="K14" i="7"/>
  <c r="M14" i="7" s="1"/>
  <c r="K30" i="7"/>
  <c r="M30" i="7" s="1"/>
  <c r="O57" i="7"/>
  <c r="K62" i="7"/>
  <c r="M62" i="7" s="1"/>
  <c r="K78" i="7"/>
  <c r="M78" i="7" s="1"/>
  <c r="O107" i="7"/>
  <c r="O176" i="7"/>
  <c r="E225" i="7"/>
  <c r="K225" i="7" s="1"/>
  <c r="M225" i="7" s="1"/>
  <c r="N225" i="7"/>
  <c r="L225" i="7"/>
  <c r="O225" i="7" s="1"/>
  <c r="N267" i="7"/>
  <c r="L267" i="7"/>
  <c r="E267" i="7"/>
  <c r="K267" i="7" s="1"/>
  <c r="M267" i="7" s="1"/>
  <c r="K329" i="7"/>
  <c r="M329" i="7" s="1"/>
  <c r="K97" i="7"/>
  <c r="M97" i="7" s="1"/>
  <c r="O106" i="7"/>
  <c r="E109" i="7"/>
  <c r="K109" i="7" s="1"/>
  <c r="M109" i="7" s="1"/>
  <c r="N109" i="7"/>
  <c r="O109" i="7" s="1"/>
  <c r="K121" i="7"/>
  <c r="M121" i="7" s="1"/>
  <c r="N131" i="7"/>
  <c r="E131" i="7"/>
  <c r="K131" i="7" s="1"/>
  <c r="M131" i="7" s="1"/>
  <c r="L131" i="7"/>
  <c r="O131" i="7" s="1"/>
  <c r="O148" i="7"/>
  <c r="N155" i="7"/>
  <c r="E155" i="7"/>
  <c r="K155" i="7" s="1"/>
  <c r="M155" i="7" s="1"/>
  <c r="L155" i="7"/>
  <c r="O155" i="7" s="1"/>
  <c r="O169" i="7"/>
  <c r="K182" i="7"/>
  <c r="M182" i="7" s="1"/>
  <c r="O208" i="7"/>
  <c r="L299" i="7"/>
  <c r="N299" i="7"/>
  <c r="E299" i="7"/>
  <c r="K299" i="7" s="1"/>
  <c r="M299" i="7" s="1"/>
  <c r="N350" i="7"/>
  <c r="L350" i="7"/>
  <c r="O350" i="7" s="1"/>
  <c r="E350" i="7"/>
  <c r="K350" i="7" s="1"/>
  <c r="M350" i="7" s="1"/>
  <c r="O25" i="7"/>
  <c r="O41" i="7"/>
  <c r="K46" i="7"/>
  <c r="M46" i="7" s="1"/>
  <c r="O73" i="7"/>
  <c r="O89" i="7"/>
  <c r="K18" i="7"/>
  <c r="M18" i="7" s="1"/>
  <c r="O28" i="7"/>
  <c r="K34" i="7"/>
  <c r="M34" i="7" s="1"/>
  <c r="O44" i="7"/>
  <c r="K50" i="7"/>
  <c r="M50" i="7" s="1"/>
  <c r="O60" i="7"/>
  <c r="K66" i="7"/>
  <c r="M66" i="7" s="1"/>
  <c r="O76" i="7"/>
  <c r="K82" i="7"/>
  <c r="M82" i="7" s="1"/>
  <c r="O124" i="7"/>
  <c r="K134" i="7"/>
  <c r="M134" i="7" s="1"/>
  <c r="K158" i="7"/>
  <c r="M158" i="7" s="1"/>
  <c r="N187" i="7"/>
  <c r="E187" i="7"/>
  <c r="K187" i="7" s="1"/>
  <c r="M187" i="7" s="1"/>
  <c r="L187" i="7"/>
  <c r="O192" i="7"/>
  <c r="K214" i="7"/>
  <c r="M214" i="7" s="1"/>
  <c r="K284" i="7"/>
  <c r="M284" i="7" s="1"/>
  <c r="N111" i="7"/>
  <c r="E111" i="7"/>
  <c r="K111" i="7" s="1"/>
  <c r="M111" i="7" s="1"/>
  <c r="N179" i="7"/>
  <c r="E179" i="7"/>
  <c r="K179" i="7" s="1"/>
  <c r="M179" i="7" s="1"/>
  <c r="E185" i="7"/>
  <c r="K185" i="7" s="1"/>
  <c r="M185" i="7" s="1"/>
  <c r="N185" i="7"/>
  <c r="N211" i="7"/>
  <c r="E211" i="7"/>
  <c r="K211" i="7" s="1"/>
  <c r="M211" i="7" s="1"/>
  <c r="L256" i="7"/>
  <c r="E256" i="7"/>
  <c r="K256" i="7" s="1"/>
  <c r="M256" i="7" s="1"/>
  <c r="N283" i="7"/>
  <c r="L283" i="7"/>
  <c r="E283" i="7"/>
  <c r="K283" i="7" s="1"/>
  <c r="M283" i="7" s="1"/>
  <c r="E320" i="7"/>
  <c r="K320" i="7" s="1"/>
  <c r="M320" i="7" s="1"/>
  <c r="N320" i="7"/>
  <c r="L320" i="7"/>
  <c r="O98" i="7"/>
  <c r="E117" i="7"/>
  <c r="K117" i="7" s="1"/>
  <c r="M117" i="7" s="1"/>
  <c r="N117" i="7"/>
  <c r="N123" i="7"/>
  <c r="E123" i="7"/>
  <c r="K123" i="7" s="1"/>
  <c r="M123" i="7" s="1"/>
  <c r="E129" i="7"/>
  <c r="K129" i="7" s="1"/>
  <c r="M129" i="7" s="1"/>
  <c r="N129" i="7"/>
  <c r="O129" i="7" s="1"/>
  <c r="N135" i="7"/>
  <c r="O135" i="7" s="1"/>
  <c r="E135" i="7"/>
  <c r="K135" i="7" s="1"/>
  <c r="M135" i="7" s="1"/>
  <c r="N147" i="7"/>
  <c r="E147" i="7"/>
  <c r="K147" i="7" s="1"/>
  <c r="M147" i="7" s="1"/>
  <c r="E165" i="7"/>
  <c r="K165" i="7" s="1"/>
  <c r="M165" i="7" s="1"/>
  <c r="N165" i="7"/>
  <c r="N191" i="7"/>
  <c r="O191" i="7" s="1"/>
  <c r="E191" i="7"/>
  <c r="K191" i="7" s="1"/>
  <c r="M191" i="7" s="1"/>
  <c r="E197" i="7"/>
  <c r="K197" i="7" s="1"/>
  <c r="M197" i="7" s="1"/>
  <c r="N197" i="7"/>
  <c r="N223" i="7"/>
  <c r="O223" i="7" s="1"/>
  <c r="E223" i="7"/>
  <c r="K223" i="7" s="1"/>
  <c r="M223" i="7" s="1"/>
  <c r="E229" i="7"/>
  <c r="K229" i="7" s="1"/>
  <c r="M229" i="7" s="1"/>
  <c r="N229" i="7"/>
  <c r="L240" i="7"/>
  <c r="O240" i="7" s="1"/>
  <c r="E240" i="7"/>
  <c r="K240" i="7" s="1"/>
  <c r="M240" i="7" s="1"/>
  <c r="N240" i="7"/>
  <c r="N263" i="7"/>
  <c r="L263" i="7"/>
  <c r="O263" i="7" s="1"/>
  <c r="E263" i="7"/>
  <c r="K263" i="7" s="1"/>
  <c r="M263" i="7" s="1"/>
  <c r="L292" i="7"/>
  <c r="O292" i="7" s="1"/>
  <c r="E292" i="7"/>
  <c r="K292" i="7" s="1"/>
  <c r="M292" i="7" s="1"/>
  <c r="O364" i="7"/>
  <c r="E382" i="7"/>
  <c r="K382" i="7" s="1"/>
  <c r="M382" i="7" s="1"/>
  <c r="N382" i="7"/>
  <c r="L382" i="7"/>
  <c r="O382" i="7" s="1"/>
  <c r="O92" i="7"/>
  <c r="E105" i="7"/>
  <c r="K105" i="7" s="1"/>
  <c r="M105" i="7" s="1"/>
  <c r="N105" i="7"/>
  <c r="O105" i="7" s="1"/>
  <c r="O213" i="7"/>
  <c r="E217" i="7"/>
  <c r="K217" i="7" s="1"/>
  <c r="M217" i="7" s="1"/>
  <c r="N217" i="7"/>
  <c r="L244" i="7"/>
  <c r="O244" i="7" s="1"/>
  <c r="E244" i="7"/>
  <c r="K244" i="7" s="1"/>
  <c r="M244" i="7" s="1"/>
  <c r="L296" i="7"/>
  <c r="E296" i="7"/>
  <c r="K296" i="7" s="1"/>
  <c r="M296" i="7" s="1"/>
  <c r="N296" i="7"/>
  <c r="N103" i="7"/>
  <c r="O103" i="7" s="1"/>
  <c r="E103" i="7"/>
  <c r="K103" i="7" s="1"/>
  <c r="M103" i="7" s="1"/>
  <c r="O110" i="7"/>
  <c r="L111" i="7"/>
  <c r="E141" i="7"/>
  <c r="K141" i="7" s="1"/>
  <c r="M141" i="7" s="1"/>
  <c r="N141" i="7"/>
  <c r="E153" i="7"/>
  <c r="K153" i="7" s="1"/>
  <c r="M153" i="7" s="1"/>
  <c r="N153" i="7"/>
  <c r="N159" i="7"/>
  <c r="E159" i="7"/>
  <c r="K159" i="7" s="1"/>
  <c r="M159" i="7" s="1"/>
  <c r="N171" i="7"/>
  <c r="E171" i="7"/>
  <c r="K171" i="7" s="1"/>
  <c r="M171" i="7" s="1"/>
  <c r="E177" i="7"/>
  <c r="K177" i="7" s="1"/>
  <c r="M177" i="7" s="1"/>
  <c r="N177" i="7"/>
  <c r="L179" i="7"/>
  <c r="O179" i="7" s="1"/>
  <c r="N203" i="7"/>
  <c r="E203" i="7"/>
  <c r="K203" i="7" s="1"/>
  <c r="M203" i="7" s="1"/>
  <c r="E209" i="7"/>
  <c r="K209" i="7" s="1"/>
  <c r="M209" i="7" s="1"/>
  <c r="N209" i="7"/>
  <c r="L211" i="7"/>
  <c r="N235" i="7"/>
  <c r="E235" i="7"/>
  <c r="K235" i="7" s="1"/>
  <c r="M235" i="7" s="1"/>
  <c r="N244" i="7"/>
  <c r="O250" i="7"/>
  <c r="N256" i="7"/>
  <c r="L276" i="7"/>
  <c r="E276" i="7"/>
  <c r="K276" i="7" s="1"/>
  <c r="M276" i="7" s="1"/>
  <c r="N276" i="7"/>
  <c r="E340" i="7"/>
  <c r="K340" i="7" s="1"/>
  <c r="M340" i="7" s="1"/>
  <c r="N340" i="7"/>
  <c r="L340" i="7"/>
  <c r="O352" i="7"/>
  <c r="O378" i="7"/>
  <c r="O122" i="7"/>
  <c r="O134" i="7"/>
  <c r="O146" i="7"/>
  <c r="N183" i="7"/>
  <c r="E183" i="7"/>
  <c r="K183" i="7" s="1"/>
  <c r="M183" i="7" s="1"/>
  <c r="O185" i="7"/>
  <c r="E189" i="7"/>
  <c r="K189" i="7" s="1"/>
  <c r="M189" i="7" s="1"/>
  <c r="N189" i="7"/>
  <c r="O189" i="7" s="1"/>
  <c r="N215" i="7"/>
  <c r="E215" i="7"/>
  <c r="K215" i="7" s="1"/>
  <c r="M215" i="7" s="1"/>
  <c r="O217" i="7"/>
  <c r="E221" i="7"/>
  <c r="K221" i="7" s="1"/>
  <c r="M221" i="7" s="1"/>
  <c r="N221" i="7"/>
  <c r="L288" i="7"/>
  <c r="E288" i="7"/>
  <c r="K288" i="7" s="1"/>
  <c r="M288" i="7" s="1"/>
  <c r="O300" i="7"/>
  <c r="N302" i="7"/>
  <c r="E302" i="7"/>
  <c r="K302" i="7" s="1"/>
  <c r="M302" i="7" s="1"/>
  <c r="E370" i="7"/>
  <c r="K370" i="7" s="1"/>
  <c r="M370" i="7" s="1"/>
  <c r="N370" i="7"/>
  <c r="L370" i="7"/>
  <c r="O97" i="7"/>
  <c r="O102" i="7"/>
  <c r="O117" i="7"/>
  <c r="E121" i="7"/>
  <c r="N121" i="7"/>
  <c r="O121" i="7" s="1"/>
  <c r="N127" i="7"/>
  <c r="O127" i="7" s="1"/>
  <c r="E127" i="7"/>
  <c r="K127" i="7" s="1"/>
  <c r="M127" i="7" s="1"/>
  <c r="E133" i="7"/>
  <c r="K133" i="7" s="1"/>
  <c r="M133" i="7" s="1"/>
  <c r="N133" i="7"/>
  <c r="O133" i="7" s="1"/>
  <c r="N139" i="7"/>
  <c r="O139" i="7" s="1"/>
  <c r="E139" i="7"/>
  <c r="K139" i="7" s="1"/>
  <c r="M139" i="7" s="1"/>
  <c r="E145" i="7"/>
  <c r="K145" i="7" s="1"/>
  <c r="M145" i="7" s="1"/>
  <c r="N145" i="7"/>
  <c r="O145" i="7" s="1"/>
  <c r="N151" i="7"/>
  <c r="O151" i="7" s="1"/>
  <c r="E151" i="7"/>
  <c r="K151" i="7" s="1"/>
  <c r="M151" i="7" s="1"/>
  <c r="E157" i="7"/>
  <c r="K157" i="7" s="1"/>
  <c r="M157" i="7" s="1"/>
  <c r="N157" i="7"/>
  <c r="O157" i="7" s="1"/>
  <c r="L159" i="7"/>
  <c r="N163" i="7"/>
  <c r="O163" i="7" s="1"/>
  <c r="E163" i="7"/>
  <c r="K163" i="7" s="1"/>
  <c r="M163" i="7" s="1"/>
  <c r="O165" i="7"/>
  <c r="E169" i="7"/>
  <c r="K169" i="7" s="1"/>
  <c r="M169" i="7" s="1"/>
  <c r="N169" i="7"/>
  <c r="L171" i="7"/>
  <c r="O171" i="7" s="1"/>
  <c r="N195" i="7"/>
  <c r="O195" i="7" s="1"/>
  <c r="E195" i="7"/>
  <c r="K195" i="7" s="1"/>
  <c r="M195" i="7" s="1"/>
  <c r="O197" i="7"/>
  <c r="E201" i="7"/>
  <c r="K201" i="7" s="1"/>
  <c r="M201" i="7" s="1"/>
  <c r="N201" i="7"/>
  <c r="O201" i="7" s="1"/>
  <c r="L203" i="7"/>
  <c r="N227" i="7"/>
  <c r="O227" i="7" s="1"/>
  <c r="E227" i="7"/>
  <c r="K227" i="7" s="1"/>
  <c r="M227" i="7" s="1"/>
  <c r="L229" i="7"/>
  <c r="O229" i="7" s="1"/>
  <c r="E233" i="7"/>
  <c r="K233" i="7" s="1"/>
  <c r="M233" i="7" s="1"/>
  <c r="N233" i="7"/>
  <c r="O233" i="7" s="1"/>
  <c r="L235" i="7"/>
  <c r="O235" i="7" s="1"/>
  <c r="N295" i="7"/>
  <c r="L295" i="7"/>
  <c r="O295" i="7" s="1"/>
  <c r="E295" i="7"/>
  <c r="K295" i="7" s="1"/>
  <c r="M295" i="7" s="1"/>
  <c r="E304" i="7"/>
  <c r="K304" i="7" s="1"/>
  <c r="M304" i="7" s="1"/>
  <c r="N304" i="7"/>
  <c r="L304" i="7"/>
  <c r="O96" i="7"/>
  <c r="E101" i="7"/>
  <c r="K101" i="7" s="1"/>
  <c r="M101" i="7" s="1"/>
  <c r="N101" i="7"/>
  <c r="O101" i="7" s="1"/>
  <c r="N107" i="7"/>
  <c r="E107" i="7"/>
  <c r="K107" i="7" s="1"/>
  <c r="M107" i="7" s="1"/>
  <c r="O114" i="7"/>
  <c r="L141" i="7"/>
  <c r="O141" i="7" s="1"/>
  <c r="L153" i="7"/>
  <c r="N175" i="7"/>
  <c r="O175" i="7" s="1"/>
  <c r="E175" i="7"/>
  <c r="K175" i="7" s="1"/>
  <c r="M175" i="7" s="1"/>
  <c r="L177" i="7"/>
  <c r="O177" i="7" s="1"/>
  <c r="E181" i="7"/>
  <c r="N181" i="7"/>
  <c r="O181" i="7" s="1"/>
  <c r="L183" i="7"/>
  <c r="O183" i="7" s="1"/>
  <c r="N207" i="7"/>
  <c r="O207" i="7" s="1"/>
  <c r="E207" i="7"/>
  <c r="K207" i="7" s="1"/>
  <c r="M207" i="7" s="1"/>
  <c r="L209" i="7"/>
  <c r="O209" i="7" s="1"/>
  <c r="E213" i="7"/>
  <c r="K213" i="7" s="1"/>
  <c r="M213" i="7" s="1"/>
  <c r="N213" i="7"/>
  <c r="L215" i="7"/>
  <c r="L239" i="7"/>
  <c r="O239" i="7" s="1"/>
  <c r="E239" i="7"/>
  <c r="K239" i="7" s="1"/>
  <c r="M239" i="7" s="1"/>
  <c r="N251" i="7"/>
  <c r="L251" i="7"/>
  <c r="E251" i="7"/>
  <c r="K251" i="7" s="1"/>
  <c r="M251" i="7" s="1"/>
  <c r="L264" i="7"/>
  <c r="O264" i="7" s="1"/>
  <c r="E264" i="7"/>
  <c r="K264" i="7" s="1"/>
  <c r="M264" i="7" s="1"/>
  <c r="N264" i="7"/>
  <c r="O282" i="7"/>
  <c r="N288" i="7"/>
  <c r="L302" i="7"/>
  <c r="O302" i="7" s="1"/>
  <c r="O245" i="7"/>
  <c r="O257" i="7"/>
  <c r="L268" i="7"/>
  <c r="O268" i="7" s="1"/>
  <c r="E268" i="7"/>
  <c r="K268" i="7" s="1"/>
  <c r="M268" i="7" s="1"/>
  <c r="N275" i="7"/>
  <c r="L275" i="7"/>
  <c r="O275" i="7" s="1"/>
  <c r="O289" i="7"/>
  <c r="N314" i="7"/>
  <c r="E314" i="7"/>
  <c r="K314" i="7" s="1"/>
  <c r="M314" i="7" s="1"/>
  <c r="L314" i="7"/>
  <c r="O314" i="7" s="1"/>
  <c r="O328" i="7"/>
  <c r="E336" i="7"/>
  <c r="K336" i="7" s="1"/>
  <c r="M336" i="7" s="1"/>
  <c r="N336" i="7"/>
  <c r="O336" i="7" s="1"/>
  <c r="O339" i="7"/>
  <c r="N346" i="7"/>
  <c r="L346" i="7"/>
  <c r="E346" i="7"/>
  <c r="K346" i="7" s="1"/>
  <c r="M346" i="7" s="1"/>
  <c r="O356" i="7"/>
  <c r="N360" i="7"/>
  <c r="E360" i="7"/>
  <c r="K360" i="7" s="1"/>
  <c r="M360" i="7" s="1"/>
  <c r="L360" i="7"/>
  <c r="O360" i="7" s="1"/>
  <c r="O394" i="7"/>
  <c r="N396" i="7"/>
  <c r="L396" i="7"/>
  <c r="E396" i="7"/>
  <c r="K396" i="7" s="1"/>
  <c r="M396" i="7" s="1"/>
  <c r="N243" i="7"/>
  <c r="L243" i="7"/>
  <c r="O243" i="7" s="1"/>
  <c r="L248" i="7"/>
  <c r="E248" i="7"/>
  <c r="K248" i="7" s="1"/>
  <c r="M248" i="7" s="1"/>
  <c r="N255" i="7"/>
  <c r="L255" i="7"/>
  <c r="O269" i="7"/>
  <c r="L280" i="7"/>
  <c r="E280" i="7"/>
  <c r="K280" i="7" s="1"/>
  <c r="M280" i="7" s="1"/>
  <c r="N287" i="7"/>
  <c r="L287" i="7"/>
  <c r="N330" i="7"/>
  <c r="E330" i="7"/>
  <c r="K330" i="7" s="1"/>
  <c r="M330" i="7" s="1"/>
  <c r="L330" i="7"/>
  <c r="O337" i="7"/>
  <c r="N247" i="7"/>
  <c r="L247" i="7"/>
  <c r="O247" i="7" s="1"/>
  <c r="O261" i="7"/>
  <c r="L272" i="7"/>
  <c r="O272" i="7" s="1"/>
  <c r="E272" i="7"/>
  <c r="K272" i="7" s="1"/>
  <c r="M272" i="7" s="1"/>
  <c r="N279" i="7"/>
  <c r="L279" i="7"/>
  <c r="O293" i="7"/>
  <c r="O297" i="7"/>
  <c r="E300" i="7"/>
  <c r="K300" i="7" s="1"/>
  <c r="M300" i="7" s="1"/>
  <c r="N300" i="7"/>
  <c r="N326" i="7"/>
  <c r="E326" i="7"/>
  <c r="K326" i="7" s="1"/>
  <c r="M326" i="7" s="1"/>
  <c r="L326" i="7"/>
  <c r="N354" i="7"/>
  <c r="L354" i="7"/>
  <c r="O354" i="7" s="1"/>
  <c r="E354" i="7"/>
  <c r="K354" i="7" s="1"/>
  <c r="M354" i="7" s="1"/>
  <c r="N248" i="7"/>
  <c r="L252" i="7"/>
  <c r="O252" i="7" s="1"/>
  <c r="E252" i="7"/>
  <c r="K252" i="7" s="1"/>
  <c r="M252" i="7" s="1"/>
  <c r="N259" i="7"/>
  <c r="L259" i="7"/>
  <c r="O273" i="7"/>
  <c r="N280" i="7"/>
  <c r="L284" i="7"/>
  <c r="O284" i="7" s="1"/>
  <c r="E284" i="7"/>
  <c r="N291" i="7"/>
  <c r="L291" i="7"/>
  <c r="O291" i="7" s="1"/>
  <c r="E308" i="7"/>
  <c r="K308" i="7" s="1"/>
  <c r="M308" i="7" s="1"/>
  <c r="N308" i="7"/>
  <c r="L308" i="7"/>
  <c r="O319" i="7"/>
  <c r="E332" i="7"/>
  <c r="K332" i="7" s="1"/>
  <c r="M332" i="7" s="1"/>
  <c r="N332" i="7"/>
  <c r="O332" i="7" s="1"/>
  <c r="E366" i="7"/>
  <c r="K366" i="7" s="1"/>
  <c r="M366" i="7" s="1"/>
  <c r="N366" i="7"/>
  <c r="L366" i="7"/>
  <c r="O366" i="7" s="1"/>
  <c r="O398" i="7"/>
  <c r="N306" i="7"/>
  <c r="O306" i="7" s="1"/>
  <c r="E306" i="7"/>
  <c r="K306" i="7" s="1"/>
  <c r="M306" i="7" s="1"/>
  <c r="O309" i="7"/>
  <c r="E312" i="7"/>
  <c r="K312" i="7" s="1"/>
  <c r="M312" i="7" s="1"/>
  <c r="N312" i="7"/>
  <c r="N338" i="7"/>
  <c r="O338" i="7" s="1"/>
  <c r="E338" i="7"/>
  <c r="K338" i="7" s="1"/>
  <c r="M338" i="7" s="1"/>
  <c r="N358" i="7"/>
  <c r="L358" i="7"/>
  <c r="E358" i="7"/>
  <c r="K358" i="7" s="1"/>
  <c r="M358" i="7" s="1"/>
  <c r="O365" i="7"/>
  <c r="N376" i="7"/>
  <c r="E376" i="7"/>
  <c r="K376" i="7" s="1"/>
  <c r="M376" i="7" s="1"/>
  <c r="L376" i="7"/>
  <c r="O376" i="7" s="1"/>
  <c r="N392" i="7"/>
  <c r="L392" i="7"/>
  <c r="E392" i="7"/>
  <c r="K392" i="7" s="1"/>
  <c r="M392" i="7" s="1"/>
  <c r="L479" i="7"/>
  <c r="O479" i="7" s="1"/>
  <c r="E479" i="7"/>
  <c r="K479" i="7" s="1"/>
  <c r="M479" i="7" s="1"/>
  <c r="N318" i="7"/>
  <c r="E318" i="7"/>
  <c r="K318" i="7" s="1"/>
  <c r="M318" i="7" s="1"/>
  <c r="O321" i="7"/>
  <c r="E324" i="7"/>
  <c r="K324" i="7" s="1"/>
  <c r="M324" i="7" s="1"/>
  <c r="N324" i="7"/>
  <c r="O381" i="7"/>
  <c r="L451" i="7"/>
  <c r="O451" i="7" s="1"/>
  <c r="E451" i="7"/>
  <c r="K451" i="7" s="1"/>
  <c r="M451" i="7" s="1"/>
  <c r="N451" i="7"/>
  <c r="L298" i="7"/>
  <c r="O298" i="7" s="1"/>
  <c r="N310" i="7"/>
  <c r="O310" i="7" s="1"/>
  <c r="E310" i="7"/>
  <c r="K310" i="7" s="1"/>
  <c r="M310" i="7" s="1"/>
  <c r="L312" i="7"/>
  <c r="O312" i="7" s="1"/>
  <c r="E316" i="7"/>
  <c r="K316" i="7" s="1"/>
  <c r="M316" i="7" s="1"/>
  <c r="N316" i="7"/>
  <c r="O316" i="7" s="1"/>
  <c r="L318" i="7"/>
  <c r="O318" i="7" s="1"/>
  <c r="N342" i="7"/>
  <c r="O342" i="7" s="1"/>
  <c r="E342" i="7"/>
  <c r="K342" i="7" s="1"/>
  <c r="M342" i="7" s="1"/>
  <c r="O344" i="7"/>
  <c r="O362" i="7"/>
  <c r="N388" i="7"/>
  <c r="L388" i="7"/>
  <c r="O388" i="7" s="1"/>
  <c r="E388" i="7"/>
  <c r="K388" i="7" s="1"/>
  <c r="M388" i="7" s="1"/>
  <c r="N417" i="7"/>
  <c r="L417" i="7"/>
  <c r="E417" i="7"/>
  <c r="K417" i="7" s="1"/>
  <c r="M417" i="7" s="1"/>
  <c r="L471" i="7"/>
  <c r="O471" i="7" s="1"/>
  <c r="E471" i="7"/>
  <c r="K471" i="7" s="1"/>
  <c r="M471" i="7" s="1"/>
  <c r="N494" i="7"/>
  <c r="L494" i="7"/>
  <c r="O494" i="7" s="1"/>
  <c r="E494" i="7"/>
  <c r="K494" i="7" s="1"/>
  <c r="M494" i="7" s="1"/>
  <c r="N322" i="7"/>
  <c r="O322" i="7" s="1"/>
  <c r="E322" i="7"/>
  <c r="K322" i="7" s="1"/>
  <c r="M322" i="7" s="1"/>
  <c r="L324" i="7"/>
  <c r="O324" i="7" s="1"/>
  <c r="O325" i="7"/>
  <c r="E328" i="7"/>
  <c r="K328" i="7" s="1"/>
  <c r="M328" i="7" s="1"/>
  <c r="N328" i="7"/>
  <c r="N359" i="7"/>
  <c r="L359" i="7"/>
  <c r="O359" i="7" s="1"/>
  <c r="E359" i="7"/>
  <c r="K359" i="7" s="1"/>
  <c r="M359" i="7" s="1"/>
  <c r="N344" i="7"/>
  <c r="N348" i="7"/>
  <c r="O348" i="7" s="1"/>
  <c r="N352" i="7"/>
  <c r="N356" i="7"/>
  <c r="N364" i="7"/>
  <c r="E364" i="7"/>
  <c r="K364" i="7" s="1"/>
  <c r="M364" i="7" s="1"/>
  <c r="E386" i="7"/>
  <c r="K386" i="7" s="1"/>
  <c r="M386" i="7" s="1"/>
  <c r="N386" i="7"/>
  <c r="N400" i="7"/>
  <c r="L400" i="7"/>
  <c r="O400" i="7" s="1"/>
  <c r="E400" i="7"/>
  <c r="L439" i="7"/>
  <c r="O439" i="7" s="1"/>
  <c r="E439" i="7"/>
  <c r="K439" i="7" s="1"/>
  <c r="M439" i="7" s="1"/>
  <c r="N439" i="7"/>
  <c r="L455" i="7"/>
  <c r="E455" i="7"/>
  <c r="K455" i="7" s="1"/>
  <c r="M455" i="7" s="1"/>
  <c r="N455" i="7"/>
  <c r="N486" i="7"/>
  <c r="L486" i="7"/>
  <c r="E486" i="7"/>
  <c r="K486" i="7" s="1"/>
  <c r="M486" i="7" s="1"/>
  <c r="E374" i="7"/>
  <c r="K374" i="7" s="1"/>
  <c r="M374" i="7" s="1"/>
  <c r="N374" i="7"/>
  <c r="N380" i="7"/>
  <c r="E380" i="7"/>
  <c r="K380" i="7" s="1"/>
  <c r="M380" i="7" s="1"/>
  <c r="N404" i="7"/>
  <c r="L404" i="7"/>
  <c r="E404" i="7"/>
  <c r="K404" i="7" s="1"/>
  <c r="M404" i="7" s="1"/>
  <c r="O406" i="7"/>
  <c r="L443" i="7"/>
  <c r="E443" i="7"/>
  <c r="K443" i="7" s="1"/>
  <c r="M443" i="7" s="1"/>
  <c r="N443" i="7"/>
  <c r="L467" i="7"/>
  <c r="O467" i="7" s="1"/>
  <c r="E467" i="7"/>
  <c r="K467" i="7" s="1"/>
  <c r="M467" i="7" s="1"/>
  <c r="L475" i="7"/>
  <c r="E475" i="7"/>
  <c r="K475" i="7" s="1"/>
  <c r="M475" i="7" s="1"/>
  <c r="L483" i="7"/>
  <c r="E483" i="7"/>
  <c r="K483" i="7" s="1"/>
  <c r="M483" i="7" s="1"/>
  <c r="O363" i="7"/>
  <c r="N368" i="7"/>
  <c r="E368" i="7"/>
  <c r="K368" i="7" s="1"/>
  <c r="M368" i="7" s="1"/>
  <c r="N408" i="7"/>
  <c r="L408" i="7"/>
  <c r="E408" i="7"/>
  <c r="K408" i="7" s="1"/>
  <c r="M408" i="7" s="1"/>
  <c r="N412" i="7"/>
  <c r="L412" i="7"/>
  <c r="O412" i="7" s="1"/>
  <c r="E412" i="7"/>
  <c r="K412" i="7" s="1"/>
  <c r="M412" i="7" s="1"/>
  <c r="O414" i="7"/>
  <c r="L459" i="7"/>
  <c r="O459" i="7" s="1"/>
  <c r="E459" i="7"/>
  <c r="K459" i="7" s="1"/>
  <c r="M459" i="7" s="1"/>
  <c r="N459" i="7"/>
  <c r="N498" i="7"/>
  <c r="L498" i="7"/>
  <c r="E362" i="7"/>
  <c r="K362" i="7" s="1"/>
  <c r="M362" i="7" s="1"/>
  <c r="N362" i="7"/>
  <c r="O379" i="7"/>
  <c r="L380" i="7"/>
  <c r="O380" i="7" s="1"/>
  <c r="N384" i="7"/>
  <c r="O384" i="7" s="1"/>
  <c r="E384" i="7"/>
  <c r="K384" i="7" s="1"/>
  <c r="M384" i="7" s="1"/>
  <c r="L386" i="7"/>
  <c r="O386" i="7" s="1"/>
  <c r="N416" i="7"/>
  <c r="L416" i="7"/>
  <c r="O416" i="7" s="1"/>
  <c r="E416" i="7"/>
  <c r="K416" i="7" s="1"/>
  <c r="M416" i="7" s="1"/>
  <c r="L447" i="7"/>
  <c r="O447" i="7" s="1"/>
  <c r="E447" i="7"/>
  <c r="K447" i="7" s="1"/>
  <c r="M447" i="7" s="1"/>
  <c r="N447" i="7"/>
  <c r="N467" i="7"/>
  <c r="N475" i="7"/>
  <c r="N483" i="7"/>
  <c r="N490" i="7"/>
  <c r="L490" i="7"/>
  <c r="E490" i="7"/>
  <c r="K490" i="7" s="1"/>
  <c r="M490" i="7" s="1"/>
  <c r="O367" i="7"/>
  <c r="L368" i="7"/>
  <c r="N372" i="7"/>
  <c r="O372" i="7" s="1"/>
  <c r="E372" i="7"/>
  <c r="K372" i="7" s="1"/>
  <c r="M372" i="7" s="1"/>
  <c r="L374" i="7"/>
  <c r="O374" i="7" s="1"/>
  <c r="E378" i="7"/>
  <c r="K378" i="7" s="1"/>
  <c r="M378" i="7" s="1"/>
  <c r="N378" i="7"/>
  <c r="E498" i="7"/>
  <c r="K498" i="7" s="1"/>
  <c r="M498" i="7" s="1"/>
  <c r="N390" i="7"/>
  <c r="O390" i="7" s="1"/>
  <c r="N394" i="7"/>
  <c r="N398" i="7"/>
  <c r="N402" i="7"/>
  <c r="O402" i="7" s="1"/>
  <c r="N406" i="7"/>
  <c r="N410" i="7"/>
  <c r="O410" i="7" s="1"/>
  <c r="N414" i="7"/>
  <c r="L431" i="7"/>
  <c r="O431" i="7" s="1"/>
  <c r="E431" i="7"/>
  <c r="K431" i="7" s="1"/>
  <c r="M431" i="7" s="1"/>
  <c r="L435" i="7"/>
  <c r="O435" i="7" s="1"/>
  <c r="E435" i="7"/>
  <c r="K435" i="7" s="1"/>
  <c r="M435" i="7" s="1"/>
  <c r="O436" i="7"/>
  <c r="O437" i="7"/>
  <c r="N462" i="7"/>
  <c r="L462" i="7"/>
  <c r="N466" i="7"/>
  <c r="L466" i="7"/>
  <c r="O466" i="7" s="1"/>
  <c r="N470" i="7"/>
  <c r="L470" i="7"/>
  <c r="N474" i="7"/>
  <c r="L474" i="7"/>
  <c r="N478" i="7"/>
  <c r="L478" i="7"/>
  <c r="N482" i="7"/>
  <c r="L482" i="7"/>
  <c r="O482" i="7" s="1"/>
  <c r="L419" i="7"/>
  <c r="E419" i="7"/>
  <c r="K419" i="7" s="1"/>
  <c r="M419" i="7" s="1"/>
  <c r="L423" i="7"/>
  <c r="O423" i="7" s="1"/>
  <c r="E423" i="7"/>
  <c r="K423" i="7" s="1"/>
  <c r="M423" i="7" s="1"/>
  <c r="L427" i="7"/>
  <c r="E427" i="7"/>
  <c r="O429" i="7"/>
  <c r="O432" i="7"/>
  <c r="O433" i="7"/>
  <c r="N442" i="7"/>
  <c r="L442" i="7"/>
  <c r="O442" i="7" s="1"/>
  <c r="N446" i="7"/>
  <c r="L446" i="7"/>
  <c r="O446" i="7" s="1"/>
  <c r="N450" i="7"/>
  <c r="L450" i="7"/>
  <c r="O450" i="7" s="1"/>
  <c r="N454" i="7"/>
  <c r="L454" i="7"/>
  <c r="N458" i="7"/>
  <c r="L458" i="7"/>
  <c r="O458" i="7" s="1"/>
  <c r="O421" i="7"/>
  <c r="O425" i="7"/>
  <c r="N438" i="7"/>
  <c r="L438" i="7"/>
  <c r="O438" i="7" s="1"/>
  <c r="E466" i="7"/>
  <c r="K466" i="7" s="1"/>
  <c r="M466" i="7" s="1"/>
  <c r="E470" i="7"/>
  <c r="K470" i="7" s="1"/>
  <c r="M470" i="7" s="1"/>
  <c r="E474" i="7"/>
  <c r="K474" i="7" s="1"/>
  <c r="M474" i="7" s="1"/>
  <c r="E478" i="7"/>
  <c r="K478" i="7" s="1"/>
  <c r="M478" i="7" s="1"/>
  <c r="E482" i="7"/>
  <c r="K482" i="7" s="1"/>
  <c r="M482" i="7" s="1"/>
  <c r="L495" i="7"/>
  <c r="O495" i="7" s="1"/>
  <c r="E495" i="7"/>
  <c r="K495" i="7" s="1"/>
  <c r="M495" i="7" s="1"/>
  <c r="L499" i="7"/>
  <c r="E499" i="7"/>
  <c r="K499" i="7" s="1"/>
  <c r="M499" i="7" s="1"/>
  <c r="N419" i="7"/>
  <c r="N423" i="7"/>
  <c r="N427" i="7"/>
  <c r="N430" i="7"/>
  <c r="L430" i="7"/>
  <c r="O430" i="7" s="1"/>
  <c r="N434" i="7"/>
  <c r="L434" i="7"/>
  <c r="O434" i="7" s="1"/>
  <c r="E442" i="7"/>
  <c r="K442" i="7" s="1"/>
  <c r="M442" i="7" s="1"/>
  <c r="E446" i="7"/>
  <c r="K446" i="7" s="1"/>
  <c r="M446" i="7" s="1"/>
  <c r="E450" i="7"/>
  <c r="K450" i="7" s="1"/>
  <c r="M450" i="7" s="1"/>
  <c r="E458" i="7"/>
  <c r="K458" i="7" s="1"/>
  <c r="M458" i="7" s="1"/>
  <c r="L491" i="7"/>
  <c r="O491" i="7" s="1"/>
  <c r="E491" i="7"/>
  <c r="K491" i="7" s="1"/>
  <c r="M491" i="7" s="1"/>
  <c r="O492" i="7"/>
  <c r="O493" i="7"/>
  <c r="O496" i="7"/>
  <c r="O497" i="7"/>
  <c r="O500" i="7"/>
  <c r="N418" i="7"/>
  <c r="L418" i="7"/>
  <c r="N422" i="7"/>
  <c r="L422" i="7"/>
  <c r="N426" i="7"/>
  <c r="L426" i="7"/>
  <c r="O426" i="7" s="1"/>
  <c r="E438" i="7"/>
  <c r="K438" i="7" s="1"/>
  <c r="M438" i="7" s="1"/>
  <c r="L487" i="7"/>
  <c r="O487" i="7" s="1"/>
  <c r="E487" i="7"/>
  <c r="K487" i="7" s="1"/>
  <c r="M487" i="7" s="1"/>
  <c r="O488" i="7"/>
  <c r="O489" i="7"/>
  <c r="N495" i="7"/>
  <c r="N499" i="7"/>
  <c r="O501" i="7"/>
  <c r="K27" i="5"/>
  <c r="K6" i="5"/>
  <c r="K13" i="5" s="1"/>
  <c r="K14" i="5" s="1"/>
  <c r="K21" i="5" s="1"/>
  <c r="K22" i="5" s="1"/>
  <c r="K29" i="5" s="1"/>
  <c r="K30" i="5" s="1"/>
  <c r="L10" i="2"/>
  <c r="M10" i="2"/>
  <c r="N10" i="2"/>
  <c r="O10" i="2"/>
  <c r="L11" i="2"/>
  <c r="M11" i="2"/>
  <c r="N11" i="2"/>
  <c r="O11" i="2"/>
  <c r="L12" i="2"/>
  <c r="M12" i="2"/>
  <c r="N12" i="2"/>
  <c r="O12" i="2"/>
  <c r="L13" i="2"/>
  <c r="M13" i="2"/>
  <c r="N13" i="2"/>
  <c r="O13" i="2"/>
  <c r="L14" i="2"/>
  <c r="M14" i="2"/>
  <c r="N14" i="2"/>
  <c r="O14" i="2"/>
  <c r="P12" i="4"/>
  <c r="P9" i="4"/>
  <c r="P10" i="4"/>
  <c r="J11" i="4"/>
  <c r="T12" i="4"/>
  <c r="P13" i="4"/>
  <c r="M9" i="4"/>
  <c r="W13" i="3"/>
  <c r="S13" i="3"/>
  <c r="S9" i="3"/>
  <c r="O13" i="3"/>
  <c r="O9" i="3"/>
  <c r="L13" i="3"/>
  <c r="W9" i="3"/>
  <c r="O10" i="3"/>
  <c r="O11" i="3"/>
  <c r="W12" i="3"/>
  <c r="AC18" i="2"/>
  <c r="AC19" i="2"/>
  <c r="AC20" i="2"/>
  <c r="AC21" i="2"/>
  <c r="AC22" i="2"/>
  <c r="AC17" i="2"/>
  <c r="V19" i="2"/>
  <c r="V20" i="2"/>
  <c r="V21" i="2"/>
  <c r="V22" i="2"/>
  <c r="V23" i="2"/>
  <c r="V18" i="2"/>
  <c r="P19" i="2"/>
  <c r="P20" i="2"/>
  <c r="P21" i="2"/>
  <c r="P22" i="2"/>
  <c r="P23" i="2"/>
  <c r="P18" i="2"/>
  <c r="L19" i="2"/>
  <c r="L20" i="2"/>
  <c r="L21" i="2"/>
  <c r="L22" i="2"/>
  <c r="L23" i="2"/>
  <c r="L18" i="2"/>
  <c r="M11" i="4" l="1"/>
  <c r="T11" i="4"/>
  <c r="T10" i="4"/>
  <c r="J13" i="4"/>
  <c r="T9" i="4"/>
  <c r="J12" i="4"/>
  <c r="J9" i="4"/>
  <c r="P11" i="4"/>
  <c r="T13" i="4"/>
  <c r="M12" i="4"/>
  <c r="L11" i="3"/>
  <c r="W11" i="3"/>
  <c r="L10" i="3"/>
  <c r="W10" i="3"/>
  <c r="L9" i="3"/>
  <c r="S12" i="3"/>
  <c r="S11" i="3"/>
  <c r="S10" i="3"/>
  <c r="O12" i="3"/>
  <c r="L12" i="3"/>
  <c r="O422" i="7"/>
  <c r="O478" i="7"/>
  <c r="O462" i="7"/>
  <c r="O490" i="7"/>
  <c r="O455" i="7"/>
  <c r="O417" i="7"/>
  <c r="O287" i="7"/>
  <c r="O248" i="7"/>
  <c r="O215" i="7"/>
  <c r="O370" i="7"/>
  <c r="O288" i="7"/>
  <c r="O340" i="7"/>
  <c r="O137" i="7"/>
  <c r="O167" i="7"/>
  <c r="O115" i="7"/>
  <c r="O173" i="7"/>
  <c r="O499" i="7"/>
  <c r="O427" i="7"/>
  <c r="O443" i="7"/>
  <c r="O203" i="7"/>
  <c r="O296" i="7"/>
  <c r="O299" i="7"/>
  <c r="O418" i="7"/>
  <c r="O474" i="7"/>
  <c r="O498" i="7"/>
  <c r="O483" i="7"/>
  <c r="O283" i="7"/>
  <c r="O193" i="7"/>
  <c r="O211" i="7"/>
  <c r="O111" i="7"/>
  <c r="O280" i="7"/>
  <c r="O470" i="7"/>
  <c r="O408" i="7"/>
  <c r="O475" i="7"/>
  <c r="O486" i="7"/>
  <c r="O392" i="7"/>
  <c r="O358" i="7"/>
  <c r="O308" i="7"/>
  <c r="O279" i="7"/>
  <c r="O396" i="7"/>
  <c r="O346" i="7"/>
  <c r="O251" i="7"/>
  <c r="O153" i="7"/>
  <c r="O187" i="7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P86" i="7" s="1"/>
  <c r="P87" i="7" s="1"/>
  <c r="P88" i="7" s="1"/>
  <c r="P89" i="7" s="1"/>
  <c r="P90" i="7" s="1"/>
  <c r="P91" i="7" s="1"/>
  <c r="P92" i="7" s="1"/>
  <c r="P93" i="7" s="1"/>
  <c r="P94" i="7" s="1"/>
  <c r="P95" i="7" s="1"/>
  <c r="P96" i="7" s="1"/>
  <c r="P97" i="7" s="1"/>
  <c r="P98" i="7" s="1"/>
  <c r="P99" i="7" s="1"/>
  <c r="P100" i="7" s="1"/>
  <c r="P101" i="7" s="1"/>
  <c r="P102" i="7" s="1"/>
  <c r="P103" i="7" s="1"/>
  <c r="P104" i="7" s="1"/>
  <c r="P105" i="7" s="1"/>
  <c r="P106" i="7" s="1"/>
  <c r="P107" i="7" s="1"/>
  <c r="P108" i="7" s="1"/>
  <c r="P109" i="7" s="1"/>
  <c r="P110" i="7" s="1"/>
  <c r="P111" i="7" s="1"/>
  <c r="P112" i="7" s="1"/>
  <c r="P113" i="7" s="1"/>
  <c r="P114" i="7" s="1"/>
  <c r="P115" i="7" s="1"/>
  <c r="P116" i="7" s="1"/>
  <c r="P117" i="7" s="1"/>
  <c r="P118" i="7" s="1"/>
  <c r="P119" i="7" s="1"/>
  <c r="P120" i="7" s="1"/>
  <c r="P121" i="7" s="1"/>
  <c r="P122" i="7" s="1"/>
  <c r="P123" i="7" s="1"/>
  <c r="P124" i="7" s="1"/>
  <c r="P125" i="7" s="1"/>
  <c r="P126" i="7" s="1"/>
  <c r="P127" i="7" s="1"/>
  <c r="P128" i="7" s="1"/>
  <c r="P129" i="7" s="1"/>
  <c r="P130" i="7" s="1"/>
  <c r="P131" i="7" s="1"/>
  <c r="P132" i="7" s="1"/>
  <c r="P133" i="7" s="1"/>
  <c r="P134" i="7" s="1"/>
  <c r="P135" i="7" s="1"/>
  <c r="P136" i="7" s="1"/>
  <c r="P137" i="7" s="1"/>
  <c r="P138" i="7" s="1"/>
  <c r="P139" i="7" s="1"/>
  <c r="P140" i="7" s="1"/>
  <c r="P141" i="7" s="1"/>
  <c r="P142" i="7" s="1"/>
  <c r="P143" i="7" s="1"/>
  <c r="P144" i="7" s="1"/>
  <c r="P145" i="7" s="1"/>
  <c r="P146" i="7" s="1"/>
  <c r="P147" i="7" s="1"/>
  <c r="P148" i="7" s="1"/>
  <c r="P149" i="7" s="1"/>
  <c r="P150" i="7" s="1"/>
  <c r="P151" i="7" s="1"/>
  <c r="P152" i="7" s="1"/>
  <c r="P153" i="7" s="1"/>
  <c r="P154" i="7" s="1"/>
  <c r="P155" i="7" s="1"/>
  <c r="P156" i="7" s="1"/>
  <c r="P157" i="7" s="1"/>
  <c r="P158" i="7" s="1"/>
  <c r="P159" i="7" s="1"/>
  <c r="P160" i="7" s="1"/>
  <c r="P161" i="7" s="1"/>
  <c r="P162" i="7" s="1"/>
  <c r="P163" i="7" s="1"/>
  <c r="P164" i="7" s="1"/>
  <c r="P165" i="7" s="1"/>
  <c r="P166" i="7" s="1"/>
  <c r="P167" i="7" s="1"/>
  <c r="P168" i="7" s="1"/>
  <c r="P169" i="7" s="1"/>
  <c r="P170" i="7" s="1"/>
  <c r="P171" i="7" s="1"/>
  <c r="P172" i="7" s="1"/>
  <c r="P173" i="7" s="1"/>
  <c r="P174" i="7" s="1"/>
  <c r="P175" i="7" s="1"/>
  <c r="P176" i="7" s="1"/>
  <c r="P177" i="7" s="1"/>
  <c r="P178" i="7" s="1"/>
  <c r="P179" i="7" s="1"/>
  <c r="P180" i="7" s="1"/>
  <c r="P181" i="7" s="1"/>
  <c r="P182" i="7" s="1"/>
  <c r="P183" i="7" s="1"/>
  <c r="P184" i="7" s="1"/>
  <c r="P185" i="7" s="1"/>
  <c r="P186" i="7" s="1"/>
  <c r="P187" i="7" s="1"/>
  <c r="P188" i="7" s="1"/>
  <c r="P189" i="7" s="1"/>
  <c r="P190" i="7" s="1"/>
  <c r="P191" i="7" s="1"/>
  <c r="P192" i="7" s="1"/>
  <c r="P193" i="7" s="1"/>
  <c r="P194" i="7" s="1"/>
  <c r="P195" i="7" s="1"/>
  <c r="P196" i="7" s="1"/>
  <c r="P197" i="7" s="1"/>
  <c r="P198" i="7" s="1"/>
  <c r="P199" i="7" s="1"/>
  <c r="P200" i="7" s="1"/>
  <c r="P201" i="7" s="1"/>
  <c r="P202" i="7" s="1"/>
  <c r="P203" i="7" s="1"/>
  <c r="P204" i="7" s="1"/>
  <c r="P205" i="7" s="1"/>
  <c r="P206" i="7" s="1"/>
  <c r="P207" i="7" s="1"/>
  <c r="P208" i="7" s="1"/>
  <c r="P209" i="7" s="1"/>
  <c r="P210" i="7" s="1"/>
  <c r="P211" i="7" s="1"/>
  <c r="P212" i="7" s="1"/>
  <c r="P213" i="7" s="1"/>
  <c r="P214" i="7" s="1"/>
  <c r="P215" i="7" s="1"/>
  <c r="P216" i="7" s="1"/>
  <c r="P217" i="7" s="1"/>
  <c r="P218" i="7" s="1"/>
  <c r="P219" i="7" s="1"/>
  <c r="P220" i="7" s="1"/>
  <c r="P221" i="7" s="1"/>
  <c r="P222" i="7" s="1"/>
  <c r="P223" i="7" s="1"/>
  <c r="P224" i="7" s="1"/>
  <c r="P225" i="7" s="1"/>
  <c r="P226" i="7" s="1"/>
  <c r="P227" i="7" s="1"/>
  <c r="P228" i="7" s="1"/>
  <c r="P229" i="7" s="1"/>
  <c r="P230" i="7" s="1"/>
  <c r="P231" i="7" s="1"/>
  <c r="P232" i="7" s="1"/>
  <c r="P233" i="7" s="1"/>
  <c r="P234" i="7" s="1"/>
  <c r="P235" i="7" s="1"/>
  <c r="P236" i="7" s="1"/>
  <c r="P237" i="7" s="1"/>
  <c r="P238" i="7" s="1"/>
  <c r="P239" i="7" s="1"/>
  <c r="P240" i="7" s="1"/>
  <c r="P241" i="7" s="1"/>
  <c r="P242" i="7" s="1"/>
  <c r="P243" i="7" s="1"/>
  <c r="P244" i="7" s="1"/>
  <c r="P245" i="7" s="1"/>
  <c r="P246" i="7" s="1"/>
  <c r="P247" i="7" s="1"/>
  <c r="P248" i="7" s="1"/>
  <c r="P249" i="7" s="1"/>
  <c r="P250" i="7" s="1"/>
  <c r="P251" i="7" s="1"/>
  <c r="P252" i="7" s="1"/>
  <c r="P253" i="7" s="1"/>
  <c r="P254" i="7" s="1"/>
  <c r="P255" i="7" s="1"/>
  <c r="P256" i="7" s="1"/>
  <c r="P257" i="7" s="1"/>
  <c r="P258" i="7" s="1"/>
  <c r="P259" i="7" s="1"/>
  <c r="P260" i="7" s="1"/>
  <c r="P261" i="7" s="1"/>
  <c r="P262" i="7" s="1"/>
  <c r="P263" i="7" s="1"/>
  <c r="P264" i="7" s="1"/>
  <c r="P265" i="7" s="1"/>
  <c r="P266" i="7" s="1"/>
  <c r="P267" i="7" s="1"/>
  <c r="P268" i="7" s="1"/>
  <c r="P269" i="7" s="1"/>
  <c r="P270" i="7" s="1"/>
  <c r="P271" i="7" s="1"/>
  <c r="P272" i="7" s="1"/>
  <c r="P273" i="7" s="1"/>
  <c r="P274" i="7" s="1"/>
  <c r="P275" i="7" s="1"/>
  <c r="P276" i="7" s="1"/>
  <c r="P277" i="7" s="1"/>
  <c r="P278" i="7" s="1"/>
  <c r="P279" i="7" s="1"/>
  <c r="P280" i="7" s="1"/>
  <c r="P281" i="7" s="1"/>
  <c r="P282" i="7" s="1"/>
  <c r="P283" i="7" s="1"/>
  <c r="P284" i="7" s="1"/>
  <c r="P285" i="7" s="1"/>
  <c r="P286" i="7" s="1"/>
  <c r="P287" i="7" s="1"/>
  <c r="P288" i="7" s="1"/>
  <c r="P289" i="7" s="1"/>
  <c r="P290" i="7" s="1"/>
  <c r="P291" i="7" s="1"/>
  <c r="P292" i="7" s="1"/>
  <c r="P293" i="7" s="1"/>
  <c r="P294" i="7" s="1"/>
  <c r="P295" i="7" s="1"/>
  <c r="P296" i="7" s="1"/>
  <c r="P297" i="7" s="1"/>
  <c r="P298" i="7" s="1"/>
  <c r="P299" i="7" s="1"/>
  <c r="P300" i="7" s="1"/>
  <c r="P301" i="7" s="1"/>
  <c r="P302" i="7" s="1"/>
  <c r="P303" i="7" s="1"/>
  <c r="P304" i="7" s="1"/>
  <c r="P305" i="7" s="1"/>
  <c r="P306" i="7" s="1"/>
  <c r="P307" i="7" s="1"/>
  <c r="P308" i="7" s="1"/>
  <c r="P309" i="7" s="1"/>
  <c r="P310" i="7" s="1"/>
  <c r="P311" i="7" s="1"/>
  <c r="P312" i="7" s="1"/>
  <c r="P313" i="7" s="1"/>
  <c r="P314" i="7" s="1"/>
  <c r="P315" i="7" s="1"/>
  <c r="P316" i="7" s="1"/>
  <c r="P317" i="7" s="1"/>
  <c r="P318" i="7" s="1"/>
  <c r="P319" i="7" s="1"/>
  <c r="P320" i="7" s="1"/>
  <c r="P321" i="7" s="1"/>
  <c r="P322" i="7" s="1"/>
  <c r="P323" i="7" s="1"/>
  <c r="P324" i="7" s="1"/>
  <c r="P325" i="7" s="1"/>
  <c r="P326" i="7" s="1"/>
  <c r="P327" i="7" s="1"/>
  <c r="P328" i="7" s="1"/>
  <c r="P329" i="7" s="1"/>
  <c r="P330" i="7" s="1"/>
  <c r="P331" i="7" s="1"/>
  <c r="P332" i="7" s="1"/>
  <c r="P333" i="7" s="1"/>
  <c r="P334" i="7" s="1"/>
  <c r="P335" i="7" s="1"/>
  <c r="P336" i="7" s="1"/>
  <c r="P337" i="7" s="1"/>
  <c r="P338" i="7" s="1"/>
  <c r="P339" i="7" s="1"/>
  <c r="P340" i="7" s="1"/>
  <c r="P341" i="7" s="1"/>
  <c r="P342" i="7" s="1"/>
  <c r="P343" i="7" s="1"/>
  <c r="P344" i="7" s="1"/>
  <c r="P345" i="7" s="1"/>
  <c r="P346" i="7" s="1"/>
  <c r="P347" i="7" s="1"/>
  <c r="P348" i="7" s="1"/>
  <c r="P349" i="7" s="1"/>
  <c r="P350" i="7" s="1"/>
  <c r="P351" i="7" s="1"/>
  <c r="P352" i="7" s="1"/>
  <c r="P353" i="7" s="1"/>
  <c r="P354" i="7" s="1"/>
  <c r="P355" i="7" s="1"/>
  <c r="P356" i="7" s="1"/>
  <c r="P357" i="7" s="1"/>
  <c r="P358" i="7" s="1"/>
  <c r="P359" i="7" s="1"/>
  <c r="P360" i="7" s="1"/>
  <c r="P361" i="7" s="1"/>
  <c r="P362" i="7" s="1"/>
  <c r="P363" i="7" s="1"/>
  <c r="P364" i="7" s="1"/>
  <c r="P365" i="7" s="1"/>
  <c r="P366" i="7" s="1"/>
  <c r="P367" i="7" s="1"/>
  <c r="P368" i="7" s="1"/>
  <c r="P369" i="7" s="1"/>
  <c r="P370" i="7" s="1"/>
  <c r="P371" i="7" s="1"/>
  <c r="P372" i="7" s="1"/>
  <c r="P373" i="7" s="1"/>
  <c r="P374" i="7" s="1"/>
  <c r="P375" i="7" s="1"/>
  <c r="P376" i="7" s="1"/>
  <c r="P377" i="7" s="1"/>
  <c r="P378" i="7" s="1"/>
  <c r="P379" i="7" s="1"/>
  <c r="P380" i="7" s="1"/>
  <c r="P381" i="7" s="1"/>
  <c r="P382" i="7" s="1"/>
  <c r="P383" i="7" s="1"/>
  <c r="P384" i="7" s="1"/>
  <c r="P385" i="7" s="1"/>
  <c r="P386" i="7" s="1"/>
  <c r="P387" i="7" s="1"/>
  <c r="P388" i="7" s="1"/>
  <c r="P389" i="7" s="1"/>
  <c r="P390" i="7" s="1"/>
  <c r="P391" i="7" s="1"/>
  <c r="P392" i="7" s="1"/>
  <c r="P393" i="7" s="1"/>
  <c r="P394" i="7" s="1"/>
  <c r="P395" i="7" s="1"/>
  <c r="P396" i="7" s="1"/>
  <c r="P397" i="7" s="1"/>
  <c r="P398" i="7" s="1"/>
  <c r="P399" i="7" s="1"/>
  <c r="P400" i="7" s="1"/>
  <c r="P401" i="7" s="1"/>
  <c r="P402" i="7" s="1"/>
  <c r="P403" i="7" s="1"/>
  <c r="P404" i="7" s="1"/>
  <c r="P405" i="7" s="1"/>
  <c r="P406" i="7" s="1"/>
  <c r="P407" i="7" s="1"/>
  <c r="P408" i="7" s="1"/>
  <c r="P409" i="7" s="1"/>
  <c r="P410" i="7" s="1"/>
  <c r="P411" i="7" s="1"/>
  <c r="P412" i="7" s="1"/>
  <c r="P413" i="7" s="1"/>
  <c r="P414" i="7" s="1"/>
  <c r="P415" i="7" s="1"/>
  <c r="P416" i="7" s="1"/>
  <c r="P417" i="7" s="1"/>
  <c r="P418" i="7" s="1"/>
  <c r="P419" i="7" s="1"/>
  <c r="P420" i="7" s="1"/>
  <c r="P421" i="7" s="1"/>
  <c r="P422" i="7" s="1"/>
  <c r="P423" i="7" s="1"/>
  <c r="P424" i="7" s="1"/>
  <c r="P425" i="7" s="1"/>
  <c r="P426" i="7" s="1"/>
  <c r="P427" i="7" s="1"/>
  <c r="P428" i="7" s="1"/>
  <c r="P429" i="7" s="1"/>
  <c r="P430" i="7" s="1"/>
  <c r="P431" i="7" s="1"/>
  <c r="P432" i="7" s="1"/>
  <c r="P433" i="7" s="1"/>
  <c r="P434" i="7" s="1"/>
  <c r="P435" i="7" s="1"/>
  <c r="P436" i="7" s="1"/>
  <c r="P437" i="7" s="1"/>
  <c r="P438" i="7" s="1"/>
  <c r="P439" i="7" s="1"/>
  <c r="P440" i="7" s="1"/>
  <c r="P441" i="7" s="1"/>
  <c r="P442" i="7" s="1"/>
  <c r="P443" i="7" s="1"/>
  <c r="P444" i="7" s="1"/>
  <c r="P445" i="7" s="1"/>
  <c r="P446" i="7" s="1"/>
  <c r="P447" i="7" s="1"/>
  <c r="P448" i="7" s="1"/>
  <c r="P449" i="7" s="1"/>
  <c r="P450" i="7" s="1"/>
  <c r="P451" i="7" s="1"/>
  <c r="P452" i="7" s="1"/>
  <c r="P453" i="7" s="1"/>
  <c r="P454" i="7" s="1"/>
  <c r="P455" i="7" s="1"/>
  <c r="P456" i="7" s="1"/>
  <c r="P457" i="7" s="1"/>
  <c r="P458" i="7" s="1"/>
  <c r="P459" i="7" s="1"/>
  <c r="P460" i="7" s="1"/>
  <c r="P461" i="7" s="1"/>
  <c r="P462" i="7" s="1"/>
  <c r="P463" i="7" s="1"/>
  <c r="P464" i="7" s="1"/>
  <c r="P465" i="7" s="1"/>
  <c r="P466" i="7" s="1"/>
  <c r="P467" i="7" s="1"/>
  <c r="P468" i="7" s="1"/>
  <c r="P469" i="7" s="1"/>
  <c r="P470" i="7" s="1"/>
  <c r="P471" i="7" s="1"/>
  <c r="P472" i="7" s="1"/>
  <c r="P473" i="7" s="1"/>
  <c r="P474" i="7" s="1"/>
  <c r="P475" i="7" s="1"/>
  <c r="P476" i="7" s="1"/>
  <c r="P477" i="7" s="1"/>
  <c r="P478" i="7" s="1"/>
  <c r="P479" i="7" s="1"/>
  <c r="P480" i="7" s="1"/>
  <c r="P481" i="7" s="1"/>
  <c r="P482" i="7" s="1"/>
  <c r="P483" i="7" s="1"/>
  <c r="P484" i="7" s="1"/>
  <c r="P485" i="7" s="1"/>
  <c r="P486" i="7" s="1"/>
  <c r="P487" i="7" s="1"/>
  <c r="P488" i="7" s="1"/>
  <c r="P489" i="7" s="1"/>
  <c r="P490" i="7" s="1"/>
  <c r="P491" i="7" s="1"/>
  <c r="P492" i="7" s="1"/>
  <c r="P493" i="7" s="1"/>
  <c r="P494" i="7" s="1"/>
  <c r="P495" i="7" s="1"/>
  <c r="P496" i="7" s="1"/>
  <c r="P497" i="7" s="1"/>
  <c r="P498" i="7" s="1"/>
  <c r="P499" i="7" s="1"/>
  <c r="P500" i="7" s="1"/>
  <c r="P501" i="7" s="1"/>
  <c r="O271" i="7"/>
  <c r="O219" i="7"/>
  <c r="O454" i="7"/>
  <c r="O419" i="7"/>
  <c r="O368" i="7"/>
  <c r="O404" i="7"/>
  <c r="O259" i="7"/>
  <c r="O326" i="7"/>
  <c r="O330" i="7"/>
  <c r="O255" i="7"/>
  <c r="O304" i="7"/>
  <c r="O159" i="7"/>
  <c r="O276" i="7"/>
  <c r="O320" i="7"/>
  <c r="O256" i="7"/>
  <c r="O267" i="7"/>
  <c r="O161" i="7"/>
  <c r="O125" i="7"/>
  <c r="O119" i="7"/>
  <c r="O113" i="7"/>
  <c r="M10" i="4"/>
  <c r="J10" i="4"/>
  <c r="M13" i="4"/>
</calcChain>
</file>

<file path=xl/sharedStrings.xml><?xml version="1.0" encoding="utf-8"?>
<sst xmlns="http://schemas.openxmlformats.org/spreadsheetml/2006/main" count="486" uniqueCount="74">
  <si>
    <t>Date</t>
  </si>
  <si>
    <t>ID</t>
  </si>
  <si>
    <t>Long</t>
  </si>
  <si>
    <t>DO</t>
  </si>
  <si>
    <t>pH</t>
  </si>
  <si>
    <t>distance</t>
  </si>
  <si>
    <t>RASTERVALU</t>
  </si>
  <si>
    <t>baseflow</t>
  </si>
  <si>
    <t>3</t>
  </si>
  <si>
    <t>4</t>
  </si>
  <si>
    <t>2</t>
  </si>
  <si>
    <t>1</t>
  </si>
  <si>
    <t>5</t>
  </si>
  <si>
    <t>*</t>
  </si>
  <si>
    <t>6</t>
  </si>
  <si>
    <t>0</t>
  </si>
  <si>
    <t>9</t>
  </si>
  <si>
    <t>Sam</t>
  </si>
  <si>
    <t>Q_fraction</t>
  </si>
  <si>
    <t>DO:</t>
  </si>
  <si>
    <t xml:space="preserve">baseflow: </t>
  </si>
  <si>
    <t>bf</t>
  </si>
  <si>
    <t>slope v similar across sampling days, especially if I remove the initial conc for 02/20/2025</t>
  </si>
  <si>
    <t>DO-12/12/2025</t>
  </si>
  <si>
    <t>DO-2/20/2025</t>
  </si>
  <si>
    <t>DO-3/11/2025</t>
  </si>
  <si>
    <t>DO-9192024</t>
  </si>
  <si>
    <t>DO-4/2/2025</t>
  </si>
  <si>
    <t>DO-9/19/2024</t>
  </si>
  <si>
    <t>DO-12/12/2024</t>
  </si>
  <si>
    <t>DO-02/20/2025</t>
  </si>
  <si>
    <t xml:space="preserve">UCA- proportional flow accum per unit length </t>
  </si>
  <si>
    <t>UCA</t>
  </si>
  <si>
    <t>area</t>
  </si>
  <si>
    <t>DO mg/L -9/19/2024</t>
  </si>
  <si>
    <t>qL=</t>
  </si>
  <si>
    <t>GW=</t>
  </si>
  <si>
    <t>Reach 0</t>
  </si>
  <si>
    <t>Reach 1</t>
  </si>
  <si>
    <t>Reach 2</t>
  </si>
  <si>
    <t>K=</t>
  </si>
  <si>
    <t>DO Saturation</t>
  </si>
  <si>
    <t>Saturation Defict=</t>
  </si>
  <si>
    <t>K_O2 1/day</t>
  </si>
  <si>
    <t>1/sec</t>
  </si>
  <si>
    <t>Reach</t>
  </si>
  <si>
    <t>distance (km)</t>
  </si>
  <si>
    <t>Total (C/t)=</t>
  </si>
  <si>
    <t>Upstream</t>
  </si>
  <si>
    <t>Unknown</t>
  </si>
  <si>
    <t>Reach 3</t>
  </si>
  <si>
    <t>GW DO</t>
  </si>
  <si>
    <t>DO Sat</t>
  </si>
  <si>
    <t>K 1/day</t>
  </si>
  <si>
    <t>K 1/sec</t>
  </si>
  <si>
    <t>Q (m^3/s)</t>
  </si>
  <si>
    <t>Watshed Area (m)</t>
  </si>
  <si>
    <t>depth (m)</t>
  </si>
  <si>
    <t>velocity (m/s)</t>
  </si>
  <si>
    <t>K sec^-1</t>
  </si>
  <si>
    <t>qL</t>
  </si>
  <si>
    <t>K_O2 (1/s)</t>
  </si>
  <si>
    <t>Stream Area</t>
  </si>
  <si>
    <t>GW</t>
  </si>
  <si>
    <t>C</t>
  </si>
  <si>
    <t>width</t>
  </si>
  <si>
    <t>k (h/t)=</t>
  </si>
  <si>
    <t xml:space="preserve">distance (km) </t>
  </si>
  <si>
    <t>cum_pixel_diff</t>
  </si>
  <si>
    <t>frac_discharge</t>
  </si>
  <si>
    <t>pixel</t>
  </si>
  <si>
    <t>cum_distance</t>
  </si>
  <si>
    <t>frac_Q</t>
  </si>
  <si>
    <t>cum_pixel_difference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</si>
</sst>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1" fillId="0" borderId="0" xfId="0" applyNumberFormat="1" applyFont="1"/>
    <xf numFmtId="164" fontId="2" fillId="0" borderId="0" xfId="0" applyNumberFormat="1" applyFont="1"/>
    <xf numFmtId="164" fontId="1" fillId="2" borderId="0" xfId="0" applyNumberFormat="1" applyFont="1" applyFill="1"/>
    <xf numFmtId="0" fontId="0" fillId="2" borderId="0" xfId="0" applyFill="1"/>
    <xf numFmtId="164" fontId="2" fillId="2" borderId="0" xfId="0" applyNumberFormat="1" applyFont="1" applyFill="1"/>
    <xf numFmtId="14" fontId="0" fillId="0" borderId="0" xfId="0" applyNumberFormat="1"/>
    <xf numFmtId="0" fontId="0" fillId="3" borderId="0" xfId="0" applyFill="1"/>
    <xf numFmtId="164" fontId="2" fillId="3" borderId="0" xfId="0" applyNumberFormat="1" applyFont="1" applyFill="1"/>
    <xf numFmtId="20" fontId="0" fillId="0" borderId="1" xfId="0" applyNumberFormat="1" applyBorder="1"/>
    <xf numFmtId="0" fontId="0" fillId="0" borderId="1" xfId="0" applyBorder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09/19/2024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'6'!$M$17</c:f>
              <c:strCache>
                <c:ptCount val="1"/>
                <c:pt idx="0">
                  <c:v>DO-9/19/2024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'6'!$L$18:$L$23</c:f>
              <c:numCache>
                <c:formatCode>General</c:formatCode>
                <c:ptCount val="6"/>
                <c:pt idx="0">
                  <c:v>0.12132545083985322</c:v>
                </c:pt>
                <c:pt idx="1">
                  <c:v>17.867953999719802</c:v>
                </c:pt>
                <c:pt idx="2">
                  <c:v>15.021735904832674</c:v>
                </c:pt>
                <c:pt idx="3">
                  <c:v>41.279126011953196</c:v>
                </c:pt>
                <c:pt idx="4">
                  <c:v>346.37730760253578</c:v>
                </c:pt>
                <c:pt idx="5">
                  <c:v>346.89139849592499</c:v>
                </c:pt>
              </c:numCache>
            </c:numRef>
          </c:xVal>
          <c:yVal>
            <c:numRef>
              <c:f>'6'!$M$18:$M$23</c:f>
              <c:numCache>
                <c:formatCode>General</c:formatCode>
                <c:ptCount val="6"/>
                <c:pt idx="1">
                  <c:v>0.56000000000000005</c:v>
                </c:pt>
                <c:pt idx="2">
                  <c:v>1.22</c:v>
                </c:pt>
                <c:pt idx="3">
                  <c:v>1.29</c:v>
                </c:pt>
                <c:pt idx="4">
                  <c:v>2.06</c:v>
                </c:pt>
                <c:pt idx="5">
                  <c:v>2.2999999999999998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A7-4437-B92A-2C37167C8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996528"/>
        <c:axId val="299992208"/>
      </c:scatterChart>
      <c:valAx>
        <c:axId val="29999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2208"/>
        <c:crosses val="autoZero"/>
        <c:crossBetween val="midCat"/>
      </c:valAx>
      <c:valAx>
        <c:axId val="29999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12/12/2024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'6'!$P$18:$P$23</c:f>
              <c:numCache>
                <c:formatCode>General</c:formatCode>
                <c:ptCount val="6"/>
                <c:pt idx="0">
                  <c:v>1.9341263334559074E-3</c:v>
                </c:pt>
                <c:pt idx="1">
                  <c:v>0.28484444209033927</c:v>
                </c:pt>
                <c:pt idx="2">
                  <c:v>0.23947106552365088</c:v>
                </c:pt>
                <c:pt idx="3">
                  <c:v>0.65805685525248192</c:v>
                </c:pt>
                <c:pt idx="4">
                  <c:v>5.5218214093424089</c:v>
                </c:pt>
                <c:pt idx="5">
                  <c:v>5.5300168599079003</c:v>
                </c:pt>
              </c:numCache>
            </c:numRef>
          </c:xVal>
          <c:yVal>
            <c:numRef>
              <c:f>'6'!$Q$18:$Q$23</c:f>
              <c:numCache>
                <c:formatCode>General</c:formatCode>
                <c:ptCount val="6"/>
                <c:pt idx="1">
                  <c:v>1.1200000000000001</c:v>
                </c:pt>
                <c:pt idx="2">
                  <c:v>1.7</c:v>
                </c:pt>
                <c:pt idx="4">
                  <c:v>4.3099999999999996</c:v>
                </c:pt>
                <c:pt idx="5">
                  <c:v>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64-45EA-96D6-158478B7C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8749200"/>
        <c:axId val="278748720"/>
      </c:scatterChart>
      <c:valAx>
        <c:axId val="27874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8720"/>
        <c:crosses val="autoZero"/>
        <c:crossBetween val="midCat"/>
      </c:valAx>
      <c:valAx>
        <c:axId val="27874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9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02/20/2025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'6'!$W$17</c:f>
              <c:strCache>
                <c:ptCount val="1"/>
                <c:pt idx="0">
                  <c:v>DO-02/20/2025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'6'!$V$18:$V$26</c:f>
              <c:numCache>
                <c:formatCode>General</c:formatCode>
                <c:ptCount val="9"/>
                <c:pt idx="0">
                  <c:v>2.4996000877988075E-2</c:v>
                </c:pt>
                <c:pt idx="1">
                  <c:v>3.6812341579870531</c:v>
                </c:pt>
                <c:pt idx="2">
                  <c:v>3.0948438375203882</c:v>
                </c:pt>
                <c:pt idx="3">
                  <c:v>8.5045063743412896</c:v>
                </c:pt>
                <c:pt idx="4">
                  <c:v>71.36217030321653</c:v>
                </c:pt>
                <c:pt idx="5">
                  <c:v>71.468085561174107</c:v>
                </c:pt>
              </c:numCache>
            </c:numRef>
          </c:xVal>
          <c:yVal>
            <c:numRef>
              <c:f>'6'!$W$18:$W$26</c:f>
              <c:numCache>
                <c:formatCode>General</c:formatCode>
                <c:ptCount val="9"/>
                <c:pt idx="0">
                  <c:v>2.77</c:v>
                </c:pt>
                <c:pt idx="1">
                  <c:v>1.62</c:v>
                </c:pt>
                <c:pt idx="2">
                  <c:v>4.72</c:v>
                </c:pt>
                <c:pt idx="3">
                  <c:v>4.04</c:v>
                </c:pt>
                <c:pt idx="4">
                  <c:v>4.12</c:v>
                </c:pt>
                <c:pt idx="5">
                  <c:v>4.0599999999999996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F0-425F-BDD3-91F9DFEE0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1685424"/>
        <c:axId val="311686864"/>
      </c:scatterChart>
      <c:valAx>
        <c:axId val="311685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686864"/>
        <c:crosses val="autoZero"/>
        <c:crossBetween val="midCat"/>
      </c:valAx>
      <c:valAx>
        <c:axId val="31168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68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'6'!$AD$16</c:f>
              <c:strCache>
                <c:ptCount val="1"/>
                <c:pt idx="0">
                  <c:v>DO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'6'!$AC$17:$AC$22</c:f>
              <c:numCache>
                <c:formatCode>General</c:formatCode>
                <c:ptCount val="6"/>
                <c:pt idx="0">
                  <c:v>2.9536471148044623E-2</c:v>
                </c:pt>
                <c:pt idx="1">
                  <c:v>4.3499224946951855</c:v>
                </c:pt>
                <c:pt idx="2">
                  <c:v>3.6570156226519654</c:v>
                </c:pt>
                <c:pt idx="3">
                  <c:v>10.049331826328194</c:v>
                </c:pt>
                <c:pt idx="4">
                  <c:v>84.324956400483899</c:v>
                </c:pt>
                <c:pt idx="5">
                  <c:v>84.450110939246798</c:v>
                </c:pt>
              </c:numCache>
            </c:numRef>
          </c:xVal>
          <c:yVal>
            <c:numRef>
              <c:f>'6'!$AD$17:$AD$22</c:f>
              <c:numCache>
                <c:formatCode>General</c:formatCode>
                <c:ptCount val="6"/>
                <c:pt idx="0">
                  <c:v>2.7</c:v>
                </c:pt>
                <c:pt idx="1">
                  <c:v>1.89</c:v>
                </c:pt>
                <c:pt idx="3">
                  <c:v>4.2699999999999996</c:v>
                </c:pt>
                <c:pt idx="4">
                  <c:v>3.81</c:v>
                </c:pt>
                <c:pt idx="5">
                  <c:v>2.62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8E-4D60-9430-01DB6E79D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269264"/>
        <c:axId val="272266864"/>
      </c:scatterChart>
      <c:valAx>
        <c:axId val="27226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266864"/>
        <c:crosses val="autoZero"/>
        <c:crossBetween val="midCat"/>
      </c:valAx>
      <c:valAx>
        <c:axId val="27226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26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5054680664916893E-3"/>
                  <c:y val="-0.182929790026246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'6'!$P$2:$P$6</c:f>
              <c:numCache>
                <c:formatCode>General</c:formatCode>
                <c:ptCount val="5"/>
                <c:pt idx="0">
                  <c:v>9149.2199999999993</c:v>
                </c:pt>
                <c:pt idx="1">
                  <c:v>7836.22</c:v>
                </c:pt>
                <c:pt idx="2">
                  <c:v>5594.22</c:v>
                </c:pt>
                <c:pt idx="3">
                  <c:v>4518.92</c:v>
                </c:pt>
                <c:pt idx="4">
                  <c:v>390.63</c:v>
                </c:pt>
              </c:numCache>
            </c:numRef>
          </c:xVal>
          <c:yVal>
            <c:numRef>
              <c:f>'6'!$S$2:$S$6</c:f>
              <c:numCache>
                <c:formatCode>General</c:formatCode>
                <c:ptCount val="5"/>
                <c:pt idx="0">
                  <c:v>0.9996502494689522</c:v>
                </c:pt>
                <c:pt idx="1">
                  <c:v>0.94849121633689137</c:v>
                </c:pt>
                <c:pt idx="2">
                  <c:v>0.95669614187620411</c:v>
                </c:pt>
                <c:pt idx="3">
                  <c:v>0.88100273978849286</c:v>
                </c:pt>
                <c:pt idx="4">
                  <c:v>1.4819937756261423E-3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69-47EB-B168-7A375374D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3434607"/>
        <c:axId val="1063433647"/>
      </c:scatterChart>
      <c:valAx>
        <c:axId val="1063434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433647"/>
        <c:crosses val="autoZero"/>
        <c:crossBetween val="midCat"/>
      </c:valAx>
      <c:valAx>
        <c:axId val="106343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434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09/19/2024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99759405074366E-2"/>
          <c:y val="0.19486111111111112"/>
          <c:w val="0.87755796150481191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'5'!$L$9:$L$13</c:f>
              <c:numCache>
                <c:formatCode>General</c:formatCode>
                <c:ptCount val="5"/>
                <c:pt idx="0">
                  <c:v>110.354159360789</c:v>
                </c:pt>
                <c:pt idx="1">
                  <c:v>90.038947747975925</c:v>
                </c:pt>
                <c:pt idx="2">
                  <c:v>0</c:v>
                </c:pt>
                <c:pt idx="3">
                  <c:v>11.239070366728425</c:v>
                </c:pt>
                <c:pt idx="4">
                  <c:v>1.2436811436632487</c:v>
                </c:pt>
              </c:numCache>
            </c:numRef>
          </c:xVal>
          <c:yVal>
            <c:numRef>
              <c:f>'5'!$M$9:$M$13</c:f>
              <c:numCache>
                <c:formatCode>General</c:formatCode>
                <c:ptCount val="5"/>
                <c:pt idx="0">
                  <c:v>5.1100000000000003</c:v>
                </c:pt>
                <c:pt idx="1">
                  <c:v>4.01</c:v>
                </c:pt>
                <c:pt idx="2">
                  <c:v>2.68</c:v>
                </c:pt>
                <c:pt idx="3">
                  <c:v>0.67</c:v>
                </c:pt>
                <c:pt idx="4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B3-48E6-A0D2-EDE90858A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2225952"/>
        <c:axId val="312229312"/>
      </c:scatterChart>
      <c:valAx>
        <c:axId val="31222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229312"/>
        <c:crosses val="autoZero"/>
        <c:crossBetween val="midCat"/>
      </c:valAx>
      <c:valAx>
        <c:axId val="31222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225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02/20/2025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'5'!$S$9:$S$13</c:f>
              <c:numCache>
                <c:formatCode>General</c:formatCode>
                <c:ptCount val="5"/>
                <c:pt idx="0">
                  <c:v>95.954546094173494</c:v>
                </c:pt>
                <c:pt idx="1">
                  <c:v>78.290174217247227</c:v>
                </c:pt>
                <c:pt idx="2">
                  <c:v>0</c:v>
                </c:pt>
                <c:pt idx="3">
                  <c:v>9.7725350979665304</c:v>
                </c:pt>
                <c:pt idx="4">
                  <c:v>1.0813988373191517</c:v>
                </c:pt>
              </c:numCache>
            </c:numRef>
          </c:xVal>
          <c:yVal>
            <c:numRef>
              <c:f>'5'!$U$9:$U$13</c:f>
              <c:numCache>
                <c:formatCode>General</c:formatCode>
                <c:ptCount val="5"/>
                <c:pt idx="0">
                  <c:v>7</c:v>
                </c:pt>
                <c:pt idx="1">
                  <c:v>6.1</c:v>
                </c:pt>
                <c:pt idx="2">
                  <c:v>6.04</c:v>
                </c:pt>
                <c:pt idx="3">
                  <c:v>3.68</c:v>
                </c:pt>
                <c:pt idx="4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B1-48F7-BDD7-D2E58D664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991248"/>
        <c:axId val="299993648"/>
      </c:scatterChart>
      <c:valAx>
        <c:axId val="299991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3648"/>
        <c:crosses val="autoZero"/>
        <c:crossBetween val="midCat"/>
      </c:valAx>
      <c:valAx>
        <c:axId val="29999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1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04/02/2025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'5'!$W$9:$W$13</c:f>
              <c:numCache>
                <c:formatCode>General</c:formatCode>
                <c:ptCount val="5"/>
                <c:pt idx="0">
                  <c:v>154.84053801825601</c:v>
                </c:pt>
                <c:pt idx="1">
                  <c:v>126.33578283455246</c:v>
                </c:pt>
                <c:pt idx="2">
                  <c:v>0</c:v>
                </c:pt>
                <c:pt idx="3">
                  <c:v>15.76980616307986</c:v>
                </c:pt>
                <c:pt idx="4">
                  <c:v>1.7450385062368758</c:v>
                </c:pt>
              </c:numCache>
            </c:numRef>
          </c:xVal>
          <c:yVal>
            <c:numRef>
              <c:f>'5'!$X$9:$X$13</c:f>
              <c:numCache>
                <c:formatCode>General</c:formatCode>
                <c:ptCount val="5"/>
                <c:pt idx="0">
                  <c:v>4.7699999999999996</c:v>
                </c:pt>
                <c:pt idx="1">
                  <c:v>4.3899999999999997</c:v>
                </c:pt>
                <c:pt idx="2">
                  <c:v>4.41</c:v>
                </c:pt>
                <c:pt idx="3">
                  <c:v>1.65</c:v>
                </c:pt>
                <c:pt idx="4">
                  <c:v>1.52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51-46FA-8011-0A4674498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8749200"/>
        <c:axId val="278749680"/>
      </c:scatterChart>
      <c:valAx>
        <c:axId val="27874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9680"/>
        <c:crosses val="autoZero"/>
        <c:crossBetween val="midCat"/>
      </c:valAx>
      <c:valAx>
        <c:axId val="27874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9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469444444444442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'5'!$V$1</c:f>
              <c:strCache>
                <c:ptCount val="1"/>
                <c:pt idx="0">
                  <c:v>frac_discharge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3275088186792184E-2"/>
                  <c:y val="-9.708187518226887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'5'!$R$2:$R$6</c:f>
              <c:numCache>
                <c:formatCode>General</c:formatCode>
                <c:ptCount val="5"/>
                <c:pt idx="0">
                  <c:v>0</c:v>
                </c:pt>
                <c:pt idx="1">
                  <c:v>1267.3699999999999</c:v>
                </c:pt>
                <c:pt idx="2">
                  <c:v>2467.91</c:v>
                </c:pt>
                <c:pt idx="3">
                  <c:v>4497.8599999999997</c:v>
                </c:pt>
                <c:pt idx="4">
                  <c:v>6130.37</c:v>
                </c:pt>
              </c:numCache>
            </c:numRef>
          </c:xVal>
          <c:yVal>
            <c:numRef>
              <c:f>'5'!$V$2:$V$6</c:f>
              <c:numCache>
                <c:formatCode>General</c:formatCode>
                <c:ptCount val="5"/>
                <c:pt idx="1">
                  <c:v>0.18409103680809216</c:v>
                </c:pt>
                <c:pt idx="3">
                  <c:v>0.89815453779151444</c:v>
                </c:pt>
                <c:pt idx="4">
                  <c:v>0.98873009272267487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4D-4B59-A565-9C1F9EDF0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3425967"/>
        <c:axId val="1063426447"/>
      </c:scatterChart>
      <c:valAx>
        <c:axId val="1063425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426447"/>
        <c:crosses val="autoZero"/>
        <c:crossBetween val="midCat"/>
      </c:valAx>
      <c:valAx>
        <c:axId val="106342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42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Sheet1!$B$2:$B$6</c:f>
              <c:numCache>
                <c:formatCode>General</c:formatCode>
                <c:ptCount val="5"/>
                <c:pt idx="0">
                  <c:v>0</c:v>
                </c:pt>
                <c:pt idx="1">
                  <c:v>1267.3699999999999</c:v>
                </c:pt>
                <c:pt idx="2">
                  <c:v>2467.91</c:v>
                </c:pt>
                <c:pt idx="3">
                  <c:v>4497.8599999999997</c:v>
                </c:pt>
                <c:pt idx="4">
                  <c:v>6130.37</c:v>
                </c:pt>
              </c:numCache>
            </c:numRef>
          </c:xVal>
          <c:yVal>
            <c:numRef>
              <c:f>Sheet1!$D$2:$D$6</c:f>
              <c:numCache>
                <c:formatCode>General</c:formatCode>
                <c:ptCount val="5"/>
                <c:pt idx="1">
                  <c:v>0.18409103680809216</c:v>
                </c:pt>
                <c:pt idx="2">
                  <c:v>0.42402922169148638</c:v>
                </c:pt>
                <c:pt idx="3">
                  <c:v>0.89815453779151444</c:v>
                </c:pt>
                <c:pt idx="4">
                  <c:v>0.9922239393087946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E1-4223-8261-B351E557E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3418767"/>
        <c:axId val="1063402447"/>
      </c:scatterChart>
      <c:valAx>
        <c:axId val="1063418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402447"/>
        <c:crosses val="autoZero"/>
        <c:crossBetween val="midCat"/>
      </c:valAx>
      <c:valAx>
        <c:axId val="1063402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418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12/12/2025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'9'!$M$9:$M$13</c:f>
              <c:numCache>
                <c:formatCode>General</c:formatCode>
                <c:ptCount val="5"/>
                <c:pt idx="0">
                  <c:v>0</c:v>
                </c:pt>
                <c:pt idx="1">
                  <c:v>0.15918655185298042</c:v>
                </c:pt>
                <c:pt idx="2">
                  <c:v>3.7513476994329094</c:v>
                </c:pt>
                <c:pt idx="3">
                  <c:v>4.782632927087664</c:v>
                </c:pt>
                <c:pt idx="4">
                  <c:v>5.2363819182292328</c:v>
                </c:pt>
              </c:numCache>
            </c:numRef>
          </c:xVal>
          <c:yVal>
            <c:numRef>
              <c:f>'9'!$N$9:$N$13</c:f>
              <c:numCache>
                <c:formatCode>General</c:formatCode>
                <c:ptCount val="5"/>
                <c:pt idx="1">
                  <c:v>4.0599999999999996</c:v>
                </c:pt>
                <c:pt idx="2">
                  <c:v>3.7</c:v>
                </c:pt>
                <c:pt idx="3">
                  <c:v>3.04</c:v>
                </c:pt>
                <c:pt idx="4">
                  <c:v>2.54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B9-4776-BEAA-B9FA9E002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37984"/>
        <c:axId val="136938464"/>
      </c:scatterChart>
      <c:valAx>
        <c:axId val="13693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38464"/>
        <c:crosses val="autoZero"/>
        <c:crossBetween val="midCat"/>
      </c:valAx>
      <c:valAx>
        <c:axId val="13693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3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02/20/2025</a:t>
            </a:r>
          </a:p>
        </c:rich>
      </c:tx>
      <c:layout>
        <c:manualLayout>
          <c:xMode val="edge"/>
          <c:yMode val="edge"/>
          <c:x val="0.31543710180811318"/>
          <c:y val="4.3715846994535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'9'!$P$9:$P$13</c:f>
              <c:numCache>
                <c:formatCode>General</c:formatCode>
                <c:ptCount val="5"/>
                <c:pt idx="0">
                  <c:v>0</c:v>
                </c:pt>
                <c:pt idx="1">
                  <c:v>1.1322640522569827</c:v>
                </c:pt>
                <c:pt idx="2">
                  <c:v>26.682631781029372</c:v>
                </c:pt>
                <c:pt idx="3">
                  <c:v>34.017969956929903</c:v>
                </c:pt>
                <c:pt idx="4">
                  <c:v>37.245401328720448</c:v>
                </c:pt>
              </c:numCache>
            </c:numRef>
          </c:xVal>
          <c:yVal>
            <c:numRef>
              <c:f>'9'!$Q$9:$Q$13</c:f>
              <c:numCache>
                <c:formatCode>General</c:formatCode>
                <c:ptCount val="5"/>
                <c:pt idx="0">
                  <c:v>7.22</c:v>
                </c:pt>
                <c:pt idx="1">
                  <c:v>4.9000000000000004</c:v>
                </c:pt>
                <c:pt idx="2">
                  <c:v>3.16</c:v>
                </c:pt>
                <c:pt idx="3">
                  <c:v>1.52</c:v>
                </c:pt>
                <c:pt idx="4">
                  <c:v>1.1100000000000001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9C-4735-819F-242C98CD5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9091248"/>
        <c:axId val="1989091728"/>
      </c:scatterChart>
      <c:valAx>
        <c:axId val="1989091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9091728"/>
        <c:crosses val="autoZero"/>
        <c:crossBetween val="midCat"/>
      </c:valAx>
      <c:valAx>
        <c:axId val="198909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9091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03/11/2025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'9'!$T$9:$T$13</c:f>
              <c:numCache>
                <c:formatCode>General</c:formatCode>
                <c:ptCount val="5"/>
                <c:pt idx="0">
                  <c:v>0</c:v>
                </c:pt>
                <c:pt idx="1">
                  <c:v>2.0603199323326855</c:v>
                </c:pt>
                <c:pt idx="2">
                  <c:v>48.552948401007015</c:v>
                </c:pt>
                <c:pt idx="3">
                  <c:v>61.900668329130831</c:v>
                </c:pt>
                <c:pt idx="4">
                  <c:v>67.773451424453086</c:v>
                </c:pt>
              </c:numCache>
            </c:numRef>
          </c:xVal>
          <c:yVal>
            <c:numRef>
              <c:f>'9'!$U$9:$U$13</c:f>
              <c:numCache>
                <c:formatCode>General</c:formatCode>
                <c:ptCount val="5"/>
                <c:pt idx="0">
                  <c:v>6.37</c:v>
                </c:pt>
                <c:pt idx="1">
                  <c:v>3.77</c:v>
                </c:pt>
                <c:pt idx="2">
                  <c:v>3.04</c:v>
                </c:pt>
                <c:pt idx="3">
                  <c:v>1.99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39-432D-B9E6-F4C31226B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4379392"/>
        <c:axId val="274379872"/>
      </c:scatterChart>
      <c:valAx>
        <c:axId val="27437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4379872"/>
        <c:crosses val="autoZero"/>
        <c:crossBetween val="midCat"/>
      </c:valAx>
      <c:valAx>
        <c:axId val="27437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4379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09/19/2024</a:t>
            </a:r>
          </a:p>
        </c:rich>
      </c:tx>
      <c:layout>
        <c:manualLayout>
          <c:xMode val="edge"/>
          <c:yMode val="edge"/>
          <c:x val="0.3271954384424226"/>
          <c:y val="4.23280423280423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'9'!$J$9:$J$13</c:f>
              <c:numCache>
                <c:formatCode>General</c:formatCode>
                <c:ptCount val="5"/>
                <c:pt idx="0">
                  <c:v>0</c:v>
                </c:pt>
                <c:pt idx="1">
                  <c:v>3.0007990126476041</c:v>
                </c:pt>
                <c:pt idx="2">
                  <c:v>70.716026834683717</c:v>
                </c:pt>
                <c:pt idx="3">
                  <c:v>90.156611839393108</c:v>
                </c:pt>
                <c:pt idx="4">
                  <c:v>98.710158032572849</c:v>
                </c:pt>
              </c:numCache>
            </c:numRef>
          </c:xVal>
          <c:yVal>
            <c:numRef>
              <c:f>'9'!$K$9:$K$13</c:f>
              <c:numCache>
                <c:formatCode>General</c:formatCode>
                <c:ptCount val="5"/>
                <c:pt idx="1">
                  <c:v>1.2</c:v>
                </c:pt>
                <c:pt idx="2">
                  <c:v>0.38</c:v>
                </c:pt>
                <c:pt idx="3">
                  <c:v>0.36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0E-47E3-8F33-519DC0C98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3735712"/>
        <c:axId val="273737632"/>
      </c:scatterChart>
      <c:valAx>
        <c:axId val="27373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737632"/>
        <c:crosses val="autoZero"/>
        <c:crossBetween val="midCat"/>
      </c:valAx>
      <c:valAx>
        <c:axId val="27373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73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3407699037620301E-3"/>
                  <c:y val="-0.157824074074074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'9'!$Q$3:$Q$6</c:f>
              <c:numCache>
                <c:formatCode>General</c:formatCode>
                <c:ptCount val="4"/>
                <c:pt idx="0">
                  <c:v>904.88</c:v>
                </c:pt>
                <c:pt idx="1">
                  <c:v>2002.8</c:v>
                </c:pt>
                <c:pt idx="2">
                  <c:v>3140.96</c:v>
                </c:pt>
                <c:pt idx="3">
                  <c:v>8475.9599999999991</c:v>
                </c:pt>
              </c:numCache>
            </c:numRef>
          </c:xVal>
          <c:yVal>
            <c:numRef>
              <c:f>'9'!$S$4:$S$6</c:f>
              <c:numCache>
                <c:formatCode>General</c:formatCode>
                <c:ptCount val="3"/>
                <c:pt idx="0">
                  <c:v>0.70694468916286168</c:v>
                </c:pt>
                <c:pt idx="1">
                  <c:v>0.90129127420824506</c:v>
                </c:pt>
                <c:pt idx="2">
                  <c:v>0.98680066048801607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2-49DD-94DE-7F3088079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491839"/>
        <c:axId val="1117497599"/>
      </c:scatterChart>
      <c:valAx>
        <c:axId val="111749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497599"/>
        <c:crosses val="autoZero"/>
        <c:crossBetween val="midCat"/>
      </c:valAx>
      <c:valAx>
        <c:axId val="111749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49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3777996500437446E-2"/>
                  <c:y val="-0.336780402449693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TransportModel!$B$2:$B$5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TransportModel!$E$2:$E$5</c:f>
              <c:numCache>
                <c:formatCode>General</c:formatCode>
                <c:ptCount val="4"/>
                <c:pt idx="0">
                  <c:v>15000</c:v>
                </c:pt>
                <c:pt idx="1">
                  <c:v>10000</c:v>
                </c:pt>
                <c:pt idx="2">
                  <c:v>1000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FF-43F8-89FA-7A99D22D6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4832191"/>
        <c:axId val="604832671"/>
      </c:scatterChart>
      <c:valAx>
        <c:axId val="604832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832671"/>
        <c:crosses val="autoZero"/>
        <c:crossBetween val="midCat"/>
      </c:valAx>
      <c:valAx>
        <c:axId val="60483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832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219074</xdr:colOff>
      <xdr:row>23</xdr:row>
      <xdr:rowOff>76199</xdr:rowOff>
    </xdr:from>
    <xdr:to>
      <xdr:col>13</xdr:col>
      <xdr:colOff>485774</xdr:colOff>
      <xdr:row>36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A5CBE-F473-C4CA-CE27-8DE86F4FBC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144462</xdr:colOff>
      <xdr:row>23</xdr:row>
      <xdr:rowOff>66675</xdr:rowOff>
    </xdr:from>
    <xdr:to>
      <xdr:col>19</xdr:col>
      <xdr:colOff>600075</xdr:colOff>
      <xdr:row>34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FC4FB9-EBBA-2F9B-2057-AA645F297B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142875</xdr:colOff>
      <xdr:row>23</xdr:row>
      <xdr:rowOff>76200</xdr:rowOff>
    </xdr:from>
    <xdr:to>
      <xdr:col>26</xdr:col>
      <xdr:colOff>209550</xdr:colOff>
      <xdr:row>34</xdr:row>
      <xdr:rowOff>57149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FAC4C49-D85A-E523-AAB6-4DB41401FD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542925</xdr:colOff>
      <xdr:row>23</xdr:row>
      <xdr:rowOff>1587</xdr:rowOff>
    </xdr:from>
    <xdr:to>
      <xdr:col>31</xdr:col>
      <xdr:colOff>457200</xdr:colOff>
      <xdr:row>33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69C7B09-48D2-52DC-465F-DA2C430A8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404812</xdr:colOff>
      <xdr:row>9</xdr:row>
      <xdr:rowOff>160337</xdr:rowOff>
    </xdr:from>
    <xdr:to>
      <xdr:col>13</xdr:col>
      <xdr:colOff>395287</xdr:colOff>
      <xdr:row>24</xdr:row>
      <xdr:rowOff>49212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80B94CF-93B2-D667-B042-AD6AFE370A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371475</xdr:colOff>
      <xdr:row>13</xdr:row>
      <xdr:rowOff>104775</xdr:rowOff>
    </xdr:from>
    <xdr:to>
      <xdr:col>12</xdr:col>
      <xdr:colOff>590550</xdr:colOff>
      <xdr:row>22</xdr:row>
      <xdr:rowOff>171451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CAB2E8-A728-27C0-C0A2-F995B40FC0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584200</xdr:colOff>
      <xdr:row>13</xdr:row>
      <xdr:rowOff>177800</xdr:rowOff>
    </xdr:from>
    <xdr:to>
      <xdr:col>18</xdr:col>
      <xdr:colOff>615950</xdr:colOff>
      <xdr:row>24</xdr:row>
      <xdr:rowOff>74612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AAABD3-5BE2-6CC5-59B7-FB2FAD095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593725</xdr:colOff>
      <xdr:row>11</xdr:row>
      <xdr:rowOff>82549</xdr:rowOff>
    </xdr:from>
    <xdr:to>
      <xdr:col>25</xdr:col>
      <xdr:colOff>276225</xdr:colOff>
      <xdr:row>23</xdr:row>
      <xdr:rowOff>22225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E6653B9-356A-19F2-2A93-BCBA9A893F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478559</xdr:colOff>
      <xdr:row>10</xdr:row>
      <xdr:rowOff>45317</xdr:rowOff>
    </xdr:from>
    <xdr:to>
      <xdr:col>22</xdr:col>
      <xdr:colOff>54264</xdr:colOff>
      <xdr:row>24</xdr:row>
      <xdr:rowOff>121517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8460EEA-F143-2786-5B3B-81B72AAF9E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554037</xdr:colOff>
      <xdr:row>2</xdr:row>
      <xdr:rowOff>173037</xdr:rowOff>
    </xdr:from>
    <xdr:to>
      <xdr:col>14</xdr:col>
      <xdr:colOff>249237</xdr:colOff>
      <xdr:row>17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E7CA7F-7AEB-2084-0048-9B37F271F6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268287</xdr:colOff>
      <xdr:row>14</xdr:row>
      <xdr:rowOff>19050</xdr:rowOff>
    </xdr:from>
    <xdr:to>
      <xdr:col>15</xdr:col>
      <xdr:colOff>104775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6A3A75-9A27-5E9D-B628-45608ACD3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287336</xdr:colOff>
      <xdr:row>14</xdr:row>
      <xdr:rowOff>19049</xdr:rowOff>
    </xdr:from>
    <xdr:to>
      <xdr:col>20</xdr:col>
      <xdr:colOff>123825</xdr:colOff>
      <xdr:row>23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DC8634-195A-D4A3-84DD-DCA8013B6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268287</xdr:colOff>
      <xdr:row>14</xdr:row>
      <xdr:rowOff>9524</xdr:rowOff>
    </xdr:from>
    <xdr:to>
      <xdr:col>24</xdr:col>
      <xdr:colOff>133350</xdr:colOff>
      <xdr:row>23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DD8330-C9E7-4FBE-2BA3-EAF2918412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468312</xdr:colOff>
      <xdr:row>22</xdr:row>
      <xdr:rowOff>28575</xdr:rowOff>
    </xdr:from>
    <xdr:to>
      <xdr:col>11</xdr:col>
      <xdr:colOff>571500</xdr:colOff>
      <xdr:row>31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990765-594F-41E4-D736-FD2444F612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447675</xdr:colOff>
      <xdr:row>3</xdr:row>
      <xdr:rowOff>153987</xdr:rowOff>
    </xdr:from>
    <xdr:to>
      <xdr:col>27</xdr:col>
      <xdr:colOff>104775</xdr:colOff>
      <xdr:row>18</xdr:row>
      <xdr:rowOff>42862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8B3095-73D5-A3E7-769C-AC1C973AD3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7</xdr:row>
      <xdr:rowOff>114300</xdr:rowOff>
    </xdr:from>
    <xdr:to>
      <xdr:col>8</xdr:col>
      <xdr:colOff>285750</xdr:colOff>
      <xdr:row>33</xdr:row>
      <xdr:rowOff>57802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70564C7-E0A1-EF5F-5FBA-858982C5F5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1" t="2476" r="4551" b="4550"/>
        <a:stretch>
          <a:fillRect/>
        </a:stretch>
      </xdr:blipFill>
      <xdr:spPr>
        <a:xfrm>
          <a:off x="542925" y="1466850"/>
          <a:ext cx="5829300" cy="4944127"/>
        </a:xfrm>
        <a:prstGeom prst="rect">
          <a:avLst/>
        </a:prstGeom>
      </xdr:spPr>
    </xdr:pic>
    <xdr:clientData/>
  </xdr:twoCellAnchor>
  <xdr:twoCellAnchor>
    <xdr:from>
      <xdr:col>11</xdr:col>
      <xdr:colOff>381000</xdr:colOff>
      <xdr:row>4</xdr:row>
      <xdr:rowOff>164042</xdr:rowOff>
    </xdr:from>
    <xdr:to>
      <xdr:col>19</xdr:col>
      <xdr:colOff>74083</xdr:colOff>
      <xdr:row>19</xdr:row>
      <xdr:rowOff>7408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32646E-14EB-A94C-0F72-7CED11ECBB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5"/>
  <sheetViews>
    <sheetView workbookViewId="0">
      <selection activeCell="H1" sqref="A1:H1"/>
    </sheetView>
  </sheetViews>
  <sheetFormatPr defaultColWidth="10.86328125" defaultRowHeight="14.75" x14ac:dyDescent="0.75"/>
  <sheetData>
    <row r="1" spans="1:8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75">
      <c r="A2" s="1">
        <v>45554</v>
      </c>
      <c r="B2" t="s">
        <v>8</v>
      </c>
      <c r="C2" t="s">
        <v>9</v>
      </c>
      <c r="D2">
        <v>1.22</v>
      </c>
      <c r="E2">
        <v>3.66</v>
      </c>
      <c r="F2">
        <v>5594.22</v>
      </c>
      <c r="G2">
        <v>80468</v>
      </c>
    </row>
    <row r="3" spans="1:8" x14ac:dyDescent="0.75">
      <c r="A3" s="1">
        <v>45554</v>
      </c>
      <c r="B3" t="s">
        <v>8</v>
      </c>
      <c r="C3" t="s">
        <v>10</v>
      </c>
      <c r="D3">
        <v>0.56000000000000005</v>
      </c>
      <c r="E3">
        <v>3.77</v>
      </c>
      <c r="F3">
        <v>7836.22</v>
      </c>
      <c r="G3">
        <v>1355500</v>
      </c>
    </row>
    <row r="4" spans="1:8" x14ac:dyDescent="0.75">
      <c r="A4" s="1">
        <v>45554</v>
      </c>
      <c r="B4" t="s">
        <v>8</v>
      </c>
      <c r="C4" t="s">
        <v>11</v>
      </c>
      <c r="D4">
        <v>0.81</v>
      </c>
      <c r="E4">
        <v>3.75</v>
      </c>
      <c r="F4">
        <v>9149.2199999999993</v>
      </c>
      <c r="G4">
        <v>9204</v>
      </c>
    </row>
    <row r="5" spans="1:8" x14ac:dyDescent="0.75">
      <c r="A5" s="1">
        <v>45554</v>
      </c>
      <c r="B5" t="s">
        <v>8</v>
      </c>
      <c r="C5" t="s">
        <v>8</v>
      </c>
    </row>
    <row r="6" spans="1:8" x14ac:dyDescent="0.75">
      <c r="A6" s="1">
        <v>45638</v>
      </c>
      <c r="B6" t="s">
        <v>8</v>
      </c>
      <c r="C6" t="s">
        <v>9</v>
      </c>
      <c r="D6">
        <v>1.7</v>
      </c>
      <c r="E6">
        <v>5.17</v>
      </c>
      <c r="F6">
        <v>5594.22</v>
      </c>
      <c r="G6">
        <v>80468</v>
      </c>
    </row>
    <row r="7" spans="1:8" x14ac:dyDescent="0.75">
      <c r="A7" s="1">
        <v>45638</v>
      </c>
      <c r="B7" t="s">
        <v>8</v>
      </c>
      <c r="C7" t="s">
        <v>10</v>
      </c>
      <c r="D7">
        <v>1.1200000000000001</v>
      </c>
      <c r="E7">
        <v>3.73</v>
      </c>
      <c r="F7">
        <v>7836.22</v>
      </c>
      <c r="G7">
        <v>1355500</v>
      </c>
    </row>
    <row r="8" spans="1:8" x14ac:dyDescent="0.75">
      <c r="A8" s="1">
        <v>45638</v>
      </c>
      <c r="B8" t="s">
        <v>8</v>
      </c>
      <c r="C8" t="s">
        <v>11</v>
      </c>
      <c r="D8">
        <v>1.54</v>
      </c>
      <c r="E8">
        <v>3.71</v>
      </c>
      <c r="F8">
        <v>9149.2199999999993</v>
      </c>
      <c r="G8">
        <v>9204</v>
      </c>
    </row>
    <row r="9" spans="1:8" x14ac:dyDescent="0.75">
      <c r="A9" s="1">
        <v>45708</v>
      </c>
      <c r="B9" t="s">
        <v>8</v>
      </c>
      <c r="C9" t="s">
        <v>9</v>
      </c>
      <c r="D9">
        <v>4.72</v>
      </c>
      <c r="E9">
        <v>3.71</v>
      </c>
      <c r="F9">
        <v>5594.22</v>
      </c>
      <c r="G9">
        <v>80468</v>
      </c>
    </row>
    <row r="10" spans="1:8" x14ac:dyDescent="0.75">
      <c r="A10" s="1">
        <v>45708</v>
      </c>
      <c r="B10" t="s">
        <v>8</v>
      </c>
      <c r="C10" t="s">
        <v>10</v>
      </c>
      <c r="D10">
        <v>1.62</v>
      </c>
      <c r="E10">
        <v>3.68</v>
      </c>
      <c r="F10">
        <v>7836.22</v>
      </c>
      <c r="G10">
        <v>1355500</v>
      </c>
    </row>
    <row r="11" spans="1:8" x14ac:dyDescent="0.75">
      <c r="A11" s="1">
        <v>45708</v>
      </c>
      <c r="B11" t="s">
        <v>8</v>
      </c>
      <c r="C11" t="s">
        <v>11</v>
      </c>
      <c r="D11">
        <v>2.77</v>
      </c>
      <c r="E11">
        <v>3.67</v>
      </c>
      <c r="F11">
        <v>9149.2199999999993</v>
      </c>
      <c r="G11">
        <v>9204</v>
      </c>
    </row>
    <row r="12" spans="1:8" x14ac:dyDescent="0.75">
      <c r="A12" s="1">
        <v>45727</v>
      </c>
      <c r="B12" t="s">
        <v>8</v>
      </c>
      <c r="C12" t="s">
        <v>10</v>
      </c>
      <c r="D12">
        <v>1.89</v>
      </c>
      <c r="E12">
        <v>3.59</v>
      </c>
      <c r="F12">
        <v>7836.22</v>
      </c>
      <c r="G12">
        <v>1355500</v>
      </c>
    </row>
    <row r="13" spans="1:8" x14ac:dyDescent="0.75">
      <c r="A13" s="1">
        <v>45727</v>
      </c>
      <c r="B13" t="s">
        <v>8</v>
      </c>
      <c r="C13" t="s">
        <v>11</v>
      </c>
      <c r="D13">
        <v>2.7</v>
      </c>
      <c r="E13">
        <v>3.57</v>
      </c>
      <c r="F13">
        <v>9149.2199999999993</v>
      </c>
      <c r="G13">
        <v>9204</v>
      </c>
    </row>
    <row r="14" spans="1:8" x14ac:dyDescent="0.75">
      <c r="A14" s="1">
        <v>45505</v>
      </c>
      <c r="B14" t="s">
        <v>12</v>
      </c>
      <c r="C14" t="s">
        <v>9</v>
      </c>
      <c r="D14" t="s">
        <v>13</v>
      </c>
      <c r="E14">
        <v>3.86</v>
      </c>
      <c r="F14">
        <v>1267.3699999999999</v>
      </c>
      <c r="G14">
        <v>14519100</v>
      </c>
      <c r="H14">
        <v>170.836843352438</v>
      </c>
    </row>
    <row r="15" spans="1:8" x14ac:dyDescent="0.75">
      <c r="A15" s="1">
        <v>45505</v>
      </c>
      <c r="B15" t="s">
        <v>12</v>
      </c>
      <c r="C15" t="s">
        <v>8</v>
      </c>
      <c r="E15">
        <v>3.6</v>
      </c>
      <c r="F15">
        <v>2467.91</v>
      </c>
      <c r="G15">
        <v>10249400</v>
      </c>
      <c r="H15">
        <v>170.836843352438</v>
      </c>
    </row>
    <row r="16" spans="1:8" x14ac:dyDescent="0.75">
      <c r="A16" s="1">
        <v>45505</v>
      </c>
      <c r="B16" t="s">
        <v>12</v>
      </c>
      <c r="C16" t="s">
        <v>10</v>
      </c>
      <c r="E16">
        <v>3.17</v>
      </c>
      <c r="F16">
        <v>4497.8599999999997</v>
      </c>
      <c r="G16">
        <v>1812340</v>
      </c>
      <c r="H16">
        <v>170.836843352438</v>
      </c>
    </row>
    <row r="17" spans="1:8" x14ac:dyDescent="0.75">
      <c r="A17" s="1">
        <v>45505</v>
      </c>
      <c r="B17" t="s">
        <v>12</v>
      </c>
      <c r="C17" t="s">
        <v>11</v>
      </c>
      <c r="E17">
        <v>3.46</v>
      </c>
      <c r="F17">
        <v>6130.37</v>
      </c>
      <c r="G17">
        <v>138375</v>
      </c>
      <c r="H17">
        <v>170.836843352438</v>
      </c>
    </row>
    <row r="18" spans="1:8" x14ac:dyDescent="0.75">
      <c r="A18" s="1">
        <v>45505</v>
      </c>
      <c r="B18" t="s">
        <v>12</v>
      </c>
      <c r="C18" t="s">
        <v>12</v>
      </c>
      <c r="E18">
        <v>3.6</v>
      </c>
      <c r="H18">
        <v>170.836843352438</v>
      </c>
    </row>
    <row r="19" spans="1:8" x14ac:dyDescent="0.75">
      <c r="A19" s="1">
        <v>45554</v>
      </c>
      <c r="B19" t="s">
        <v>12</v>
      </c>
      <c r="C19" t="s">
        <v>9</v>
      </c>
      <c r="D19">
        <v>4.01</v>
      </c>
      <c r="E19">
        <v>4.17</v>
      </c>
      <c r="F19">
        <v>1267.3699999999999</v>
      </c>
      <c r="G19">
        <v>14519100</v>
      </c>
      <c r="H19">
        <v>110.354159360789</v>
      </c>
    </row>
    <row r="20" spans="1:8" x14ac:dyDescent="0.75">
      <c r="A20" s="1">
        <v>45554</v>
      </c>
      <c r="B20" t="s">
        <v>12</v>
      </c>
      <c r="C20" t="s">
        <v>8</v>
      </c>
      <c r="D20">
        <v>2.68</v>
      </c>
      <c r="E20">
        <v>4.21</v>
      </c>
      <c r="F20">
        <v>2467.91</v>
      </c>
      <c r="G20">
        <v>10249400</v>
      </c>
      <c r="H20">
        <v>110.354159360789</v>
      </c>
    </row>
    <row r="21" spans="1:8" x14ac:dyDescent="0.75">
      <c r="A21" s="1">
        <v>45554</v>
      </c>
      <c r="B21" t="s">
        <v>12</v>
      </c>
      <c r="C21" t="s">
        <v>10</v>
      </c>
      <c r="D21">
        <v>0.67</v>
      </c>
      <c r="E21">
        <v>3.73</v>
      </c>
      <c r="F21">
        <v>4497.8599999999997</v>
      </c>
      <c r="G21">
        <v>1812340</v>
      </c>
      <c r="H21">
        <v>110.354159360789</v>
      </c>
    </row>
    <row r="22" spans="1:8" x14ac:dyDescent="0.75">
      <c r="A22" s="1">
        <v>45554</v>
      </c>
      <c r="B22" t="s">
        <v>12</v>
      </c>
      <c r="C22" t="s">
        <v>11</v>
      </c>
      <c r="D22">
        <v>0.6</v>
      </c>
      <c r="E22">
        <v>3.75</v>
      </c>
      <c r="F22">
        <v>6130.37</v>
      </c>
      <c r="G22">
        <v>138375</v>
      </c>
      <c r="H22">
        <v>110.354159360789</v>
      </c>
    </row>
    <row r="23" spans="1:8" x14ac:dyDescent="0.75">
      <c r="A23" s="1">
        <v>45554</v>
      </c>
      <c r="B23" t="s">
        <v>12</v>
      </c>
      <c r="C23" t="s">
        <v>12</v>
      </c>
      <c r="D23">
        <v>5.52</v>
      </c>
      <c r="E23">
        <v>4.22</v>
      </c>
      <c r="H23">
        <v>110.354159360789</v>
      </c>
    </row>
    <row r="24" spans="1:8" x14ac:dyDescent="0.75">
      <c r="A24" s="1">
        <v>45554</v>
      </c>
      <c r="B24" t="s">
        <v>12</v>
      </c>
      <c r="C24" t="s">
        <v>14</v>
      </c>
      <c r="D24">
        <v>5.75</v>
      </c>
      <c r="E24">
        <v>4.0599999999999996</v>
      </c>
      <c r="H24">
        <v>110.354159360789</v>
      </c>
    </row>
    <row r="25" spans="1:8" x14ac:dyDescent="0.75">
      <c r="A25" s="1">
        <v>45638</v>
      </c>
      <c r="B25" t="s">
        <v>12</v>
      </c>
      <c r="C25" t="s">
        <v>9</v>
      </c>
      <c r="F25">
        <v>1267.3699999999999</v>
      </c>
      <c r="G25">
        <v>14519100</v>
      </c>
      <c r="H25">
        <v>27.335123866996899</v>
      </c>
    </row>
    <row r="26" spans="1:8" x14ac:dyDescent="0.75">
      <c r="A26" s="1">
        <v>45638</v>
      </c>
      <c r="B26" t="s">
        <v>12</v>
      </c>
      <c r="C26" t="s">
        <v>8</v>
      </c>
      <c r="F26">
        <v>2467.91</v>
      </c>
      <c r="G26">
        <v>10249400</v>
      </c>
      <c r="H26">
        <v>27.335123866996899</v>
      </c>
    </row>
    <row r="27" spans="1:8" x14ac:dyDescent="0.75">
      <c r="A27" s="1">
        <v>45638</v>
      </c>
      <c r="B27" t="s">
        <v>12</v>
      </c>
      <c r="C27" t="s">
        <v>10</v>
      </c>
      <c r="F27">
        <v>4497.8599999999997</v>
      </c>
      <c r="G27">
        <v>1812340</v>
      </c>
      <c r="H27">
        <v>27.335123866996899</v>
      </c>
    </row>
    <row r="28" spans="1:8" x14ac:dyDescent="0.75">
      <c r="A28" s="1">
        <v>45638</v>
      </c>
      <c r="B28" t="s">
        <v>12</v>
      </c>
      <c r="C28" t="s">
        <v>11</v>
      </c>
      <c r="F28">
        <v>6130.37</v>
      </c>
      <c r="G28">
        <v>138375</v>
      </c>
      <c r="H28">
        <v>27.335123866996899</v>
      </c>
    </row>
    <row r="29" spans="1:8" x14ac:dyDescent="0.75">
      <c r="A29" s="1">
        <v>45638</v>
      </c>
      <c r="B29" t="s">
        <v>12</v>
      </c>
      <c r="C29" t="s">
        <v>12</v>
      </c>
      <c r="H29">
        <v>27.335123866996899</v>
      </c>
    </row>
    <row r="30" spans="1:8" x14ac:dyDescent="0.75">
      <c r="A30" s="1">
        <v>45708</v>
      </c>
      <c r="B30" t="s">
        <v>12</v>
      </c>
      <c r="C30" t="s">
        <v>15</v>
      </c>
      <c r="D30">
        <v>7</v>
      </c>
      <c r="E30">
        <v>5.55</v>
      </c>
      <c r="F30">
        <v>0</v>
      </c>
      <c r="G30">
        <v>17795000</v>
      </c>
      <c r="H30">
        <v>95.954546094173494</v>
      </c>
    </row>
    <row r="31" spans="1:8" x14ac:dyDescent="0.75">
      <c r="A31" s="1">
        <v>45708</v>
      </c>
      <c r="B31" t="s">
        <v>12</v>
      </c>
      <c r="C31" t="s">
        <v>9</v>
      </c>
      <c r="D31">
        <v>6.1</v>
      </c>
      <c r="E31">
        <v>4.72</v>
      </c>
      <c r="F31">
        <v>1267.3699999999999</v>
      </c>
      <c r="G31">
        <v>14519100</v>
      </c>
      <c r="H31">
        <v>95.954546094173494</v>
      </c>
    </row>
    <row r="32" spans="1:8" x14ac:dyDescent="0.75">
      <c r="A32" s="1">
        <v>45708</v>
      </c>
      <c r="B32" t="s">
        <v>12</v>
      </c>
      <c r="C32" t="s">
        <v>8</v>
      </c>
      <c r="D32">
        <v>6.04</v>
      </c>
      <c r="E32">
        <v>4.67</v>
      </c>
      <c r="F32">
        <v>2467.91</v>
      </c>
      <c r="G32">
        <v>10249400</v>
      </c>
      <c r="H32">
        <v>95.954546094173494</v>
      </c>
    </row>
    <row r="33" spans="1:8" x14ac:dyDescent="0.75">
      <c r="A33" s="1">
        <v>45708</v>
      </c>
      <c r="B33" t="s">
        <v>12</v>
      </c>
      <c r="C33" t="s">
        <v>10</v>
      </c>
      <c r="D33">
        <v>3.68</v>
      </c>
      <c r="E33">
        <v>3.8</v>
      </c>
      <c r="F33">
        <v>4497.8599999999997</v>
      </c>
      <c r="G33">
        <v>1812340</v>
      </c>
      <c r="H33">
        <v>95.954546094173494</v>
      </c>
    </row>
    <row r="34" spans="1:8" x14ac:dyDescent="0.75">
      <c r="A34" s="1">
        <v>45708</v>
      </c>
      <c r="B34" t="s">
        <v>12</v>
      </c>
      <c r="C34" t="s">
        <v>11</v>
      </c>
      <c r="D34">
        <v>5.8</v>
      </c>
      <c r="E34">
        <v>5.47</v>
      </c>
      <c r="F34">
        <v>6130.37</v>
      </c>
      <c r="G34">
        <v>138375</v>
      </c>
      <c r="H34">
        <v>95.954546094173494</v>
      </c>
    </row>
    <row r="35" spans="1:8" x14ac:dyDescent="0.75">
      <c r="A35" s="1">
        <v>45727</v>
      </c>
      <c r="B35" t="s">
        <v>12</v>
      </c>
      <c r="C35" t="s">
        <v>8</v>
      </c>
      <c r="D35">
        <v>6.12</v>
      </c>
      <c r="E35">
        <v>4.1500000000000004</v>
      </c>
      <c r="F35">
        <v>2467.91</v>
      </c>
      <c r="G35">
        <v>10249400</v>
      </c>
      <c r="H35">
        <v>163.31096051543099</v>
      </c>
    </row>
    <row r="36" spans="1:8" x14ac:dyDescent="0.75">
      <c r="A36" s="1">
        <v>45727</v>
      </c>
      <c r="B36" t="s">
        <v>12</v>
      </c>
      <c r="C36" t="s">
        <v>10</v>
      </c>
      <c r="D36">
        <v>3.19</v>
      </c>
      <c r="E36">
        <v>3.66</v>
      </c>
      <c r="F36">
        <v>4497.8599999999997</v>
      </c>
      <c r="G36">
        <v>1812340</v>
      </c>
      <c r="H36">
        <v>163.31096051543099</v>
      </c>
    </row>
    <row r="37" spans="1:8" x14ac:dyDescent="0.75">
      <c r="A37" s="1">
        <v>45727</v>
      </c>
      <c r="B37" t="s">
        <v>12</v>
      </c>
      <c r="C37" t="s">
        <v>11</v>
      </c>
      <c r="D37">
        <v>3.96</v>
      </c>
      <c r="E37">
        <v>3.72</v>
      </c>
      <c r="F37">
        <v>6130.37</v>
      </c>
      <c r="G37">
        <v>138375</v>
      </c>
      <c r="H37">
        <v>163.31096051543099</v>
      </c>
    </row>
    <row r="38" spans="1:8" x14ac:dyDescent="0.75">
      <c r="A38" s="1">
        <v>45727</v>
      </c>
      <c r="B38" t="s">
        <v>12</v>
      </c>
      <c r="C38" t="s">
        <v>12</v>
      </c>
      <c r="D38">
        <v>6.47</v>
      </c>
      <c r="E38">
        <v>4.28</v>
      </c>
      <c r="H38">
        <v>163.31096051543099</v>
      </c>
    </row>
    <row r="39" spans="1:8" x14ac:dyDescent="0.75">
      <c r="A39" s="1">
        <v>45749</v>
      </c>
      <c r="B39" t="s">
        <v>12</v>
      </c>
      <c r="C39" t="s">
        <v>9</v>
      </c>
      <c r="D39">
        <v>4.3899999999999997</v>
      </c>
      <c r="E39">
        <v>4.3099999999999996</v>
      </c>
      <c r="F39">
        <v>1267.3699999999999</v>
      </c>
      <c r="G39">
        <v>14519100</v>
      </c>
      <c r="H39">
        <v>154.84053801825601</v>
      </c>
    </row>
    <row r="40" spans="1:8" x14ac:dyDescent="0.75">
      <c r="A40" s="1">
        <v>45749</v>
      </c>
      <c r="B40" t="s">
        <v>12</v>
      </c>
      <c r="C40" t="s">
        <v>8</v>
      </c>
      <c r="D40">
        <v>4.41</v>
      </c>
      <c r="E40">
        <v>4.17</v>
      </c>
      <c r="F40">
        <v>2467.91</v>
      </c>
      <c r="G40">
        <v>10249400</v>
      </c>
      <c r="H40">
        <v>154.84053801825601</v>
      </c>
    </row>
    <row r="41" spans="1:8" x14ac:dyDescent="0.75">
      <c r="A41" s="1">
        <v>45749</v>
      </c>
      <c r="B41" t="s">
        <v>12</v>
      </c>
      <c r="C41" t="s">
        <v>10</v>
      </c>
      <c r="D41">
        <v>1.65</v>
      </c>
      <c r="E41">
        <v>3.78</v>
      </c>
      <c r="F41">
        <v>4497.8599999999997</v>
      </c>
      <c r="G41">
        <v>1812340</v>
      </c>
      <c r="H41">
        <v>154.84053801825601</v>
      </c>
    </row>
    <row r="42" spans="1:8" x14ac:dyDescent="0.75">
      <c r="A42" s="1">
        <v>45749</v>
      </c>
      <c r="B42" t="s">
        <v>12</v>
      </c>
      <c r="C42" t="s">
        <v>11</v>
      </c>
      <c r="D42">
        <v>1.52</v>
      </c>
      <c r="E42">
        <v>4.01</v>
      </c>
      <c r="F42">
        <v>6130.37</v>
      </c>
      <c r="G42">
        <v>138375</v>
      </c>
      <c r="H42">
        <v>154.84053801825601</v>
      </c>
    </row>
    <row r="43" spans="1:8" x14ac:dyDescent="0.75">
      <c r="A43" s="1">
        <v>45749</v>
      </c>
      <c r="B43" t="s">
        <v>12</v>
      </c>
      <c r="C43" t="s">
        <v>12</v>
      </c>
      <c r="D43">
        <v>5.22</v>
      </c>
      <c r="E43">
        <v>4.22</v>
      </c>
      <c r="H43">
        <v>154.84053801825601</v>
      </c>
    </row>
    <row r="44" spans="1:8" x14ac:dyDescent="0.75">
      <c r="A44" s="1">
        <v>45554</v>
      </c>
      <c r="B44" t="s">
        <v>14</v>
      </c>
      <c r="C44" t="s">
        <v>8</v>
      </c>
      <c r="D44">
        <v>2.2999999999999998</v>
      </c>
      <c r="E44">
        <v>4.21</v>
      </c>
      <c r="F44">
        <v>0</v>
      </c>
      <c r="G44">
        <v>26315900</v>
      </c>
      <c r="H44">
        <v>346.89139849592499</v>
      </c>
    </row>
    <row r="45" spans="1:8" x14ac:dyDescent="0.75">
      <c r="A45" s="1">
        <v>45554</v>
      </c>
      <c r="B45" t="s">
        <v>14</v>
      </c>
      <c r="C45" t="s">
        <v>11</v>
      </c>
      <c r="D45">
        <v>1.29</v>
      </c>
      <c r="E45">
        <v>3.84</v>
      </c>
      <c r="F45">
        <v>4518.92</v>
      </c>
      <c r="G45">
        <v>3131520</v>
      </c>
      <c r="H45">
        <v>346.89139849592499</v>
      </c>
    </row>
    <row r="46" spans="1:8" x14ac:dyDescent="0.75">
      <c r="A46" s="1">
        <v>45554</v>
      </c>
      <c r="B46" t="s">
        <v>14</v>
      </c>
      <c r="C46" t="s">
        <v>10</v>
      </c>
      <c r="D46">
        <v>2.06</v>
      </c>
      <c r="E46">
        <v>4.1399999999999997</v>
      </c>
      <c r="H46">
        <v>346.89139849592499</v>
      </c>
    </row>
    <row r="47" spans="1:8" x14ac:dyDescent="0.75">
      <c r="A47" s="1">
        <v>45638</v>
      </c>
      <c r="B47" t="s">
        <v>14</v>
      </c>
      <c r="C47" t="s">
        <v>8</v>
      </c>
      <c r="D47">
        <v>3.72</v>
      </c>
      <c r="E47">
        <v>4.0199999999999996</v>
      </c>
      <c r="F47">
        <v>0</v>
      </c>
      <c r="G47">
        <v>26315900</v>
      </c>
      <c r="H47">
        <v>5.5300168599079003</v>
      </c>
    </row>
    <row r="48" spans="1:8" x14ac:dyDescent="0.75">
      <c r="A48" s="1">
        <v>45638</v>
      </c>
      <c r="B48" t="s">
        <v>14</v>
      </c>
      <c r="C48" t="s">
        <v>11</v>
      </c>
      <c r="D48">
        <v>5.4</v>
      </c>
      <c r="E48">
        <v>6.04</v>
      </c>
      <c r="F48">
        <v>4518.92</v>
      </c>
      <c r="G48">
        <v>3131520</v>
      </c>
      <c r="H48">
        <v>5.5300168599079003</v>
      </c>
    </row>
    <row r="49" spans="1:8" x14ac:dyDescent="0.75">
      <c r="A49" s="1">
        <v>45638</v>
      </c>
      <c r="B49" t="s">
        <v>14</v>
      </c>
      <c r="C49" t="s">
        <v>10</v>
      </c>
      <c r="D49">
        <v>4.3099999999999996</v>
      </c>
      <c r="E49">
        <v>3.98</v>
      </c>
      <c r="H49">
        <v>5.5300168599079003</v>
      </c>
    </row>
    <row r="50" spans="1:8" x14ac:dyDescent="0.75">
      <c r="A50" s="1">
        <v>45708</v>
      </c>
      <c r="B50" t="s">
        <v>14</v>
      </c>
      <c r="C50" t="s">
        <v>8</v>
      </c>
      <c r="D50">
        <v>4.0599999999999996</v>
      </c>
      <c r="E50">
        <v>3.99</v>
      </c>
      <c r="F50">
        <v>0</v>
      </c>
      <c r="G50">
        <v>26315900</v>
      </c>
      <c r="H50">
        <v>71.468085561174107</v>
      </c>
    </row>
    <row r="51" spans="1:8" x14ac:dyDescent="0.75">
      <c r="A51" s="1">
        <v>45708</v>
      </c>
      <c r="B51" t="s">
        <v>14</v>
      </c>
      <c r="C51" t="s">
        <v>11</v>
      </c>
      <c r="D51">
        <v>4.04</v>
      </c>
      <c r="E51">
        <v>3.79</v>
      </c>
      <c r="F51">
        <v>4518.92</v>
      </c>
      <c r="G51">
        <v>3131520</v>
      </c>
      <c r="H51">
        <v>71.468085561174107</v>
      </c>
    </row>
    <row r="52" spans="1:8" x14ac:dyDescent="0.75">
      <c r="A52" s="1">
        <v>45708</v>
      </c>
      <c r="B52" t="s">
        <v>14</v>
      </c>
      <c r="C52" t="s">
        <v>10</v>
      </c>
      <c r="D52">
        <v>4.12</v>
      </c>
      <c r="E52">
        <v>3.99</v>
      </c>
      <c r="H52">
        <v>71.468085561174107</v>
      </c>
    </row>
    <row r="53" spans="1:8" x14ac:dyDescent="0.75">
      <c r="A53" s="1">
        <v>45727</v>
      </c>
      <c r="B53" t="s">
        <v>14</v>
      </c>
      <c r="C53" t="s">
        <v>8</v>
      </c>
      <c r="D53">
        <v>2.62</v>
      </c>
      <c r="E53">
        <v>6.37</v>
      </c>
      <c r="F53">
        <v>0</v>
      </c>
      <c r="G53">
        <v>26315900</v>
      </c>
      <c r="H53">
        <v>84.450110939246798</v>
      </c>
    </row>
    <row r="54" spans="1:8" x14ac:dyDescent="0.75">
      <c r="A54" s="1">
        <v>45727</v>
      </c>
      <c r="B54" t="s">
        <v>14</v>
      </c>
      <c r="C54" t="s">
        <v>11</v>
      </c>
      <c r="D54">
        <v>4.2699999999999996</v>
      </c>
      <c r="E54">
        <v>3.75</v>
      </c>
      <c r="F54">
        <v>4518.92</v>
      </c>
      <c r="G54">
        <v>3131520</v>
      </c>
      <c r="H54">
        <v>84.450110939246798</v>
      </c>
    </row>
    <row r="55" spans="1:8" x14ac:dyDescent="0.75">
      <c r="A55" s="1">
        <v>45727</v>
      </c>
      <c r="B55" t="s">
        <v>14</v>
      </c>
      <c r="C55" t="s">
        <v>10</v>
      </c>
      <c r="D55">
        <v>3.81</v>
      </c>
      <c r="E55">
        <v>4.04</v>
      </c>
      <c r="H55">
        <v>84.450110939246798</v>
      </c>
    </row>
    <row r="56" spans="1:8" x14ac:dyDescent="0.75">
      <c r="A56" s="1">
        <v>45505</v>
      </c>
      <c r="B56" t="s">
        <v>16</v>
      </c>
      <c r="C56" t="s">
        <v>9</v>
      </c>
      <c r="E56">
        <v>3.36</v>
      </c>
      <c r="F56">
        <v>904.88</v>
      </c>
      <c r="G56">
        <v>19268200</v>
      </c>
      <c r="H56">
        <v>7.4073456682228302</v>
      </c>
    </row>
    <row r="57" spans="1:8" x14ac:dyDescent="0.75">
      <c r="A57" s="1">
        <v>45505</v>
      </c>
      <c r="B57" t="s">
        <v>16</v>
      </c>
      <c r="C57" t="s">
        <v>8</v>
      </c>
      <c r="F57">
        <v>2002.8</v>
      </c>
      <c r="G57">
        <v>5821280</v>
      </c>
      <c r="H57">
        <v>7.4073456682228302</v>
      </c>
    </row>
    <row r="58" spans="1:8" x14ac:dyDescent="0.75">
      <c r="A58" s="1">
        <v>45505</v>
      </c>
      <c r="B58" t="s">
        <v>16</v>
      </c>
      <c r="C58" t="s">
        <v>10</v>
      </c>
      <c r="E58">
        <v>3.41</v>
      </c>
      <c r="F58">
        <v>3140.96</v>
      </c>
      <c r="G58">
        <v>1960760</v>
      </c>
      <c r="H58">
        <v>7.4073456682228302</v>
      </c>
    </row>
    <row r="59" spans="1:8" x14ac:dyDescent="0.75">
      <c r="A59" s="1">
        <v>45505</v>
      </c>
      <c r="B59" t="s">
        <v>16</v>
      </c>
      <c r="C59" t="s">
        <v>11</v>
      </c>
      <c r="E59">
        <v>3.71</v>
      </c>
      <c r="F59">
        <v>8475.9599999999991</v>
      </c>
      <c r="G59">
        <v>262193</v>
      </c>
      <c r="H59">
        <v>7.4073456682228302</v>
      </c>
    </row>
    <row r="60" spans="1:8" x14ac:dyDescent="0.75">
      <c r="A60" s="1">
        <v>45505</v>
      </c>
      <c r="B60" t="s">
        <v>16</v>
      </c>
      <c r="C60" t="s">
        <v>12</v>
      </c>
      <c r="E60">
        <v>3.39</v>
      </c>
      <c r="H60">
        <v>7.4073456682228302</v>
      </c>
    </row>
    <row r="61" spans="1:8" x14ac:dyDescent="0.75">
      <c r="A61" s="1">
        <v>45505</v>
      </c>
      <c r="B61" t="s">
        <v>16</v>
      </c>
      <c r="C61" t="s">
        <v>17</v>
      </c>
      <c r="E61">
        <v>3.45</v>
      </c>
      <c r="H61">
        <v>7.4073456682228302</v>
      </c>
    </row>
    <row r="62" spans="1:8" x14ac:dyDescent="0.75">
      <c r="A62" s="1">
        <v>45554</v>
      </c>
      <c r="B62" t="s">
        <v>16</v>
      </c>
      <c r="C62" t="s">
        <v>9</v>
      </c>
      <c r="D62">
        <v>1.2</v>
      </c>
      <c r="E62">
        <v>3.57</v>
      </c>
      <c r="F62">
        <v>904.88</v>
      </c>
      <c r="G62">
        <v>19268200</v>
      </c>
      <c r="H62">
        <v>100.03049449091</v>
      </c>
    </row>
    <row r="63" spans="1:8" x14ac:dyDescent="0.75">
      <c r="A63" s="1">
        <v>45554</v>
      </c>
      <c r="B63" t="s">
        <v>16</v>
      </c>
      <c r="C63" t="s">
        <v>8</v>
      </c>
      <c r="D63">
        <v>0.38</v>
      </c>
      <c r="E63">
        <v>3.76</v>
      </c>
      <c r="F63">
        <v>2002.8</v>
      </c>
      <c r="G63">
        <v>5821280</v>
      </c>
      <c r="H63">
        <v>100.03049449091</v>
      </c>
    </row>
    <row r="64" spans="1:8" x14ac:dyDescent="0.75">
      <c r="A64" s="1">
        <v>45554</v>
      </c>
      <c r="B64" t="s">
        <v>16</v>
      </c>
      <c r="C64" t="s">
        <v>10</v>
      </c>
      <c r="D64">
        <v>0.36</v>
      </c>
      <c r="E64">
        <v>3.81</v>
      </c>
      <c r="F64">
        <v>3140.96</v>
      </c>
      <c r="G64">
        <v>1960760</v>
      </c>
      <c r="H64">
        <v>100.03049449091</v>
      </c>
    </row>
    <row r="65" spans="1:8" x14ac:dyDescent="0.75">
      <c r="A65" s="1">
        <v>45554</v>
      </c>
      <c r="B65" t="s">
        <v>16</v>
      </c>
      <c r="C65" t="s">
        <v>11</v>
      </c>
      <c r="F65">
        <v>8475.9599999999991</v>
      </c>
      <c r="G65">
        <v>262193</v>
      </c>
      <c r="H65">
        <v>100.03049449091</v>
      </c>
    </row>
    <row r="66" spans="1:8" x14ac:dyDescent="0.75">
      <c r="A66" s="1">
        <v>45554</v>
      </c>
      <c r="B66" t="s">
        <v>16</v>
      </c>
      <c r="C66" t="s">
        <v>17</v>
      </c>
      <c r="D66">
        <v>5.96</v>
      </c>
      <c r="E66">
        <v>6.51</v>
      </c>
      <c r="H66">
        <v>100.03049449091</v>
      </c>
    </row>
    <row r="67" spans="1:8" x14ac:dyDescent="0.75">
      <c r="A67" s="1">
        <v>45554</v>
      </c>
      <c r="B67" t="s">
        <v>16</v>
      </c>
      <c r="C67" t="s">
        <v>12</v>
      </c>
      <c r="D67">
        <v>3.56</v>
      </c>
      <c r="E67">
        <v>3.58</v>
      </c>
      <c r="H67">
        <v>100.03049449091</v>
      </c>
    </row>
    <row r="68" spans="1:8" x14ac:dyDescent="0.75">
      <c r="A68" s="1">
        <v>45638</v>
      </c>
      <c r="B68" t="s">
        <v>16</v>
      </c>
      <c r="C68" t="s">
        <v>9</v>
      </c>
      <c r="D68">
        <v>4.0599999999999996</v>
      </c>
      <c r="E68">
        <v>3.6</v>
      </c>
      <c r="F68">
        <v>904.88</v>
      </c>
      <c r="G68">
        <v>19268200</v>
      </c>
      <c r="H68">
        <v>5.30642319963549</v>
      </c>
    </row>
    <row r="69" spans="1:8" x14ac:dyDescent="0.75">
      <c r="A69" s="1">
        <v>45638</v>
      </c>
      <c r="B69" t="s">
        <v>16</v>
      </c>
      <c r="C69" t="s">
        <v>8</v>
      </c>
      <c r="D69">
        <v>3.7</v>
      </c>
      <c r="E69">
        <v>4.0199999999999996</v>
      </c>
      <c r="F69">
        <v>2002.8</v>
      </c>
      <c r="G69">
        <v>5821280</v>
      </c>
      <c r="H69">
        <v>5.30642319963549</v>
      </c>
    </row>
    <row r="70" spans="1:8" x14ac:dyDescent="0.75">
      <c r="A70" s="1">
        <v>45638</v>
      </c>
      <c r="B70" t="s">
        <v>16</v>
      </c>
      <c r="C70" t="s">
        <v>10</v>
      </c>
      <c r="D70">
        <v>3.04</v>
      </c>
      <c r="E70">
        <v>4.5199999999999996</v>
      </c>
      <c r="F70">
        <v>3140.96</v>
      </c>
      <c r="G70">
        <v>1960760</v>
      </c>
      <c r="H70">
        <v>5.30642319963549</v>
      </c>
    </row>
    <row r="71" spans="1:8" x14ac:dyDescent="0.75">
      <c r="A71" s="1">
        <v>45638</v>
      </c>
      <c r="B71" t="s">
        <v>16</v>
      </c>
      <c r="C71" t="s">
        <v>11</v>
      </c>
      <c r="D71">
        <v>2.54</v>
      </c>
      <c r="E71">
        <v>4.5599999999999996</v>
      </c>
      <c r="F71">
        <v>8475.9599999999991</v>
      </c>
      <c r="G71">
        <v>262193</v>
      </c>
      <c r="H71">
        <v>5.30642319963549</v>
      </c>
    </row>
    <row r="72" spans="1:8" x14ac:dyDescent="0.75">
      <c r="A72" s="1">
        <v>45638</v>
      </c>
      <c r="B72" t="s">
        <v>16</v>
      </c>
      <c r="C72" t="s">
        <v>12</v>
      </c>
      <c r="D72">
        <v>7.5</v>
      </c>
      <c r="E72">
        <v>3.64</v>
      </c>
      <c r="H72">
        <v>5.30642319963549</v>
      </c>
    </row>
    <row r="73" spans="1:8" x14ac:dyDescent="0.75">
      <c r="A73" s="1">
        <v>45638</v>
      </c>
      <c r="B73" t="s">
        <v>16</v>
      </c>
      <c r="C73" t="s">
        <v>17</v>
      </c>
      <c r="D73">
        <v>6.55</v>
      </c>
      <c r="E73">
        <v>6.79</v>
      </c>
      <c r="H73">
        <v>5.30642319963549</v>
      </c>
    </row>
    <row r="74" spans="1:8" x14ac:dyDescent="0.75">
      <c r="A74" s="1">
        <v>45708</v>
      </c>
      <c r="B74" t="s">
        <v>16</v>
      </c>
      <c r="C74" t="s">
        <v>15</v>
      </c>
      <c r="D74">
        <v>7.22</v>
      </c>
      <c r="E74">
        <v>3.71</v>
      </c>
      <c r="F74">
        <v>0</v>
      </c>
      <c r="G74">
        <v>19864100</v>
      </c>
      <c r="H74">
        <v>37.743591811441398</v>
      </c>
    </row>
    <row r="75" spans="1:8" x14ac:dyDescent="0.75">
      <c r="A75" s="1">
        <v>45708</v>
      </c>
      <c r="B75" t="s">
        <v>16</v>
      </c>
      <c r="C75" t="s">
        <v>9</v>
      </c>
      <c r="D75">
        <v>4.9000000000000004</v>
      </c>
      <c r="E75">
        <v>3.73</v>
      </c>
      <c r="F75">
        <v>904.88</v>
      </c>
      <c r="G75">
        <v>19268200</v>
      </c>
      <c r="H75">
        <v>37.743591811441398</v>
      </c>
    </row>
    <row r="76" spans="1:8" x14ac:dyDescent="0.75">
      <c r="A76" s="1">
        <v>45708</v>
      </c>
      <c r="B76" t="s">
        <v>16</v>
      </c>
      <c r="C76" t="s">
        <v>8</v>
      </c>
      <c r="D76">
        <v>3.16</v>
      </c>
      <c r="E76">
        <v>3.86</v>
      </c>
      <c r="F76">
        <v>2002.8</v>
      </c>
      <c r="G76">
        <v>5821280</v>
      </c>
      <c r="H76">
        <v>37.743591811441398</v>
      </c>
    </row>
    <row r="77" spans="1:8" x14ac:dyDescent="0.75">
      <c r="A77" s="1">
        <v>45708</v>
      </c>
      <c r="B77" t="s">
        <v>16</v>
      </c>
      <c r="C77" t="s">
        <v>10</v>
      </c>
      <c r="D77">
        <v>1.52</v>
      </c>
      <c r="E77">
        <v>3.97</v>
      </c>
      <c r="F77">
        <v>3140.96</v>
      </c>
      <c r="G77">
        <v>1960760</v>
      </c>
      <c r="H77">
        <v>37.743591811441398</v>
      </c>
    </row>
    <row r="78" spans="1:8" x14ac:dyDescent="0.75">
      <c r="A78" s="1">
        <v>45708</v>
      </c>
      <c r="B78" t="s">
        <v>16</v>
      </c>
      <c r="C78" t="s">
        <v>11</v>
      </c>
      <c r="D78">
        <v>1.1100000000000001</v>
      </c>
      <c r="E78">
        <v>5.44</v>
      </c>
      <c r="F78">
        <v>8475.9599999999991</v>
      </c>
      <c r="G78">
        <v>262193</v>
      </c>
      <c r="H78">
        <v>37.743591811441398</v>
      </c>
    </row>
    <row r="79" spans="1:8" x14ac:dyDescent="0.75">
      <c r="A79" s="1">
        <v>45708</v>
      </c>
      <c r="B79" t="s">
        <v>16</v>
      </c>
      <c r="C79" t="s">
        <v>17</v>
      </c>
      <c r="D79">
        <v>7.93</v>
      </c>
      <c r="E79">
        <v>6.29</v>
      </c>
      <c r="H79">
        <v>37.743591811441398</v>
      </c>
    </row>
    <row r="80" spans="1:8" x14ac:dyDescent="0.75">
      <c r="A80" s="1">
        <v>45727</v>
      </c>
      <c r="B80" t="s">
        <v>16</v>
      </c>
      <c r="C80" t="s">
        <v>15</v>
      </c>
      <c r="D80">
        <v>6.37</v>
      </c>
      <c r="E80">
        <v>3.53</v>
      </c>
      <c r="F80">
        <v>0</v>
      </c>
      <c r="G80">
        <v>19864100</v>
      </c>
      <c r="H80">
        <v>68.679981822201199</v>
      </c>
    </row>
    <row r="81" spans="1:8" x14ac:dyDescent="0.75">
      <c r="A81" s="1">
        <v>45727</v>
      </c>
      <c r="B81" t="s">
        <v>16</v>
      </c>
      <c r="C81" t="s">
        <v>9</v>
      </c>
      <c r="D81">
        <v>3.77</v>
      </c>
      <c r="E81">
        <v>3.54</v>
      </c>
      <c r="F81">
        <v>904.88</v>
      </c>
      <c r="G81">
        <v>19268200</v>
      </c>
      <c r="H81">
        <v>68.679981822201199</v>
      </c>
    </row>
    <row r="82" spans="1:8" x14ac:dyDescent="0.75">
      <c r="A82" s="1">
        <v>45727</v>
      </c>
      <c r="B82" t="s">
        <v>16</v>
      </c>
      <c r="C82" t="s">
        <v>8</v>
      </c>
      <c r="D82">
        <v>3.04</v>
      </c>
      <c r="E82">
        <v>3.72</v>
      </c>
      <c r="F82">
        <v>2002.8</v>
      </c>
      <c r="G82">
        <v>5821280</v>
      </c>
      <c r="H82">
        <v>68.679981822201199</v>
      </c>
    </row>
    <row r="83" spans="1:8" x14ac:dyDescent="0.75">
      <c r="A83" s="1">
        <v>45727</v>
      </c>
      <c r="B83" t="s">
        <v>16</v>
      </c>
      <c r="C83" t="s">
        <v>10</v>
      </c>
      <c r="D83">
        <v>1.99</v>
      </c>
      <c r="E83">
        <v>3.61</v>
      </c>
      <c r="F83">
        <v>3140.96</v>
      </c>
      <c r="G83">
        <v>1960760</v>
      </c>
      <c r="H83">
        <v>68.679981822201199</v>
      </c>
    </row>
    <row r="84" spans="1:8" x14ac:dyDescent="0.75">
      <c r="A84" s="1">
        <v>45727</v>
      </c>
      <c r="B84" t="s">
        <v>16</v>
      </c>
      <c r="C84" t="s">
        <v>11</v>
      </c>
      <c r="D84">
        <v>8.9</v>
      </c>
      <c r="E84">
        <v>5.89</v>
      </c>
      <c r="F84">
        <v>8475.9599999999991</v>
      </c>
      <c r="G84">
        <v>262193</v>
      </c>
      <c r="H84">
        <v>68.679981822201199</v>
      </c>
    </row>
    <row r="85" spans="1:8" x14ac:dyDescent="0.75">
      <c r="A85" s="1">
        <v>45727</v>
      </c>
      <c r="B85" t="s">
        <v>16</v>
      </c>
      <c r="C85" t="s">
        <v>17</v>
      </c>
      <c r="D85">
        <v>8.69</v>
      </c>
      <c r="E85">
        <v>6.58</v>
      </c>
      <c r="H85">
        <v>68.679981822201199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D19F5-47B4-4382-B740-81546DE76DA3}">
  <dimension ref="A1:AD24"/>
  <sheetViews>
    <sheetView topLeftCell="D1" workbookViewId="0">
      <selection activeCell="S2" sqref="S2:S6"/>
    </sheetView>
  </sheetViews>
  <sheetFormatPr defaultRowHeight="14.75" x14ac:dyDescent="0.75"/>
  <cols>
    <col min="1" max="1" width="10.40625" bestFit="1" customWidth="1"/>
    <col min="12" max="12" width="11.7265625" bestFit="1" customWidth="1"/>
    <col min="13" max="13" width="10.26953125" bestFit="1" customWidth="1"/>
    <col min="14" max="14" width="11.7265625" bestFit="1" customWidth="1"/>
    <col min="15" max="15" width="10.7265625" bestFit="1" customWidth="1"/>
    <col min="16" max="16" width="11.7265625" bestFit="1" customWidth="1"/>
    <col min="17" max="17" width="13.54296875" bestFit="1" customWidth="1"/>
    <col min="18" max="18" width="13.54296875" customWidth="1"/>
  </cols>
  <sheetData>
    <row r="1" spans="1:30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K1" t="s">
        <v>19</v>
      </c>
      <c r="L1" s="6">
        <v>45554</v>
      </c>
      <c r="M1" s="6">
        <v>45638</v>
      </c>
      <c r="N1" s="6">
        <v>45708</v>
      </c>
      <c r="O1" s="6">
        <v>45727</v>
      </c>
      <c r="P1" t="s">
        <v>5</v>
      </c>
      <c r="Q1" t="s">
        <v>6</v>
      </c>
      <c r="S1" t="s">
        <v>18</v>
      </c>
    </row>
    <row r="2" spans="1:30" x14ac:dyDescent="0.75">
      <c r="A2" s="3">
        <v>45554</v>
      </c>
      <c r="B2" s="4" t="s">
        <v>8</v>
      </c>
      <c r="C2" s="4" t="s">
        <v>9</v>
      </c>
      <c r="D2" s="4">
        <v>1.22</v>
      </c>
      <c r="E2" s="4">
        <v>3.66</v>
      </c>
      <c r="F2" s="4">
        <v>5594.22</v>
      </c>
      <c r="G2" s="4">
        <v>80468</v>
      </c>
      <c r="H2" s="4">
        <v>346.89139849592499</v>
      </c>
      <c r="J2" t="s">
        <v>8</v>
      </c>
      <c r="K2" t="s">
        <v>11</v>
      </c>
      <c r="L2">
        <v>0.81</v>
      </c>
      <c r="M2">
        <v>1.54</v>
      </c>
      <c r="N2">
        <v>2.77</v>
      </c>
      <c r="O2">
        <v>2.7</v>
      </c>
      <c r="P2">
        <v>9149.2199999999993</v>
      </c>
      <c r="Q2">
        <v>9204</v>
      </c>
      <c r="R2">
        <f>$Q$7-Q2</f>
        <v>26306696</v>
      </c>
      <c r="S2">
        <f>R2/$Q$7</f>
        <v>0.9996502494689522</v>
      </c>
    </row>
    <row r="3" spans="1:30" x14ac:dyDescent="0.75">
      <c r="A3" s="3">
        <v>45554</v>
      </c>
      <c r="B3" s="4" t="s">
        <v>8</v>
      </c>
      <c r="C3" s="4" t="s">
        <v>10</v>
      </c>
      <c r="D3" s="4">
        <v>0.56000000000000005</v>
      </c>
      <c r="E3" s="4">
        <v>3.77</v>
      </c>
      <c r="F3" s="4">
        <v>7836.22</v>
      </c>
      <c r="G3" s="4">
        <v>1355500</v>
      </c>
      <c r="H3" s="4">
        <v>346.89139849592499</v>
      </c>
      <c r="J3" t="s">
        <v>8</v>
      </c>
      <c r="K3" t="s">
        <v>10</v>
      </c>
      <c r="L3">
        <v>0.56000000000000005</v>
      </c>
      <c r="M3">
        <v>1.1200000000000001</v>
      </c>
      <c r="N3">
        <v>1.62</v>
      </c>
      <c r="O3">
        <v>1.89</v>
      </c>
      <c r="P3">
        <v>7836.22</v>
      </c>
      <c r="Q3">
        <v>1355500</v>
      </c>
      <c r="R3">
        <f t="shared" ref="R3:R6" si="0">$Q$7-Q3</f>
        <v>24960400</v>
      </c>
      <c r="S3">
        <f t="shared" ref="S3:S6" si="1">R3/$Q$7</f>
        <v>0.94849121633689137</v>
      </c>
    </row>
    <row r="4" spans="1:30" x14ac:dyDescent="0.75">
      <c r="A4" s="3">
        <v>45554</v>
      </c>
      <c r="B4" s="4" t="s">
        <v>8</v>
      </c>
      <c r="C4" s="4" t="s">
        <v>11</v>
      </c>
      <c r="D4" s="4">
        <v>0.81</v>
      </c>
      <c r="E4" s="4">
        <v>3.75</v>
      </c>
      <c r="F4" s="4">
        <v>9149.2199999999993</v>
      </c>
      <c r="G4" s="4">
        <v>9204</v>
      </c>
      <c r="H4" s="4">
        <v>346.89139849592499</v>
      </c>
      <c r="J4" t="s">
        <v>8</v>
      </c>
      <c r="K4" t="s">
        <v>9</v>
      </c>
      <c r="L4">
        <v>1.22</v>
      </c>
      <c r="M4">
        <v>1.7</v>
      </c>
      <c r="N4">
        <v>4.72</v>
      </c>
      <c r="P4">
        <v>5594.22</v>
      </c>
      <c r="Q4">
        <v>1139580</v>
      </c>
      <c r="R4">
        <f t="shared" si="0"/>
        <v>25176320</v>
      </c>
      <c r="S4">
        <f t="shared" si="1"/>
        <v>0.95669614187620411</v>
      </c>
    </row>
    <row r="5" spans="1:30" x14ac:dyDescent="0.75">
      <c r="A5" s="1">
        <v>45638</v>
      </c>
      <c r="B5" t="s">
        <v>8</v>
      </c>
      <c r="C5" t="s">
        <v>9</v>
      </c>
      <c r="D5">
        <v>1.7</v>
      </c>
      <c r="E5">
        <v>5.17</v>
      </c>
      <c r="F5">
        <v>5594.22</v>
      </c>
      <c r="G5">
        <v>80468</v>
      </c>
      <c r="H5">
        <v>5.5300168599079003</v>
      </c>
      <c r="J5" t="s">
        <v>14</v>
      </c>
      <c r="K5" t="s">
        <v>11</v>
      </c>
      <c r="L5">
        <v>1.29</v>
      </c>
      <c r="M5">
        <v>5.4</v>
      </c>
      <c r="N5">
        <v>4.04</v>
      </c>
      <c r="O5">
        <v>4.2699999999999996</v>
      </c>
      <c r="P5">
        <v>4518.92</v>
      </c>
      <c r="Q5">
        <v>3131520</v>
      </c>
      <c r="R5">
        <f t="shared" si="0"/>
        <v>23184380</v>
      </c>
      <c r="S5">
        <f t="shared" si="1"/>
        <v>0.88100273978849286</v>
      </c>
    </row>
    <row r="6" spans="1:30" x14ac:dyDescent="0.75">
      <c r="A6" s="1">
        <v>45638</v>
      </c>
      <c r="B6" t="s">
        <v>8</v>
      </c>
      <c r="C6" t="s">
        <v>10</v>
      </c>
      <c r="D6">
        <v>1.1200000000000001</v>
      </c>
      <c r="E6">
        <v>3.73</v>
      </c>
      <c r="F6">
        <v>7836.22</v>
      </c>
      <c r="G6">
        <v>1355500</v>
      </c>
      <c r="H6">
        <v>5.5300168599079003</v>
      </c>
      <c r="J6" t="s">
        <v>14</v>
      </c>
      <c r="K6" t="s">
        <v>10</v>
      </c>
      <c r="L6">
        <v>2.06</v>
      </c>
      <c r="M6">
        <v>4.3099999999999996</v>
      </c>
      <c r="N6">
        <v>4.12</v>
      </c>
      <c r="O6">
        <v>3.81</v>
      </c>
      <c r="P6">
        <v>390.63</v>
      </c>
      <c r="Q6">
        <v>26276900</v>
      </c>
      <c r="R6">
        <f t="shared" si="0"/>
        <v>39000</v>
      </c>
      <c r="S6">
        <f t="shared" si="1"/>
        <v>1.4819937756261423E-3</v>
      </c>
    </row>
    <row r="7" spans="1:30" x14ac:dyDescent="0.75">
      <c r="A7" s="1">
        <v>45638</v>
      </c>
      <c r="B7" t="s">
        <v>8</v>
      </c>
      <c r="C7" t="s">
        <v>11</v>
      </c>
      <c r="D7">
        <v>1.54</v>
      </c>
      <c r="E7">
        <v>3.71</v>
      </c>
      <c r="F7">
        <v>9149.2199999999993</v>
      </c>
      <c r="G7">
        <v>9204</v>
      </c>
      <c r="H7">
        <v>5.5300168599079003</v>
      </c>
      <c r="J7" t="s">
        <v>14</v>
      </c>
      <c r="K7" t="s">
        <v>8</v>
      </c>
      <c r="L7">
        <v>2.2999999999999998</v>
      </c>
      <c r="M7">
        <v>3.72</v>
      </c>
      <c r="N7">
        <v>4.0599999999999996</v>
      </c>
      <c r="O7">
        <v>2.62</v>
      </c>
      <c r="P7">
        <v>0</v>
      </c>
      <c r="Q7">
        <v>26315900</v>
      </c>
    </row>
    <row r="8" spans="1:30" x14ac:dyDescent="0.75">
      <c r="A8" s="3">
        <v>45708</v>
      </c>
      <c r="B8" s="4" t="s">
        <v>8</v>
      </c>
      <c r="C8" s="4" t="s">
        <v>9</v>
      </c>
      <c r="D8" s="4">
        <v>4.72</v>
      </c>
      <c r="E8" s="4">
        <v>3.71</v>
      </c>
      <c r="F8" s="4">
        <v>5594.22</v>
      </c>
      <c r="G8" s="4">
        <v>80468</v>
      </c>
      <c r="H8" s="4">
        <v>71.468085561174107</v>
      </c>
    </row>
    <row r="9" spans="1:30" x14ac:dyDescent="0.75">
      <c r="A9" s="3">
        <v>45708</v>
      </c>
      <c r="B9" s="4" t="s">
        <v>8</v>
      </c>
      <c r="C9" s="4" t="s">
        <v>10</v>
      </c>
      <c r="D9" s="4">
        <v>1.62</v>
      </c>
      <c r="E9" s="4">
        <v>3.68</v>
      </c>
      <c r="F9" s="4">
        <v>7836.22</v>
      </c>
      <c r="G9" s="4">
        <v>1355500</v>
      </c>
      <c r="H9" s="4">
        <v>71.468085561174107</v>
      </c>
      <c r="J9" t="s">
        <v>20</v>
      </c>
      <c r="K9" t="s">
        <v>18</v>
      </c>
      <c r="L9" s="1">
        <v>45554</v>
      </c>
      <c r="M9" s="1">
        <v>45638</v>
      </c>
      <c r="N9" s="1">
        <v>45708</v>
      </c>
      <c r="O9" s="2">
        <v>45727</v>
      </c>
      <c r="P9" s="2"/>
    </row>
    <row r="10" spans="1:30" x14ac:dyDescent="0.75">
      <c r="A10" s="3">
        <v>45708</v>
      </c>
      <c r="B10" s="4" t="s">
        <v>8</v>
      </c>
      <c r="C10" s="4" t="s">
        <v>11</v>
      </c>
      <c r="D10" s="4">
        <v>2.77</v>
      </c>
      <c r="E10" s="4">
        <v>3.67</v>
      </c>
      <c r="F10" s="4">
        <v>9149.2199999999993</v>
      </c>
      <c r="G10" s="4">
        <v>9204</v>
      </c>
      <c r="H10" s="4">
        <v>71.468085561174107</v>
      </c>
      <c r="I10" t="s">
        <v>8</v>
      </c>
      <c r="J10" t="s">
        <v>11</v>
      </c>
      <c r="K10">
        <v>3.4975053104776958E-4</v>
      </c>
      <c r="L10">
        <f>K10*$L$15</f>
        <v>0.12132545083985322</v>
      </c>
      <c r="M10">
        <f>K10*$M$15</f>
        <v>1.9341263334559074E-3</v>
      </c>
      <c r="N10">
        <f>$K10*$N$15</f>
        <v>2.4996000877988075E-2</v>
      </c>
      <c r="O10">
        <f>$K10*$O$15</f>
        <v>2.9536471148044623E-2</v>
      </c>
    </row>
    <row r="11" spans="1:30" x14ac:dyDescent="0.75">
      <c r="A11" s="1">
        <v>45727</v>
      </c>
      <c r="B11" t="s">
        <v>8</v>
      </c>
      <c r="C11" t="s">
        <v>10</v>
      </c>
      <c r="D11">
        <v>1.89</v>
      </c>
      <c r="E11">
        <v>3.59</v>
      </c>
      <c r="F11">
        <v>7836.22</v>
      </c>
      <c r="G11">
        <v>1355500</v>
      </c>
      <c r="I11" t="s">
        <v>8</v>
      </c>
      <c r="J11" t="s">
        <v>10</v>
      </c>
      <c r="K11">
        <v>5.1508783663108612E-2</v>
      </c>
      <c r="L11">
        <f t="shared" ref="L11:L14" si="2">K11*$L$15</f>
        <v>17.867953999719802</v>
      </c>
      <c r="M11">
        <f t="shared" ref="M11:M14" si="3">K11*$M$15</f>
        <v>0.28484444209033927</v>
      </c>
      <c r="N11">
        <f t="shared" ref="N11:N14" si="4">$K11*$N$15</f>
        <v>3.6812341579870531</v>
      </c>
      <c r="O11">
        <f t="shared" ref="O11:O14" si="5">$K11*$O$15</f>
        <v>4.3499224946951855</v>
      </c>
    </row>
    <row r="12" spans="1:30" x14ac:dyDescent="0.75">
      <c r="A12" s="1">
        <v>45727</v>
      </c>
      <c r="B12" t="s">
        <v>8</v>
      </c>
      <c r="C12" t="s">
        <v>11</v>
      </c>
      <c r="D12">
        <v>2.7</v>
      </c>
      <c r="E12">
        <v>3.57</v>
      </c>
      <c r="F12">
        <v>9149.2199999999993</v>
      </c>
      <c r="G12">
        <v>9204</v>
      </c>
      <c r="I12" t="s">
        <v>8</v>
      </c>
      <c r="J12" t="s">
        <v>9</v>
      </c>
      <c r="K12">
        <v>4.3303858123795877E-2</v>
      </c>
      <c r="L12">
        <f t="shared" si="2"/>
        <v>15.021735904832674</v>
      </c>
      <c r="M12">
        <f t="shared" si="3"/>
        <v>0.23947106552365088</v>
      </c>
      <c r="N12">
        <f t="shared" si="4"/>
        <v>3.0948438375203882</v>
      </c>
      <c r="O12">
        <f t="shared" si="5"/>
        <v>3.6570156226519654</v>
      </c>
    </row>
    <row r="13" spans="1:30" x14ac:dyDescent="0.75">
      <c r="A13" s="5">
        <v>45554</v>
      </c>
      <c r="B13" s="4" t="s">
        <v>14</v>
      </c>
      <c r="C13" s="4" t="s">
        <v>8</v>
      </c>
      <c r="D13" s="4">
        <v>2.2999999999999998</v>
      </c>
      <c r="E13" s="4">
        <v>4.21</v>
      </c>
      <c r="F13" s="4">
        <v>0</v>
      </c>
      <c r="G13" s="4">
        <v>26315900</v>
      </c>
      <c r="H13" s="4">
        <v>346.89139849592499</v>
      </c>
      <c r="I13" t="s">
        <v>14</v>
      </c>
      <c r="J13" t="s">
        <v>11</v>
      </c>
      <c r="K13">
        <v>0.11899726021150711</v>
      </c>
      <c r="L13">
        <f t="shared" si="2"/>
        <v>41.279126011953196</v>
      </c>
      <c r="M13">
        <f t="shared" si="3"/>
        <v>0.65805685525248192</v>
      </c>
      <c r="N13">
        <f t="shared" si="4"/>
        <v>8.5045063743412896</v>
      </c>
      <c r="O13">
        <f t="shared" si="5"/>
        <v>10.049331826328194</v>
      </c>
    </row>
    <row r="14" spans="1:30" x14ac:dyDescent="0.75">
      <c r="A14" s="5">
        <v>45554</v>
      </c>
      <c r="B14" s="4" t="s">
        <v>14</v>
      </c>
      <c r="C14" s="4" t="s">
        <v>11</v>
      </c>
      <c r="D14" s="4">
        <v>1.29</v>
      </c>
      <c r="E14" s="4">
        <v>3.84</v>
      </c>
      <c r="F14" s="4">
        <v>4518.92</v>
      </c>
      <c r="G14" s="4">
        <v>3131520</v>
      </c>
      <c r="H14" s="4">
        <v>346.89139849592499</v>
      </c>
      <c r="I14" t="s">
        <v>14</v>
      </c>
      <c r="J14" t="s">
        <v>10</v>
      </c>
      <c r="K14">
        <v>0.99851800622437381</v>
      </c>
      <c r="L14">
        <f t="shared" si="2"/>
        <v>346.37730760253578</v>
      </c>
      <c r="M14">
        <f t="shared" si="3"/>
        <v>5.5218214093424089</v>
      </c>
      <c r="N14">
        <f t="shared" si="4"/>
        <v>71.36217030321653</v>
      </c>
      <c r="O14">
        <f t="shared" si="5"/>
        <v>84.324956400483899</v>
      </c>
    </row>
    <row r="15" spans="1:30" x14ac:dyDescent="0.75">
      <c r="A15" s="5">
        <v>45554</v>
      </c>
      <c r="B15" s="4" t="s">
        <v>14</v>
      </c>
      <c r="C15" s="4" t="s">
        <v>10</v>
      </c>
      <c r="D15" s="4">
        <v>2.06</v>
      </c>
      <c r="E15" s="4">
        <v>4.1399999999999997</v>
      </c>
      <c r="F15" s="4"/>
      <c r="G15" s="4"/>
      <c r="H15" s="4">
        <v>346.89139849592499</v>
      </c>
      <c r="I15" t="s">
        <v>14</v>
      </c>
      <c r="J15" t="s">
        <v>8</v>
      </c>
      <c r="K15">
        <v>1</v>
      </c>
      <c r="L15">
        <v>346.89139849592499</v>
      </c>
      <c r="M15">
        <v>5.5300168599079003</v>
      </c>
      <c r="N15">
        <v>71.468085561174107</v>
      </c>
      <c r="O15">
        <v>84.450110939246798</v>
      </c>
    </row>
    <row r="16" spans="1:30" x14ac:dyDescent="0.75">
      <c r="A16" s="2">
        <v>45638</v>
      </c>
      <c r="B16" t="s">
        <v>14</v>
      </c>
      <c r="C16" t="s">
        <v>8</v>
      </c>
      <c r="D16">
        <v>3.72</v>
      </c>
      <c r="E16">
        <v>4.0199999999999996</v>
      </c>
      <c r="F16">
        <v>0</v>
      </c>
      <c r="G16">
        <v>26315900</v>
      </c>
      <c r="H16">
        <v>5.5300168599079003</v>
      </c>
      <c r="AC16" s="2" t="s">
        <v>21</v>
      </c>
      <c r="AD16" s="6" t="s">
        <v>3</v>
      </c>
    </row>
    <row r="17" spans="1:30" x14ac:dyDescent="0.75">
      <c r="A17" s="2">
        <v>45638</v>
      </c>
      <c r="B17" t="s">
        <v>14</v>
      </c>
      <c r="C17" t="s">
        <v>11</v>
      </c>
      <c r="D17">
        <v>5.4</v>
      </c>
      <c r="E17">
        <v>6.04</v>
      </c>
      <c r="F17">
        <v>4518.92</v>
      </c>
      <c r="G17">
        <v>3131520</v>
      </c>
      <c r="H17">
        <v>5.5300168599079003</v>
      </c>
      <c r="L17" s="2" t="s">
        <v>21</v>
      </c>
      <c r="M17" s="2" t="s">
        <v>28</v>
      </c>
      <c r="P17" s="2" t="s">
        <v>21</v>
      </c>
      <c r="Q17" s="6" t="s">
        <v>29</v>
      </c>
      <c r="R17" s="6"/>
      <c r="V17" s="2" t="s">
        <v>21</v>
      </c>
      <c r="W17" s="6" t="s">
        <v>30</v>
      </c>
      <c r="AC17">
        <f t="shared" ref="AC17:AC22" si="6">$K10*$O$15</f>
        <v>2.9536471148044623E-2</v>
      </c>
      <c r="AD17">
        <v>2.7</v>
      </c>
    </row>
    <row r="18" spans="1:30" x14ac:dyDescent="0.75">
      <c r="A18" s="2">
        <v>45638</v>
      </c>
      <c r="B18" t="s">
        <v>14</v>
      </c>
      <c r="C18" t="s">
        <v>10</v>
      </c>
      <c r="D18">
        <v>4.3099999999999996</v>
      </c>
      <c r="E18">
        <v>3.98</v>
      </c>
      <c r="H18">
        <v>5.5300168599079003</v>
      </c>
      <c r="J18" t="s">
        <v>8</v>
      </c>
      <c r="K18" t="s">
        <v>11</v>
      </c>
      <c r="L18">
        <f t="shared" ref="L18:L23" si="7">$K10*$L$15</f>
        <v>0.12132545083985322</v>
      </c>
      <c r="P18">
        <f t="shared" ref="P18:P23" si="8">$K10*$M$15</f>
        <v>1.9341263334559074E-3</v>
      </c>
      <c r="V18">
        <f t="shared" ref="V18:V23" si="9">$K10*$N$15</f>
        <v>2.4996000877988075E-2</v>
      </c>
      <c r="W18">
        <v>2.77</v>
      </c>
      <c r="AC18">
        <f t="shared" si="6"/>
        <v>4.3499224946951855</v>
      </c>
      <c r="AD18">
        <v>1.89</v>
      </c>
    </row>
    <row r="19" spans="1:30" x14ac:dyDescent="0.75">
      <c r="A19" s="5">
        <v>45708</v>
      </c>
      <c r="B19" s="4" t="s">
        <v>14</v>
      </c>
      <c r="C19" s="4" t="s">
        <v>8</v>
      </c>
      <c r="D19" s="4">
        <v>4.0599999999999996</v>
      </c>
      <c r="E19" s="4">
        <v>3.99</v>
      </c>
      <c r="F19" s="4">
        <v>0</v>
      </c>
      <c r="G19" s="4">
        <v>26315900</v>
      </c>
      <c r="H19" s="4">
        <v>71.468085561174107</v>
      </c>
      <c r="J19" t="s">
        <v>8</v>
      </c>
      <c r="K19" t="s">
        <v>10</v>
      </c>
      <c r="L19">
        <f t="shared" si="7"/>
        <v>17.867953999719802</v>
      </c>
      <c r="M19">
        <v>0.56000000000000005</v>
      </c>
      <c r="P19">
        <f t="shared" si="8"/>
        <v>0.28484444209033927</v>
      </c>
      <c r="Q19">
        <v>1.1200000000000001</v>
      </c>
      <c r="V19">
        <f t="shared" si="9"/>
        <v>3.6812341579870531</v>
      </c>
      <c r="W19">
        <v>1.62</v>
      </c>
      <c r="AC19">
        <f t="shared" si="6"/>
        <v>3.6570156226519654</v>
      </c>
    </row>
    <row r="20" spans="1:30" x14ac:dyDescent="0.75">
      <c r="A20" s="5">
        <v>45708</v>
      </c>
      <c r="B20" s="4" t="s">
        <v>14</v>
      </c>
      <c r="C20" s="4" t="s">
        <v>11</v>
      </c>
      <c r="D20" s="4">
        <v>4.04</v>
      </c>
      <c r="E20" s="4">
        <v>3.79</v>
      </c>
      <c r="F20" s="4">
        <v>4518.92</v>
      </c>
      <c r="G20" s="4">
        <v>3131520</v>
      </c>
      <c r="H20" s="4">
        <v>71.468085561174107</v>
      </c>
      <c r="J20" t="s">
        <v>8</v>
      </c>
      <c r="K20" t="s">
        <v>9</v>
      </c>
      <c r="L20">
        <f t="shared" si="7"/>
        <v>15.021735904832674</v>
      </c>
      <c r="M20">
        <v>1.22</v>
      </c>
      <c r="P20">
        <f t="shared" si="8"/>
        <v>0.23947106552365088</v>
      </c>
      <c r="Q20">
        <v>1.7</v>
      </c>
      <c r="V20">
        <f t="shared" si="9"/>
        <v>3.0948438375203882</v>
      </c>
      <c r="W20">
        <v>4.72</v>
      </c>
      <c r="AC20">
        <f t="shared" si="6"/>
        <v>10.049331826328194</v>
      </c>
      <c r="AD20">
        <v>4.2699999999999996</v>
      </c>
    </row>
    <row r="21" spans="1:30" x14ac:dyDescent="0.75">
      <c r="A21" s="5">
        <v>45708</v>
      </c>
      <c r="B21" s="4" t="s">
        <v>14</v>
      </c>
      <c r="C21" s="4" t="s">
        <v>10</v>
      </c>
      <c r="D21" s="4">
        <v>4.12</v>
      </c>
      <c r="E21" s="4">
        <v>3.99</v>
      </c>
      <c r="F21" s="4"/>
      <c r="G21" s="4"/>
      <c r="H21" s="4">
        <v>71.468085561174107</v>
      </c>
      <c r="J21" t="s">
        <v>14</v>
      </c>
      <c r="K21" t="s">
        <v>11</v>
      </c>
      <c r="L21">
        <f t="shared" si="7"/>
        <v>41.279126011953196</v>
      </c>
      <c r="M21">
        <v>1.29</v>
      </c>
      <c r="P21">
        <f t="shared" si="8"/>
        <v>0.65805685525248192</v>
      </c>
      <c r="V21">
        <f t="shared" si="9"/>
        <v>8.5045063743412896</v>
      </c>
      <c r="W21">
        <v>4.04</v>
      </c>
      <c r="AC21">
        <f t="shared" si="6"/>
        <v>84.324956400483899</v>
      </c>
      <c r="AD21">
        <v>3.81</v>
      </c>
    </row>
    <row r="22" spans="1:30" x14ac:dyDescent="0.75">
      <c r="A22" s="2">
        <v>45727</v>
      </c>
      <c r="B22" t="s">
        <v>14</v>
      </c>
      <c r="C22" t="s">
        <v>8</v>
      </c>
      <c r="D22">
        <v>2.62</v>
      </c>
      <c r="E22">
        <v>6.37</v>
      </c>
      <c r="F22">
        <v>0</v>
      </c>
      <c r="G22">
        <v>26315900</v>
      </c>
      <c r="H22">
        <v>84.450110939246798</v>
      </c>
      <c r="J22" t="s">
        <v>14</v>
      </c>
      <c r="K22" t="s">
        <v>10</v>
      </c>
      <c r="L22">
        <f t="shared" si="7"/>
        <v>346.37730760253578</v>
      </c>
      <c r="M22">
        <v>2.06</v>
      </c>
      <c r="P22">
        <f t="shared" si="8"/>
        <v>5.5218214093424089</v>
      </c>
      <c r="Q22">
        <v>4.3099999999999996</v>
      </c>
      <c r="V22">
        <f t="shared" si="9"/>
        <v>71.36217030321653</v>
      </c>
      <c r="W22">
        <v>4.12</v>
      </c>
      <c r="AC22">
        <f t="shared" si="6"/>
        <v>84.450110939246798</v>
      </c>
      <c r="AD22">
        <v>2.62</v>
      </c>
    </row>
    <row r="23" spans="1:30" x14ac:dyDescent="0.75">
      <c r="A23" s="2">
        <v>45727</v>
      </c>
      <c r="B23" t="s">
        <v>14</v>
      </c>
      <c r="C23" t="s">
        <v>11</v>
      </c>
      <c r="D23">
        <v>4.2699999999999996</v>
      </c>
      <c r="E23">
        <v>3.75</v>
      </c>
      <c r="F23">
        <v>4518.92</v>
      </c>
      <c r="G23">
        <v>3131520</v>
      </c>
      <c r="H23">
        <v>84.450110939246798</v>
      </c>
      <c r="J23" t="s">
        <v>14</v>
      </c>
      <c r="K23" t="s">
        <v>8</v>
      </c>
      <c r="L23">
        <f t="shared" si="7"/>
        <v>346.89139849592499</v>
      </c>
      <c r="M23">
        <v>2.2999999999999998</v>
      </c>
      <c r="P23">
        <f t="shared" si="8"/>
        <v>5.5300168599079003</v>
      </c>
      <c r="Q23">
        <v>3.72</v>
      </c>
      <c r="V23">
        <f t="shared" si="9"/>
        <v>71.468085561174107</v>
      </c>
      <c r="W23">
        <v>4.0599999999999996</v>
      </c>
    </row>
    <row r="24" spans="1:30" x14ac:dyDescent="0.75">
      <c r="A24" s="2">
        <v>45727</v>
      </c>
      <c r="B24" t="s">
        <v>14</v>
      </c>
      <c r="C24" t="s">
        <v>10</v>
      </c>
      <c r="D24">
        <v>3.81</v>
      </c>
      <c r="E24">
        <v>4.04</v>
      </c>
      <c r="H24">
        <v>84.450110939246798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FB811-A0E7-4526-9291-2CD16480ACDC}">
  <dimension ref="A1:X31"/>
  <sheetViews>
    <sheetView topLeftCell="G1" zoomScale="80" zoomScaleNormal="80" workbookViewId="0">
      <selection activeCell="S12" sqref="S12:U13"/>
    </sheetView>
  </sheetViews>
  <sheetFormatPr defaultRowHeight="14.75" x14ac:dyDescent="0.75"/>
  <cols>
    <col min="1" max="1" width="10.26953125" bestFit="1" customWidth="1"/>
    <col min="11" max="11" width="10.26953125" bestFit="1" customWidth="1"/>
    <col min="14" max="14" width="10.7265625" bestFit="1" customWidth="1"/>
    <col min="15" max="15" width="12.1328125" bestFit="1" customWidth="1"/>
    <col min="16" max="16" width="13" bestFit="1" customWidth="1"/>
    <col min="17" max="17" width="10.7265625" customWidth="1"/>
    <col min="19" max="19" width="11.54296875" bestFit="1" customWidth="1"/>
    <col min="20" max="20" width="12.86328125" bestFit="1" customWidth="1"/>
    <col min="21" max="21" width="38.5" bestFit="1" customWidth="1"/>
  </cols>
  <sheetData>
    <row r="1" spans="1:24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N1" s="1">
        <v>45708</v>
      </c>
      <c r="O1" s="1">
        <v>45554</v>
      </c>
      <c r="P1" s="1">
        <v>45727</v>
      </c>
      <c r="Q1" s="1">
        <v>45749</v>
      </c>
      <c r="R1" t="s">
        <v>5</v>
      </c>
      <c r="S1" t="s">
        <v>6</v>
      </c>
      <c r="T1" t="s">
        <v>68</v>
      </c>
      <c r="U1" t="s">
        <v>31</v>
      </c>
      <c r="V1" t="s">
        <v>69</v>
      </c>
    </row>
    <row r="2" spans="1:24" x14ac:dyDescent="0.75">
      <c r="A2" s="3">
        <v>45554</v>
      </c>
      <c r="B2" s="4" t="s">
        <v>12</v>
      </c>
      <c r="C2" s="4" t="s">
        <v>9</v>
      </c>
      <c r="D2" s="4">
        <v>4.01</v>
      </c>
      <c r="E2" s="4">
        <v>4.17</v>
      </c>
      <c r="F2" s="4">
        <v>1267.3699999999999</v>
      </c>
      <c r="G2" s="4">
        <v>14519100</v>
      </c>
      <c r="H2" s="4">
        <v>110.354159360789</v>
      </c>
      <c r="K2" s="1"/>
      <c r="L2" t="s">
        <v>12</v>
      </c>
      <c r="M2" t="s">
        <v>15</v>
      </c>
      <c r="N2">
        <v>7</v>
      </c>
      <c r="R2">
        <v>0</v>
      </c>
      <c r="S2">
        <v>17795000</v>
      </c>
      <c r="U2">
        <f t="shared" ref="U2:U5" si="0">S2/$S$2</f>
        <v>1</v>
      </c>
    </row>
    <row r="3" spans="1:24" x14ac:dyDescent="0.75">
      <c r="A3" s="3">
        <v>45554</v>
      </c>
      <c r="B3" s="4" t="s">
        <v>12</v>
      </c>
      <c r="C3" s="4" t="s">
        <v>8</v>
      </c>
      <c r="D3" s="4">
        <v>2.68</v>
      </c>
      <c r="E3" s="4">
        <v>4.21</v>
      </c>
      <c r="F3" s="4">
        <v>2467.91</v>
      </c>
      <c r="G3" s="4">
        <v>10249400</v>
      </c>
      <c r="H3" s="4">
        <v>110.354159360789</v>
      </c>
      <c r="K3" s="1"/>
      <c r="L3" t="s">
        <v>12</v>
      </c>
      <c r="M3" t="s">
        <v>9</v>
      </c>
      <c r="N3">
        <v>6.1</v>
      </c>
      <c r="O3">
        <v>4.01</v>
      </c>
      <c r="Q3">
        <v>4.3899999999999997</v>
      </c>
      <c r="R3">
        <v>1267.3699999999999</v>
      </c>
      <c r="S3">
        <v>14519100</v>
      </c>
      <c r="T3">
        <f>$S$2-S3</f>
        <v>3275900</v>
      </c>
      <c r="U3">
        <f t="shared" si="0"/>
        <v>0.81590896319190787</v>
      </c>
      <c r="V3">
        <f>T3/$S$2</f>
        <v>0.18409103680809216</v>
      </c>
    </row>
    <row r="4" spans="1:24" x14ac:dyDescent="0.75">
      <c r="A4" s="3">
        <v>45554</v>
      </c>
      <c r="B4" s="4" t="s">
        <v>12</v>
      </c>
      <c r="C4" s="4" t="s">
        <v>10</v>
      </c>
      <c r="D4" s="4">
        <v>0.67</v>
      </c>
      <c r="E4" s="4">
        <v>3.73</v>
      </c>
      <c r="F4" s="4">
        <v>4497.8599999999997</v>
      </c>
      <c r="G4" s="4">
        <v>1812340</v>
      </c>
      <c r="H4" s="4">
        <v>110.354159360789</v>
      </c>
      <c r="K4" s="1"/>
      <c r="L4" t="s">
        <v>12</v>
      </c>
      <c r="M4" t="s">
        <v>8</v>
      </c>
      <c r="N4">
        <v>6.04</v>
      </c>
      <c r="O4">
        <v>2.68</v>
      </c>
      <c r="P4">
        <v>6.12</v>
      </c>
      <c r="Q4">
        <v>4.41</v>
      </c>
      <c r="R4">
        <v>2467.91</v>
      </c>
      <c r="T4">
        <f t="shared" ref="T4:T5" si="1">$S$2-S4</f>
        <v>17795000</v>
      </c>
      <c r="U4">
        <f t="shared" si="0"/>
        <v>0</v>
      </c>
    </row>
    <row r="5" spans="1:24" x14ac:dyDescent="0.75">
      <c r="A5" s="3">
        <v>45554</v>
      </c>
      <c r="B5" s="4" t="s">
        <v>12</v>
      </c>
      <c r="C5" s="4" t="s">
        <v>11</v>
      </c>
      <c r="D5" s="4">
        <v>0.6</v>
      </c>
      <c r="E5" s="4">
        <v>3.75</v>
      </c>
      <c r="F5" s="4">
        <v>6130.37</v>
      </c>
      <c r="G5" s="4">
        <v>138375</v>
      </c>
      <c r="H5" s="4">
        <v>110.354159360789</v>
      </c>
      <c r="K5" s="1"/>
      <c r="L5" t="s">
        <v>12</v>
      </c>
      <c r="M5" t="s">
        <v>10</v>
      </c>
      <c r="N5">
        <v>3.68</v>
      </c>
      <c r="O5">
        <v>0.67</v>
      </c>
      <c r="P5">
        <v>3.19</v>
      </c>
      <c r="Q5">
        <v>1.65</v>
      </c>
      <c r="R5">
        <v>4497.8599999999997</v>
      </c>
      <c r="S5">
        <v>1812340</v>
      </c>
      <c r="T5">
        <f t="shared" si="1"/>
        <v>15982660</v>
      </c>
      <c r="U5">
        <f t="shared" si="0"/>
        <v>0.10184546220848553</v>
      </c>
      <c r="V5">
        <f t="shared" ref="V5" si="2">T5/$S$2</f>
        <v>0.89815453779151444</v>
      </c>
    </row>
    <row r="6" spans="1:24" x14ac:dyDescent="0.75">
      <c r="A6" s="1">
        <v>45708</v>
      </c>
      <c r="B6" t="s">
        <v>12</v>
      </c>
      <c r="C6" t="s">
        <v>15</v>
      </c>
      <c r="D6">
        <v>7</v>
      </c>
      <c r="E6">
        <v>5.55</v>
      </c>
      <c r="F6">
        <v>0</v>
      </c>
      <c r="G6">
        <v>17795000</v>
      </c>
      <c r="H6">
        <v>95.954546094173494</v>
      </c>
      <c r="K6" s="1"/>
      <c r="L6" t="s">
        <v>12</v>
      </c>
      <c r="M6" t="s">
        <v>11</v>
      </c>
      <c r="N6">
        <v>5.8</v>
      </c>
      <c r="O6">
        <v>0.6</v>
      </c>
      <c r="P6">
        <v>3.96</v>
      </c>
      <c r="Q6">
        <v>1.52</v>
      </c>
      <c r="R6">
        <v>6130.37</v>
      </c>
      <c r="S6">
        <v>200548</v>
      </c>
      <c r="T6">
        <f>$S$2-S6</f>
        <v>17594452</v>
      </c>
      <c r="U6">
        <f>S6/$S$2</f>
        <v>1.1269907277325091E-2</v>
      </c>
      <c r="V6">
        <f>T6/$S$2</f>
        <v>0.98873009272267487</v>
      </c>
    </row>
    <row r="7" spans="1:24" x14ac:dyDescent="0.75">
      <c r="A7" s="1">
        <v>45708</v>
      </c>
      <c r="B7" t="s">
        <v>12</v>
      </c>
      <c r="C7" t="s">
        <v>9</v>
      </c>
      <c r="D7">
        <v>6.1</v>
      </c>
      <c r="E7">
        <v>4.72</v>
      </c>
      <c r="F7">
        <v>1267.3699999999999</v>
      </c>
      <c r="G7">
        <v>14519100</v>
      </c>
      <c r="H7">
        <v>95.954546094173494</v>
      </c>
    </row>
    <row r="8" spans="1:24" x14ac:dyDescent="0.75">
      <c r="A8" s="1">
        <v>45708</v>
      </c>
      <c r="B8" t="s">
        <v>12</v>
      </c>
      <c r="C8" t="s">
        <v>8</v>
      </c>
      <c r="D8">
        <v>6.04</v>
      </c>
      <c r="E8">
        <v>4.67</v>
      </c>
      <c r="F8">
        <v>2467.91</v>
      </c>
      <c r="G8">
        <v>10249400</v>
      </c>
      <c r="H8">
        <v>95.954546094173494</v>
      </c>
      <c r="K8" s="1"/>
      <c r="L8" s="7" t="s">
        <v>21</v>
      </c>
      <c r="M8" s="8" t="s">
        <v>28</v>
      </c>
      <c r="O8" t="s">
        <v>21</v>
      </c>
      <c r="P8" s="6" t="s">
        <v>25</v>
      </c>
      <c r="S8" t="s">
        <v>21</v>
      </c>
      <c r="U8" s="6" t="s">
        <v>24</v>
      </c>
      <c r="W8" t="s">
        <v>21</v>
      </c>
      <c r="X8" s="6" t="s">
        <v>27</v>
      </c>
    </row>
    <row r="9" spans="1:24" x14ac:dyDescent="0.75">
      <c r="A9" s="1">
        <v>45708</v>
      </c>
      <c r="B9" t="s">
        <v>12</v>
      </c>
      <c r="C9" t="s">
        <v>10</v>
      </c>
      <c r="D9">
        <v>3.68</v>
      </c>
      <c r="E9">
        <v>3.8</v>
      </c>
      <c r="F9">
        <v>4497.8599999999997</v>
      </c>
      <c r="G9">
        <v>1812340</v>
      </c>
      <c r="H9">
        <v>95.954546094173494</v>
      </c>
      <c r="J9" t="s">
        <v>12</v>
      </c>
      <c r="K9" t="s">
        <v>15</v>
      </c>
      <c r="L9" s="7">
        <f>$U2*$H$2</f>
        <v>110.354159360789</v>
      </c>
      <c r="M9" s="7">
        <v>5.1100000000000003</v>
      </c>
      <c r="O9">
        <f>$U2*$H$11</f>
        <v>163.31096051543099</v>
      </c>
      <c r="S9">
        <f>$U2*$H$6</f>
        <v>95.954546094173494</v>
      </c>
      <c r="U9">
        <v>7</v>
      </c>
      <c r="W9">
        <f>$U2*$H$14</f>
        <v>154.84053801825601</v>
      </c>
      <c r="X9">
        <v>4.7699999999999996</v>
      </c>
    </row>
    <row r="10" spans="1:24" x14ac:dyDescent="0.75">
      <c r="A10" s="1">
        <v>45708</v>
      </c>
      <c r="B10" t="s">
        <v>12</v>
      </c>
      <c r="C10" t="s">
        <v>11</v>
      </c>
      <c r="D10">
        <v>5.8</v>
      </c>
      <c r="E10">
        <v>5.47</v>
      </c>
      <c r="F10">
        <v>6130.37</v>
      </c>
      <c r="G10">
        <v>138375</v>
      </c>
      <c r="H10">
        <v>95.954546094173494</v>
      </c>
      <c r="J10" t="s">
        <v>12</v>
      </c>
      <c r="K10" t="s">
        <v>9</v>
      </c>
      <c r="L10" s="7">
        <f>$U3*$H$2</f>
        <v>90.038947747975925</v>
      </c>
      <c r="M10" s="7">
        <v>4.01</v>
      </c>
      <c r="O10">
        <f>$U3*$H$11</f>
        <v>133.24687647201989</v>
      </c>
      <c r="S10">
        <f>$U3*$H$6</f>
        <v>78.290174217247227</v>
      </c>
      <c r="U10">
        <v>6.1</v>
      </c>
      <c r="W10">
        <f>$U3*$H$14</f>
        <v>126.33578283455246</v>
      </c>
      <c r="X10">
        <v>4.3899999999999997</v>
      </c>
    </row>
    <row r="11" spans="1:24" x14ac:dyDescent="0.75">
      <c r="A11" s="3">
        <v>45727</v>
      </c>
      <c r="B11" s="4" t="s">
        <v>12</v>
      </c>
      <c r="C11" s="4" t="s">
        <v>8</v>
      </c>
      <c r="D11" s="4">
        <v>6.12</v>
      </c>
      <c r="E11" s="4">
        <v>4.1500000000000004</v>
      </c>
      <c r="F11" s="4">
        <v>2467.91</v>
      </c>
      <c r="G11" s="4">
        <v>10249400</v>
      </c>
      <c r="H11" s="4">
        <v>163.31096051543099</v>
      </c>
      <c r="J11" t="s">
        <v>12</v>
      </c>
      <c r="K11" t="s">
        <v>8</v>
      </c>
      <c r="L11" s="7">
        <f>$U4*$H$2</f>
        <v>0</v>
      </c>
      <c r="M11" s="7">
        <v>2.68</v>
      </c>
      <c r="O11">
        <f>$U4*$H$11</f>
        <v>0</v>
      </c>
      <c r="P11">
        <v>6.12</v>
      </c>
      <c r="S11">
        <f>$U4*$H$6</f>
        <v>0</v>
      </c>
      <c r="U11">
        <v>6.04</v>
      </c>
      <c r="W11">
        <f>$U4*$H$14</f>
        <v>0</v>
      </c>
      <c r="X11">
        <v>4.41</v>
      </c>
    </row>
    <row r="12" spans="1:24" x14ac:dyDescent="0.75">
      <c r="A12" s="3">
        <v>45727</v>
      </c>
      <c r="B12" s="4" t="s">
        <v>12</v>
      </c>
      <c r="C12" s="4" t="s">
        <v>10</v>
      </c>
      <c r="D12" s="4">
        <v>3.19</v>
      </c>
      <c r="E12" s="4">
        <v>3.66</v>
      </c>
      <c r="F12" s="4">
        <v>4497.8599999999997</v>
      </c>
      <c r="G12" s="4">
        <v>1812340</v>
      </c>
      <c r="H12" s="4">
        <v>163.31096051543099</v>
      </c>
      <c r="J12" t="s">
        <v>12</v>
      </c>
      <c r="K12" t="s">
        <v>10</v>
      </c>
      <c r="L12" s="7">
        <f>$U5*$H$2</f>
        <v>11.239070366728425</v>
      </c>
      <c r="M12" s="7">
        <v>0.67</v>
      </c>
      <c r="O12">
        <f>$U5*$H$11</f>
        <v>16.632480257405799</v>
      </c>
      <c r="P12">
        <v>3.19</v>
      </c>
      <c r="S12">
        <f>$U5*$H$6</f>
        <v>9.7725350979665304</v>
      </c>
      <c r="U12">
        <v>3.68</v>
      </c>
      <c r="W12">
        <f>$U5*$H$14</f>
        <v>15.76980616307986</v>
      </c>
      <c r="X12">
        <v>1.65</v>
      </c>
    </row>
    <row r="13" spans="1:24" x14ac:dyDescent="0.75">
      <c r="A13" s="3">
        <v>45727</v>
      </c>
      <c r="B13" s="4" t="s">
        <v>12</v>
      </c>
      <c r="C13" s="4" t="s">
        <v>11</v>
      </c>
      <c r="D13" s="4">
        <v>3.96</v>
      </c>
      <c r="E13" s="4">
        <v>3.72</v>
      </c>
      <c r="F13" s="4">
        <v>6130.37</v>
      </c>
      <c r="G13" s="4">
        <v>138375</v>
      </c>
      <c r="H13" s="4">
        <v>163.31096051543099</v>
      </c>
      <c r="J13" t="s">
        <v>12</v>
      </c>
      <c r="K13" t="s">
        <v>11</v>
      </c>
      <c r="L13" s="7">
        <f>$U6*$H$2</f>
        <v>1.2436811436632487</v>
      </c>
      <c r="M13" s="7">
        <v>0.6</v>
      </c>
      <c r="O13">
        <f>$U6*$H$11</f>
        <v>1.8404993823798064</v>
      </c>
      <c r="P13">
        <v>3.96</v>
      </c>
      <c r="S13">
        <f>$U6*$H$6</f>
        <v>1.0813988373191517</v>
      </c>
      <c r="U13">
        <v>5.8</v>
      </c>
      <c r="W13">
        <f>$U6*$H$14</f>
        <v>1.7450385062368758</v>
      </c>
      <c r="X13">
        <v>1.52</v>
      </c>
    </row>
    <row r="14" spans="1:24" x14ac:dyDescent="0.75">
      <c r="A14" s="1">
        <v>45749</v>
      </c>
      <c r="B14" t="s">
        <v>12</v>
      </c>
      <c r="C14" t="s">
        <v>9</v>
      </c>
      <c r="D14">
        <v>4.3899999999999997</v>
      </c>
      <c r="E14">
        <v>4.3099999999999996</v>
      </c>
      <c r="F14">
        <v>1267.3699999999999</v>
      </c>
      <c r="G14">
        <v>14519100</v>
      </c>
      <c r="H14">
        <v>154.84053801825601</v>
      </c>
    </row>
    <row r="15" spans="1:24" x14ac:dyDescent="0.75">
      <c r="A15" s="1">
        <v>45749</v>
      </c>
      <c r="B15" t="s">
        <v>12</v>
      </c>
      <c r="C15" t="s">
        <v>8</v>
      </c>
      <c r="D15">
        <v>4.41</v>
      </c>
      <c r="E15">
        <v>4.17</v>
      </c>
      <c r="F15">
        <v>2467.91</v>
      </c>
      <c r="G15">
        <v>10249400</v>
      </c>
      <c r="H15">
        <v>154.84053801825601</v>
      </c>
    </row>
    <row r="16" spans="1:24" x14ac:dyDescent="0.75">
      <c r="A16" s="1">
        <v>45749</v>
      </c>
      <c r="B16" t="s">
        <v>12</v>
      </c>
      <c r="C16" t="s">
        <v>10</v>
      </c>
      <c r="D16">
        <v>1.65</v>
      </c>
      <c r="E16">
        <v>3.78</v>
      </c>
      <c r="F16">
        <v>4497.8599999999997</v>
      </c>
      <c r="G16">
        <v>1812340</v>
      </c>
      <c r="H16">
        <v>154.84053801825601</v>
      </c>
    </row>
    <row r="17" spans="1:18" x14ac:dyDescent="0.75">
      <c r="A17" s="1">
        <v>45749</v>
      </c>
      <c r="B17" t="s">
        <v>12</v>
      </c>
      <c r="C17" t="s">
        <v>11</v>
      </c>
      <c r="D17">
        <v>1.52</v>
      </c>
      <c r="E17">
        <v>4.01</v>
      </c>
      <c r="F17">
        <v>6130.37</v>
      </c>
      <c r="G17">
        <v>138375</v>
      </c>
      <c r="H17">
        <v>154.84053801825601</v>
      </c>
    </row>
    <row r="25" spans="1:18" x14ac:dyDescent="0.75">
      <c r="R25" t="s">
        <v>22</v>
      </c>
    </row>
    <row r="31" spans="1:18" x14ac:dyDescent="0.75">
      <c r="I31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33DFE-17D7-41AE-9077-36D7A41FD6EB}">
  <dimension ref="A1:D6"/>
  <sheetViews>
    <sheetView workbookViewId="0">
      <selection sqref="A1:D6"/>
    </sheetView>
  </sheetViews>
  <sheetFormatPr defaultRowHeight="14.75" x14ac:dyDescent="0.75"/>
  <cols>
    <col min="1" max="1" width="8.6796875" bestFit="1" customWidth="1"/>
    <col min="2" max="2" width="12.58984375" bestFit="1" customWidth="1"/>
    <col min="3" max="3" width="13.6796875" bestFit="1" customWidth="1"/>
  </cols>
  <sheetData>
    <row r="1" spans="1:4" x14ac:dyDescent="0.75">
      <c r="A1" t="s">
        <v>70</v>
      </c>
      <c r="B1" t="s">
        <v>71</v>
      </c>
      <c r="C1" t="s">
        <v>68</v>
      </c>
      <c r="D1" t="s">
        <v>72</v>
      </c>
    </row>
    <row r="2" spans="1:4" x14ac:dyDescent="0.75">
      <c r="A2">
        <v>17795000</v>
      </c>
      <c r="B2">
        <v>0</v>
      </c>
    </row>
    <row r="3" spans="1:4" x14ac:dyDescent="0.75">
      <c r="A3">
        <v>14519100</v>
      </c>
      <c r="B3">
        <v>1267.3699999999999</v>
      </c>
      <c r="C3">
        <f>$A$2-A3</f>
        <v>3275900</v>
      </c>
      <c r="D3">
        <f>C3/$A$2</f>
        <v>0.18409103680809216</v>
      </c>
    </row>
    <row r="4" spans="1:4" x14ac:dyDescent="0.75">
      <c r="A4">
        <v>10249400</v>
      </c>
      <c r="B4">
        <v>2467.91</v>
      </c>
      <c r="C4">
        <f t="shared" ref="C4:C6" si="0">$A$2-A4</f>
        <v>7545600</v>
      </c>
      <c r="D4">
        <f t="shared" ref="D4:D6" si="1">C4/$A$2</f>
        <v>0.42402922169148638</v>
      </c>
    </row>
    <row r="5" spans="1:4" x14ac:dyDescent="0.75">
      <c r="A5">
        <v>1812340</v>
      </c>
      <c r="B5">
        <v>4497.8599999999997</v>
      </c>
      <c r="C5">
        <f t="shared" si="0"/>
        <v>15982660</v>
      </c>
      <c r="D5">
        <f t="shared" si="1"/>
        <v>0.89815453779151444</v>
      </c>
    </row>
    <row r="6" spans="1:4" x14ac:dyDescent="0.75">
      <c r="A6">
        <v>138375</v>
      </c>
      <c r="B6">
        <v>6130.37</v>
      </c>
      <c r="C6">
        <f t="shared" si="0"/>
        <v>17656625</v>
      </c>
      <c r="D6">
        <f t="shared" si="1"/>
        <v>0.9922239393087946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B5E58-BD10-4113-A538-64E594317AC5}">
  <dimension ref="A1:U19"/>
  <sheetViews>
    <sheetView tabSelected="1" topLeftCell="L1" workbookViewId="0">
      <selection activeCell="Q2" sqref="Q2:Q6"/>
    </sheetView>
  </sheetViews>
  <sheetFormatPr defaultRowHeight="14.75" x14ac:dyDescent="0.75"/>
  <cols>
    <col min="1" max="1" width="10.26953125" bestFit="1" customWidth="1"/>
    <col min="12" max="15" width="10.26953125" bestFit="1" customWidth="1"/>
    <col min="16" max="16" width="11.54296875" bestFit="1" customWidth="1"/>
    <col min="17" max="17" width="10.26953125" bestFit="1" customWidth="1"/>
    <col min="18" max="18" width="19.6796875" bestFit="1" customWidth="1"/>
    <col min="21" max="21" width="9.26953125" bestFit="1" customWidth="1"/>
  </cols>
  <sheetData>
    <row r="1" spans="1:21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L1" s="1">
        <v>45727</v>
      </c>
      <c r="M1" s="1">
        <v>45708</v>
      </c>
      <c r="N1" s="1">
        <v>45638</v>
      </c>
      <c r="O1" s="1">
        <v>45554</v>
      </c>
      <c r="P1" t="s">
        <v>6</v>
      </c>
      <c r="Q1" t="s">
        <v>5</v>
      </c>
      <c r="R1" t="s">
        <v>73</v>
      </c>
      <c r="S1" t="s">
        <v>18</v>
      </c>
    </row>
    <row r="2" spans="1:21" x14ac:dyDescent="0.75">
      <c r="A2" s="1">
        <v>45554</v>
      </c>
      <c r="B2" t="s">
        <v>16</v>
      </c>
      <c r="C2" t="s">
        <v>9</v>
      </c>
      <c r="D2">
        <v>1.2</v>
      </c>
      <c r="E2">
        <v>3.57</v>
      </c>
      <c r="F2">
        <v>904.88</v>
      </c>
      <c r="G2">
        <v>19268200</v>
      </c>
      <c r="H2">
        <v>100.03049449091</v>
      </c>
      <c r="J2" t="s">
        <v>16</v>
      </c>
      <c r="K2" t="s">
        <v>15</v>
      </c>
      <c r="L2">
        <v>6.37</v>
      </c>
      <c r="M2">
        <v>7.22</v>
      </c>
      <c r="P2">
        <v>19864100</v>
      </c>
      <c r="Q2">
        <v>0</v>
      </c>
    </row>
    <row r="3" spans="1:21" x14ac:dyDescent="0.75">
      <c r="A3" s="1">
        <v>45554</v>
      </c>
      <c r="B3" t="s">
        <v>16</v>
      </c>
      <c r="C3" t="s">
        <v>8</v>
      </c>
      <c r="D3">
        <v>0.38</v>
      </c>
      <c r="E3">
        <v>3.76</v>
      </c>
      <c r="F3">
        <v>2002.8</v>
      </c>
      <c r="G3">
        <v>5821280</v>
      </c>
      <c r="H3">
        <v>100.03049449091</v>
      </c>
      <c r="J3" t="s">
        <v>16</v>
      </c>
      <c r="K3" t="s">
        <v>9</v>
      </c>
      <c r="L3">
        <v>3.77</v>
      </c>
      <c r="M3">
        <v>4.9000000000000004</v>
      </c>
      <c r="N3">
        <v>4.0599999999999996</v>
      </c>
      <c r="O3">
        <v>1.2</v>
      </c>
      <c r="P3">
        <v>19268200</v>
      </c>
      <c r="Q3">
        <v>904.88</v>
      </c>
      <c r="R3">
        <f>$P$2-P3</f>
        <v>595900</v>
      </c>
      <c r="S3">
        <f>R3/$P$2</f>
        <v>2.9998842132288903E-2</v>
      </c>
    </row>
    <row r="4" spans="1:21" x14ac:dyDescent="0.75">
      <c r="A4" s="1">
        <v>45554</v>
      </c>
      <c r="B4" t="s">
        <v>16</v>
      </c>
      <c r="C4" t="s">
        <v>10</v>
      </c>
      <c r="D4">
        <v>0.36</v>
      </c>
      <c r="E4">
        <v>3.81</v>
      </c>
      <c r="F4">
        <v>3140.96</v>
      </c>
      <c r="G4">
        <v>1960760</v>
      </c>
      <c r="H4">
        <v>100.03049449091</v>
      </c>
      <c r="J4" t="s">
        <v>16</v>
      </c>
      <c r="K4" t="s">
        <v>8</v>
      </c>
      <c r="L4">
        <v>3.04</v>
      </c>
      <c r="M4">
        <v>3.16</v>
      </c>
      <c r="N4">
        <v>3.7</v>
      </c>
      <c r="O4">
        <v>0.38</v>
      </c>
      <c r="P4">
        <v>5821280</v>
      </c>
      <c r="Q4">
        <v>2002.8</v>
      </c>
      <c r="R4">
        <f t="shared" ref="R4:R6" si="0">$P$2-P4</f>
        <v>14042820</v>
      </c>
      <c r="S4">
        <f t="shared" ref="S4:S6" si="1">R4/$P$2</f>
        <v>0.70694468916286168</v>
      </c>
    </row>
    <row r="5" spans="1:21" x14ac:dyDescent="0.75">
      <c r="A5" s="1">
        <v>45554</v>
      </c>
      <c r="B5" t="s">
        <v>16</v>
      </c>
      <c r="C5" t="s">
        <v>11</v>
      </c>
      <c r="F5">
        <v>8475.9599999999991</v>
      </c>
      <c r="G5">
        <v>262193</v>
      </c>
      <c r="H5">
        <v>100.03049449091</v>
      </c>
      <c r="J5" t="s">
        <v>16</v>
      </c>
      <c r="K5" t="s">
        <v>10</v>
      </c>
      <c r="L5">
        <v>1.99</v>
      </c>
      <c r="M5">
        <v>1.52</v>
      </c>
      <c r="N5">
        <v>3.04</v>
      </c>
      <c r="O5">
        <v>0.36</v>
      </c>
      <c r="P5">
        <v>1960760</v>
      </c>
      <c r="Q5">
        <v>3140.96</v>
      </c>
      <c r="R5">
        <f t="shared" si="0"/>
        <v>17903340</v>
      </c>
      <c r="S5">
        <f t="shared" si="1"/>
        <v>0.90129127420824506</v>
      </c>
    </row>
    <row r="6" spans="1:21" x14ac:dyDescent="0.75">
      <c r="A6" s="3">
        <v>45638</v>
      </c>
      <c r="B6" s="4" t="s">
        <v>16</v>
      </c>
      <c r="C6" s="4" t="s">
        <v>9</v>
      </c>
      <c r="D6" s="4">
        <v>4.0599999999999996</v>
      </c>
      <c r="E6" s="4">
        <v>3.6</v>
      </c>
      <c r="F6" s="4">
        <v>904.88</v>
      </c>
      <c r="G6" s="4">
        <v>19268200</v>
      </c>
      <c r="H6" s="4">
        <v>5.30642319963549</v>
      </c>
      <c r="J6" t="s">
        <v>16</v>
      </c>
      <c r="K6" t="s">
        <v>11</v>
      </c>
      <c r="L6">
        <v>8.9</v>
      </c>
      <c r="M6">
        <v>1.1100000000000001</v>
      </c>
      <c r="N6">
        <v>2.54</v>
      </c>
      <c r="P6">
        <v>262193</v>
      </c>
      <c r="Q6">
        <v>8475.9599999999991</v>
      </c>
      <c r="R6">
        <f t="shared" si="0"/>
        <v>19601907</v>
      </c>
      <c r="S6">
        <f t="shared" si="1"/>
        <v>0.98680066048801607</v>
      </c>
    </row>
    <row r="7" spans="1:21" x14ac:dyDescent="0.75">
      <c r="A7" s="3">
        <v>45638</v>
      </c>
      <c r="B7" s="4" t="s">
        <v>16</v>
      </c>
      <c r="C7" s="4" t="s">
        <v>8</v>
      </c>
      <c r="D7" s="4">
        <v>3.7</v>
      </c>
      <c r="E7" s="4">
        <v>4.0199999999999996</v>
      </c>
      <c r="F7" s="4">
        <v>2002.8</v>
      </c>
      <c r="G7" s="4">
        <v>5821280</v>
      </c>
      <c r="H7" s="4">
        <v>5.30642319963549</v>
      </c>
    </row>
    <row r="8" spans="1:21" x14ac:dyDescent="0.75">
      <c r="A8" s="3">
        <v>45638</v>
      </c>
      <c r="B8" s="4" t="s">
        <v>16</v>
      </c>
      <c r="C8" s="4" t="s">
        <v>10</v>
      </c>
      <c r="D8" s="4">
        <v>3.04</v>
      </c>
      <c r="E8" s="4">
        <v>4.5199999999999996</v>
      </c>
      <c r="F8" s="4">
        <v>3140.96</v>
      </c>
      <c r="G8" s="4">
        <v>1960760</v>
      </c>
      <c r="H8" s="4">
        <v>5.30642319963549</v>
      </c>
      <c r="J8" t="s">
        <v>21</v>
      </c>
      <c r="K8" t="s">
        <v>26</v>
      </c>
      <c r="M8" t="s">
        <v>21</v>
      </c>
      <c r="N8" s="6" t="s">
        <v>23</v>
      </c>
      <c r="P8" t="s">
        <v>21</v>
      </c>
      <c r="Q8" s="2" t="s">
        <v>24</v>
      </c>
      <c r="R8" s="2"/>
      <c r="T8" t="s">
        <v>21</v>
      </c>
      <c r="U8" s="6" t="s">
        <v>25</v>
      </c>
    </row>
    <row r="9" spans="1:21" x14ac:dyDescent="0.75">
      <c r="A9" s="3">
        <v>45638</v>
      </c>
      <c r="B9" s="4" t="s">
        <v>16</v>
      </c>
      <c r="C9" s="4" t="s">
        <v>11</v>
      </c>
      <c r="D9" s="4">
        <v>2.54</v>
      </c>
      <c r="E9" s="4">
        <v>4.5599999999999996</v>
      </c>
      <c r="F9" s="4">
        <v>8475.9599999999991</v>
      </c>
      <c r="G9" s="4">
        <v>262193</v>
      </c>
      <c r="H9" s="4">
        <v>5.30642319963549</v>
      </c>
      <c r="I9" t="s">
        <v>15</v>
      </c>
      <c r="J9">
        <f>$S2*$H$2</f>
        <v>0</v>
      </c>
      <c r="M9">
        <f>$S2*$H$6</f>
        <v>0</v>
      </c>
      <c r="P9">
        <f>$S2*$H$10</f>
        <v>0</v>
      </c>
      <c r="Q9">
        <v>7.22</v>
      </c>
      <c r="T9">
        <f>$S2*$H$15</f>
        <v>0</v>
      </c>
      <c r="U9">
        <v>6.37</v>
      </c>
    </row>
    <row r="10" spans="1:21" x14ac:dyDescent="0.75">
      <c r="A10" s="1">
        <v>45708</v>
      </c>
      <c r="B10" t="s">
        <v>16</v>
      </c>
      <c r="C10" t="s">
        <v>15</v>
      </c>
      <c r="D10">
        <v>7.22</v>
      </c>
      <c r="E10">
        <v>3.71</v>
      </c>
      <c r="F10">
        <v>0</v>
      </c>
      <c r="G10">
        <v>19864100</v>
      </c>
      <c r="H10">
        <v>37.743591811441398</v>
      </c>
      <c r="I10" t="s">
        <v>9</v>
      </c>
      <c r="J10">
        <f t="shared" ref="J10:J13" si="2">$S3*$H$2</f>
        <v>3.0007990126476041</v>
      </c>
      <c r="K10">
        <v>1.2</v>
      </c>
      <c r="M10">
        <f t="shared" ref="M10:M13" si="3">$S3*$H$6</f>
        <v>0.15918655185298042</v>
      </c>
      <c r="N10">
        <v>4.0599999999999996</v>
      </c>
      <c r="P10">
        <f t="shared" ref="P10:P12" si="4">$S3*$H$10</f>
        <v>1.1322640522569827</v>
      </c>
      <c r="Q10">
        <v>4.9000000000000004</v>
      </c>
      <c r="T10">
        <f t="shared" ref="T10:T13" si="5">$S3*$H$15</f>
        <v>2.0603199323326855</v>
      </c>
      <c r="U10">
        <v>3.77</v>
      </c>
    </row>
    <row r="11" spans="1:21" x14ac:dyDescent="0.75">
      <c r="A11" s="1">
        <v>45708</v>
      </c>
      <c r="B11" t="s">
        <v>16</v>
      </c>
      <c r="C11" t="s">
        <v>9</v>
      </c>
      <c r="D11">
        <v>4.9000000000000004</v>
      </c>
      <c r="E11">
        <v>3.73</v>
      </c>
      <c r="F11">
        <v>904.88</v>
      </c>
      <c r="G11">
        <v>19268200</v>
      </c>
      <c r="H11">
        <v>37.743591811441398</v>
      </c>
      <c r="I11" t="s">
        <v>8</v>
      </c>
      <c r="J11">
        <f t="shared" si="2"/>
        <v>70.716026834683717</v>
      </c>
      <c r="K11">
        <v>0.38</v>
      </c>
      <c r="M11">
        <f t="shared" si="3"/>
        <v>3.7513476994329094</v>
      </c>
      <c r="N11">
        <v>3.7</v>
      </c>
      <c r="P11">
        <f t="shared" si="4"/>
        <v>26.682631781029372</v>
      </c>
      <c r="Q11">
        <v>3.16</v>
      </c>
      <c r="T11">
        <f t="shared" si="5"/>
        <v>48.552948401007015</v>
      </c>
      <c r="U11">
        <v>3.04</v>
      </c>
    </row>
    <row r="12" spans="1:21" x14ac:dyDescent="0.75">
      <c r="A12" s="1">
        <v>45708</v>
      </c>
      <c r="B12" t="s">
        <v>16</v>
      </c>
      <c r="C12" t="s">
        <v>8</v>
      </c>
      <c r="D12">
        <v>3.16</v>
      </c>
      <c r="E12">
        <v>3.86</v>
      </c>
      <c r="F12">
        <v>2002.8</v>
      </c>
      <c r="G12">
        <v>5821280</v>
      </c>
      <c r="H12">
        <v>37.743591811441398</v>
      </c>
      <c r="I12" t="s">
        <v>10</v>
      </c>
      <c r="J12">
        <f t="shared" si="2"/>
        <v>90.156611839393108</v>
      </c>
      <c r="K12">
        <v>0.36</v>
      </c>
      <c r="M12">
        <f t="shared" si="3"/>
        <v>4.782632927087664</v>
      </c>
      <c r="N12">
        <v>3.04</v>
      </c>
      <c r="P12">
        <f t="shared" si="4"/>
        <v>34.017969956929903</v>
      </c>
      <c r="Q12">
        <v>1.52</v>
      </c>
      <c r="T12">
        <f t="shared" si="5"/>
        <v>61.900668329130831</v>
      </c>
      <c r="U12">
        <v>1.99</v>
      </c>
    </row>
    <row r="13" spans="1:21" x14ac:dyDescent="0.75">
      <c r="A13" s="1">
        <v>45708</v>
      </c>
      <c r="B13" t="s">
        <v>16</v>
      </c>
      <c r="C13" t="s">
        <v>10</v>
      </c>
      <c r="D13">
        <v>1.52</v>
      </c>
      <c r="E13">
        <v>3.97</v>
      </c>
      <c r="F13">
        <v>3140.96</v>
      </c>
      <c r="G13">
        <v>1960760</v>
      </c>
      <c r="H13">
        <v>37.743591811441398</v>
      </c>
      <c r="I13" t="s">
        <v>11</v>
      </c>
      <c r="J13">
        <f t="shared" si="2"/>
        <v>98.710158032572849</v>
      </c>
      <c r="M13">
        <f t="shared" si="3"/>
        <v>5.2363819182292328</v>
      </c>
      <c r="N13">
        <v>2.54</v>
      </c>
      <c r="P13">
        <f>$S6*$H$10</f>
        <v>37.245401328720448</v>
      </c>
      <c r="Q13">
        <v>1.1100000000000001</v>
      </c>
      <c r="T13">
        <f t="shared" si="5"/>
        <v>67.773451424453086</v>
      </c>
    </row>
    <row r="14" spans="1:21" x14ac:dyDescent="0.75">
      <c r="A14" s="1">
        <v>45708</v>
      </c>
      <c r="B14" t="s">
        <v>16</v>
      </c>
      <c r="C14" t="s">
        <v>11</v>
      </c>
      <c r="D14">
        <v>1.1100000000000001</v>
      </c>
      <c r="E14">
        <v>5.44</v>
      </c>
      <c r="F14">
        <v>8475.9599999999991</v>
      </c>
      <c r="G14">
        <v>262193</v>
      </c>
      <c r="H14">
        <v>37.743591811441398</v>
      </c>
    </row>
    <row r="15" spans="1:21" x14ac:dyDescent="0.75">
      <c r="A15" s="3">
        <v>45727</v>
      </c>
      <c r="B15" s="4" t="s">
        <v>16</v>
      </c>
      <c r="C15" s="4" t="s">
        <v>15</v>
      </c>
      <c r="D15" s="4">
        <v>6.37</v>
      </c>
      <c r="E15" s="4">
        <v>3.53</v>
      </c>
      <c r="F15" s="4">
        <v>0</v>
      </c>
      <c r="G15" s="4">
        <v>19864100</v>
      </c>
      <c r="H15" s="4">
        <v>68.679981822201199</v>
      </c>
    </row>
    <row r="16" spans="1:21" x14ac:dyDescent="0.75">
      <c r="A16" s="3">
        <v>45727</v>
      </c>
      <c r="B16" s="4" t="s">
        <v>16</v>
      </c>
      <c r="C16" s="4" t="s">
        <v>9</v>
      </c>
      <c r="D16" s="4">
        <v>3.77</v>
      </c>
      <c r="E16" s="4">
        <v>3.54</v>
      </c>
      <c r="F16" s="4">
        <v>904.88</v>
      </c>
      <c r="G16" s="4">
        <v>19268200</v>
      </c>
      <c r="H16" s="4">
        <v>68.679981822201199</v>
      </c>
    </row>
    <row r="17" spans="1:8" x14ac:dyDescent="0.75">
      <c r="A17" s="3">
        <v>45727</v>
      </c>
      <c r="B17" s="4" t="s">
        <v>16</v>
      </c>
      <c r="C17" s="4" t="s">
        <v>8</v>
      </c>
      <c r="D17" s="4">
        <v>3.04</v>
      </c>
      <c r="E17" s="4">
        <v>3.72</v>
      </c>
      <c r="F17" s="4">
        <v>2002.8</v>
      </c>
      <c r="G17" s="4">
        <v>5821280</v>
      </c>
      <c r="H17" s="4">
        <v>68.679981822201199</v>
      </c>
    </row>
    <row r="18" spans="1:8" x14ac:dyDescent="0.75">
      <c r="A18" s="3">
        <v>45727</v>
      </c>
      <c r="B18" s="4" t="s">
        <v>16</v>
      </c>
      <c r="C18" s="4" t="s">
        <v>10</v>
      </c>
      <c r="D18" s="4">
        <v>1.99</v>
      </c>
      <c r="E18" s="4">
        <v>3.61</v>
      </c>
      <c r="F18" s="4">
        <v>3140.96</v>
      </c>
      <c r="G18" s="4">
        <v>1960760</v>
      </c>
      <c r="H18" s="4">
        <v>68.679981822201199</v>
      </c>
    </row>
    <row r="19" spans="1:8" x14ac:dyDescent="0.75">
      <c r="A19" s="3">
        <v>45727</v>
      </c>
      <c r="B19" s="4" t="s">
        <v>16</v>
      </c>
      <c r="C19" s="4" t="s">
        <v>11</v>
      </c>
      <c r="D19" s="4">
        <v>8.9</v>
      </c>
      <c r="E19" s="4">
        <v>5.89</v>
      </c>
      <c r="F19" s="4">
        <v>8475.9599999999991</v>
      </c>
      <c r="G19" s="4">
        <v>262193</v>
      </c>
      <c r="H19" s="4">
        <v>68.679981822201199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C181A-D1D7-48D5-9F7D-DE1BA9F9A99E}">
  <dimension ref="A1:K30"/>
  <sheetViews>
    <sheetView zoomScale="120" zoomScaleNormal="120" workbookViewId="0">
      <selection activeCell="M5" sqref="M5"/>
    </sheetView>
  </sheetViews>
  <sheetFormatPr defaultRowHeight="14.75" x14ac:dyDescent="0.75"/>
  <cols>
    <col min="2" max="2" width="12.40625" bestFit="1" customWidth="1"/>
    <col min="4" max="4" width="17.7265625" bestFit="1" customWidth="1"/>
    <col min="5" max="6" width="7.7265625" customWidth="1"/>
    <col min="7" max="7" width="12.7265625" bestFit="1" customWidth="1"/>
    <col min="8" max="8" width="11.54296875" bestFit="1" customWidth="1"/>
    <col min="10" max="10" width="16.1328125" bestFit="1" customWidth="1"/>
    <col min="11" max="11" width="11.54296875" bestFit="1" customWidth="1"/>
  </cols>
  <sheetData>
    <row r="1" spans="1:11" ht="15.5" thickBot="1" x14ac:dyDescent="0.9">
      <c r="A1" t="s">
        <v>45</v>
      </c>
      <c r="B1" t="s">
        <v>46</v>
      </c>
      <c r="C1" t="s">
        <v>21</v>
      </c>
      <c r="D1" t="s">
        <v>34</v>
      </c>
      <c r="E1" t="s">
        <v>33</v>
      </c>
      <c r="G1" t="s">
        <v>32</v>
      </c>
      <c r="H1" t="s">
        <v>43</v>
      </c>
      <c r="J1" s="9" t="s">
        <v>37</v>
      </c>
    </row>
    <row r="2" spans="1:11" x14ac:dyDescent="0.75">
      <c r="A2">
        <v>3</v>
      </c>
      <c r="B2">
        <v>1</v>
      </c>
      <c r="C2">
        <v>90</v>
      </c>
      <c r="D2">
        <v>6</v>
      </c>
      <c r="E2">
        <v>15000</v>
      </c>
      <c r="G2">
        <v>2.0000000000000001E-4</v>
      </c>
      <c r="H2">
        <v>0.42</v>
      </c>
      <c r="J2" t="s">
        <v>42</v>
      </c>
      <c r="K2">
        <f>G4-D5</f>
        <v>7.33</v>
      </c>
    </row>
    <row r="3" spans="1:11" x14ac:dyDescent="0.75">
      <c r="A3">
        <v>2</v>
      </c>
      <c r="B3">
        <v>2</v>
      </c>
      <c r="C3">
        <v>60</v>
      </c>
      <c r="D3">
        <v>4</v>
      </c>
      <c r="E3">
        <v>10000</v>
      </c>
      <c r="G3" t="s">
        <v>41</v>
      </c>
      <c r="H3" t="s">
        <v>44</v>
      </c>
      <c r="J3" t="s">
        <v>35</v>
      </c>
      <c r="K3">
        <f>G2*C5</f>
        <v>2.0000000000000001E-4</v>
      </c>
    </row>
    <row r="4" spans="1:11" x14ac:dyDescent="0.75">
      <c r="A4">
        <v>1</v>
      </c>
      <c r="B4">
        <v>3</v>
      </c>
      <c r="C4">
        <v>10</v>
      </c>
      <c r="D4">
        <v>2</v>
      </c>
      <c r="E4">
        <v>1000</v>
      </c>
      <c r="G4">
        <v>8</v>
      </c>
      <c r="H4">
        <f>H2*(1/24)*(1/3600)</f>
        <v>4.8611111111111105E-6</v>
      </c>
      <c r="J4" t="s">
        <v>40</v>
      </c>
      <c r="K4">
        <f>H4*K2</f>
        <v>3.5631944444444442E-5</v>
      </c>
    </row>
    <row r="5" spans="1:11" x14ac:dyDescent="0.75">
      <c r="A5">
        <v>0</v>
      </c>
      <c r="B5">
        <v>4</v>
      </c>
      <c r="C5">
        <v>1</v>
      </c>
      <c r="D5">
        <v>0.67</v>
      </c>
      <c r="E5">
        <v>100</v>
      </c>
      <c r="J5" t="s">
        <v>36</v>
      </c>
      <c r="K5">
        <f>(K3/C5)*D5</f>
        <v>1.34E-4</v>
      </c>
    </row>
    <row r="6" spans="1:11" x14ac:dyDescent="0.75">
      <c r="J6" t="s">
        <v>47</v>
      </c>
      <c r="K6">
        <f>K5+K4</f>
        <v>1.6963194444444445E-4</v>
      </c>
    </row>
    <row r="7" spans="1:11" ht="15.5" thickBot="1" x14ac:dyDescent="0.9">
      <c r="E7" t="s">
        <v>49</v>
      </c>
    </row>
    <row r="8" spans="1:11" ht="15.5" thickBot="1" x14ac:dyDescent="0.9">
      <c r="J8" s="10" t="s">
        <v>38</v>
      </c>
    </row>
    <row r="9" spans="1:11" x14ac:dyDescent="0.75">
      <c r="J9" t="s">
        <v>42</v>
      </c>
      <c r="K9">
        <f>$G$4-D4</f>
        <v>6</v>
      </c>
    </row>
    <row r="10" spans="1:11" x14ac:dyDescent="0.75">
      <c r="J10" t="s">
        <v>35</v>
      </c>
      <c r="K10">
        <f>$G$2*C4</f>
        <v>2E-3</v>
      </c>
    </row>
    <row r="11" spans="1:11" x14ac:dyDescent="0.75">
      <c r="J11" t="s">
        <v>40</v>
      </c>
      <c r="K11">
        <f>$H$4*K9</f>
        <v>2.9166666666666663E-5</v>
      </c>
    </row>
    <row r="12" spans="1:11" x14ac:dyDescent="0.75">
      <c r="J12" t="s">
        <v>36</v>
      </c>
      <c r="K12" t="e">
        <f>(K10/E4)*(E7-D4)</f>
        <v>#VALUE!</v>
      </c>
    </row>
    <row r="13" spans="1:11" x14ac:dyDescent="0.75">
      <c r="J13" t="s">
        <v>48</v>
      </c>
      <c r="K13">
        <f>K6</f>
        <v>1.6963194444444445E-4</v>
      </c>
    </row>
    <row r="14" spans="1:11" x14ac:dyDescent="0.75">
      <c r="J14" t="s">
        <v>47</v>
      </c>
      <c r="K14" t="e">
        <f>K13+K12+K11</f>
        <v>#VALUE!</v>
      </c>
    </row>
    <row r="15" spans="1:11" ht="15.5" thickBot="1" x14ac:dyDescent="0.9"/>
    <row r="16" spans="1:11" ht="15.5" thickBot="1" x14ac:dyDescent="0.9">
      <c r="J16" s="10" t="s">
        <v>39</v>
      </c>
    </row>
    <row r="17" spans="10:11" x14ac:dyDescent="0.75">
      <c r="J17" t="s">
        <v>42</v>
      </c>
      <c r="K17">
        <f>$G$4-D3</f>
        <v>4</v>
      </c>
    </row>
    <row r="18" spans="10:11" x14ac:dyDescent="0.75">
      <c r="J18" t="s">
        <v>35</v>
      </c>
      <c r="K18">
        <f>$G$2*C3</f>
        <v>1.2E-2</v>
      </c>
    </row>
    <row r="19" spans="10:11" x14ac:dyDescent="0.75">
      <c r="J19" t="s">
        <v>40</v>
      </c>
      <c r="K19">
        <f>$H$4*K17</f>
        <v>1.9444444444444442E-5</v>
      </c>
    </row>
    <row r="20" spans="10:11" x14ac:dyDescent="0.75">
      <c r="J20" t="s">
        <v>36</v>
      </c>
      <c r="K20" t="e">
        <f>(K18/E3)*(E7-D3)</f>
        <v>#VALUE!</v>
      </c>
    </row>
    <row r="21" spans="10:11" x14ac:dyDescent="0.75">
      <c r="J21" t="s">
        <v>48</v>
      </c>
      <c r="K21" t="e">
        <f>K14</f>
        <v>#VALUE!</v>
      </c>
    </row>
    <row r="22" spans="10:11" x14ac:dyDescent="0.75">
      <c r="J22" t="s">
        <v>47</v>
      </c>
      <c r="K22" t="e">
        <f>K21+K20+K19</f>
        <v>#VALUE!</v>
      </c>
    </row>
    <row r="23" spans="10:11" ht="15.5" thickBot="1" x14ac:dyDescent="0.9"/>
    <row r="24" spans="10:11" ht="15.5" thickBot="1" x14ac:dyDescent="0.9">
      <c r="J24" s="10" t="s">
        <v>50</v>
      </c>
    </row>
    <row r="25" spans="10:11" x14ac:dyDescent="0.75">
      <c r="J25" t="s">
        <v>42</v>
      </c>
      <c r="K25">
        <f>$G$4-D2</f>
        <v>2</v>
      </c>
    </row>
    <row r="26" spans="10:11" x14ac:dyDescent="0.75">
      <c r="J26" t="s">
        <v>35</v>
      </c>
      <c r="K26">
        <f>$G$2*C2</f>
        <v>1.8000000000000002E-2</v>
      </c>
    </row>
    <row r="27" spans="10:11" x14ac:dyDescent="0.75">
      <c r="J27" t="s">
        <v>40</v>
      </c>
      <c r="K27">
        <f>$H$4*K25</f>
        <v>9.722222222222221E-6</v>
      </c>
    </row>
    <row r="28" spans="10:11" x14ac:dyDescent="0.75">
      <c r="J28" t="s">
        <v>36</v>
      </c>
      <c r="K28" t="e">
        <f>(K26/E2)*(E7-D2)</f>
        <v>#VALUE!</v>
      </c>
    </row>
    <row r="29" spans="10:11" x14ac:dyDescent="0.75">
      <c r="J29" t="s">
        <v>48</v>
      </c>
      <c r="K29" t="e">
        <f>K22</f>
        <v>#VALUE!</v>
      </c>
    </row>
    <row r="30" spans="10:11" x14ac:dyDescent="0.75">
      <c r="J30" t="s">
        <v>47</v>
      </c>
      <c r="K30" t="e">
        <f>K29+K28+K27</f>
        <v>#VALUE!</v>
      </c>
    </row>
  </sheetData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4686C-8BC3-42B3-93C3-AC647B8FDF39}">
  <dimension ref="A1:P501"/>
  <sheetViews>
    <sheetView workbookViewId="0">
      <selection activeCell="S14" sqref="S14"/>
    </sheetView>
  </sheetViews>
  <sheetFormatPr defaultRowHeight="14.75" x14ac:dyDescent="0.75"/>
  <cols>
    <col min="1" max="1" width="14.26953125" bestFit="1" customWidth="1"/>
    <col min="2" max="2" width="5" bestFit="1" customWidth="1"/>
    <col min="3" max="3" width="9.86328125" bestFit="1" customWidth="1"/>
    <col min="4" max="4" width="16.86328125" bestFit="1" customWidth="1"/>
    <col min="9" max="9" width="12" bestFit="1" customWidth="1"/>
    <col min="10" max="11" width="12" customWidth="1"/>
    <col min="13" max="13" width="12" bestFit="1" customWidth="1"/>
    <col min="14" max="14" width="11.54296875" bestFit="1" customWidth="1"/>
    <col min="16" max="16" width="9.1328125" style="4"/>
  </cols>
  <sheetData>
    <row r="1" spans="1:16" s="11" customFormat="1" x14ac:dyDescent="0.75">
      <c r="A1" s="11" t="s">
        <v>67</v>
      </c>
      <c r="B1" s="11" t="s">
        <v>3</v>
      </c>
      <c r="C1" s="11" t="s">
        <v>55</v>
      </c>
      <c r="D1" s="11" t="s">
        <v>56</v>
      </c>
      <c r="E1" s="11" t="s">
        <v>57</v>
      </c>
      <c r="F1" s="11" t="s">
        <v>32</v>
      </c>
      <c r="G1" s="11" t="s">
        <v>51</v>
      </c>
      <c r="H1" s="11" t="s">
        <v>52</v>
      </c>
      <c r="I1" s="11" t="s">
        <v>53</v>
      </c>
      <c r="J1" s="11" t="s">
        <v>58</v>
      </c>
      <c r="K1" s="11" t="s">
        <v>59</v>
      </c>
      <c r="L1" s="11" t="s">
        <v>60</v>
      </c>
      <c r="M1" s="11" t="s">
        <v>61</v>
      </c>
      <c r="N1" s="11" t="s">
        <v>62</v>
      </c>
      <c r="O1" s="11" t="s">
        <v>63</v>
      </c>
      <c r="P1" s="12" t="s">
        <v>64</v>
      </c>
    </row>
    <row r="2" spans="1:16" x14ac:dyDescent="0.75">
      <c r="A2">
        <v>0.01</v>
      </c>
      <c r="B2">
        <f t="shared" ref="B2:B65" si="0">1.3543*A2+0.7943</f>
        <v>0.80784299999999998</v>
      </c>
      <c r="C2">
        <v>0.2</v>
      </c>
      <c r="D2">
        <f t="shared" ref="D2:D33" si="1" xml:space="preserve"> 50.505*A2 + 49.495</f>
        <v>50.000049999999995</v>
      </c>
      <c r="E2">
        <f t="shared" ref="E2:E65" si="2">C2/($J$2*$J$4)</f>
        <v>0.08</v>
      </c>
      <c r="F2">
        <v>2.0000000000000001E-4</v>
      </c>
      <c r="G2">
        <v>0.56999999999999995</v>
      </c>
      <c r="H2">
        <v>8.6999999999999993</v>
      </c>
      <c r="I2">
        <v>0.42</v>
      </c>
      <c r="J2">
        <v>2.5</v>
      </c>
      <c r="K2">
        <f t="shared" ref="K2:K65" si="3">$I$501/E2</f>
        <v>2.4305555555555552E-3</v>
      </c>
      <c r="L2">
        <f>$F$2*C2</f>
        <v>4.0000000000000003E-5</v>
      </c>
      <c r="M2">
        <f>K2*($H$2-B2)</f>
        <v>1.9182326041666663E-2</v>
      </c>
      <c r="N2">
        <f>C2/$J$2</f>
        <v>0.08</v>
      </c>
      <c r="O2">
        <f>L2/N2*(B2-$F$2)</f>
        <v>4.0382150000000002E-4</v>
      </c>
      <c r="P2" s="4">
        <f>O2+M2</f>
        <v>1.9586147541666661E-2</v>
      </c>
    </row>
    <row r="3" spans="1:16" x14ac:dyDescent="0.75">
      <c r="A3">
        <v>0.02</v>
      </c>
      <c r="B3">
        <f t="shared" si="0"/>
        <v>0.82138600000000006</v>
      </c>
      <c r="C3">
        <v>0.2</v>
      </c>
      <c r="D3">
        <f t="shared" si="1"/>
        <v>50.505099999999999</v>
      </c>
      <c r="E3">
        <f t="shared" si="2"/>
        <v>0.08</v>
      </c>
      <c r="I3" t="s">
        <v>54</v>
      </c>
      <c r="J3" t="s">
        <v>65</v>
      </c>
      <c r="K3">
        <f t="shared" si="3"/>
        <v>2.4305555555555552E-3</v>
      </c>
      <c r="L3">
        <f t="shared" ref="L3:L66" si="4">$F$2*C3</f>
        <v>4.0000000000000003E-5</v>
      </c>
      <c r="M3">
        <f t="shared" ref="M3:M66" si="5">K3*($H$2-B3)</f>
        <v>1.9149409027777772E-2</v>
      </c>
      <c r="N3">
        <f t="shared" ref="N3:N66" si="6">C3/$J$2</f>
        <v>0.08</v>
      </c>
      <c r="O3">
        <f t="shared" ref="O3:O66" si="7">L3/N3*(B3-$F$2)</f>
        <v>4.1059300000000006E-4</v>
      </c>
      <c r="P3" s="4">
        <f>P2+O3+M3</f>
        <v>3.9146149569444434E-2</v>
      </c>
    </row>
    <row r="4" spans="1:16" x14ac:dyDescent="0.75">
      <c r="A4">
        <v>0.03</v>
      </c>
      <c r="B4">
        <f t="shared" si="0"/>
        <v>0.83492900000000003</v>
      </c>
      <c r="C4">
        <v>0.2</v>
      </c>
      <c r="D4">
        <f t="shared" si="1"/>
        <v>51.010149999999996</v>
      </c>
      <c r="E4">
        <f t="shared" si="2"/>
        <v>0.08</v>
      </c>
      <c r="I4">
        <f>I2*(1/24)*(1/3600)</f>
        <v>4.8611111111111105E-6</v>
      </c>
      <c r="J4">
        <v>1</v>
      </c>
      <c r="K4">
        <f t="shared" si="3"/>
        <v>2.4305555555555552E-3</v>
      </c>
      <c r="L4">
        <f t="shared" si="4"/>
        <v>4.0000000000000003E-5</v>
      </c>
      <c r="M4">
        <f t="shared" si="5"/>
        <v>1.9116492013888885E-2</v>
      </c>
      <c r="N4">
        <f t="shared" si="6"/>
        <v>0.08</v>
      </c>
      <c r="O4">
        <f t="shared" si="7"/>
        <v>4.1736450000000005E-4</v>
      </c>
      <c r="P4" s="4">
        <f t="shared" ref="P4:P67" si="8">P3+O4+M4</f>
        <v>5.8680006083333319E-2</v>
      </c>
    </row>
    <row r="5" spans="1:16" x14ac:dyDescent="0.75">
      <c r="A5">
        <v>0.04</v>
      </c>
      <c r="B5">
        <f t="shared" si="0"/>
        <v>0.848472</v>
      </c>
      <c r="C5">
        <v>0.2</v>
      </c>
      <c r="D5">
        <f t="shared" si="1"/>
        <v>51.5152</v>
      </c>
      <c r="E5">
        <f t="shared" si="2"/>
        <v>0.08</v>
      </c>
      <c r="K5">
        <f t="shared" si="3"/>
        <v>2.4305555555555552E-3</v>
      </c>
      <c r="L5">
        <f t="shared" si="4"/>
        <v>4.0000000000000003E-5</v>
      </c>
      <c r="M5">
        <f t="shared" si="5"/>
        <v>1.9083574999999995E-2</v>
      </c>
      <c r="N5">
        <f t="shared" si="6"/>
        <v>0.08</v>
      </c>
      <c r="O5">
        <f t="shared" si="7"/>
        <v>4.2413600000000003E-4</v>
      </c>
      <c r="P5" s="4">
        <f t="shared" si="8"/>
        <v>7.8187717083333316E-2</v>
      </c>
    </row>
    <row r="6" spans="1:16" x14ac:dyDescent="0.75">
      <c r="A6">
        <v>0.05</v>
      </c>
      <c r="B6">
        <f t="shared" si="0"/>
        <v>0.86201499999999998</v>
      </c>
      <c r="C6">
        <v>0.2</v>
      </c>
      <c r="D6">
        <f t="shared" si="1"/>
        <v>52.020249999999997</v>
      </c>
      <c r="E6">
        <f t="shared" si="2"/>
        <v>0.08</v>
      </c>
      <c r="K6">
        <f t="shared" si="3"/>
        <v>2.4305555555555552E-3</v>
      </c>
      <c r="L6">
        <f t="shared" si="4"/>
        <v>4.0000000000000003E-5</v>
      </c>
      <c r="M6">
        <f t="shared" si="5"/>
        <v>1.9050657986111108E-2</v>
      </c>
      <c r="N6">
        <f t="shared" si="6"/>
        <v>0.08</v>
      </c>
      <c r="O6">
        <f t="shared" si="7"/>
        <v>4.3090750000000002E-4</v>
      </c>
      <c r="P6" s="4">
        <f t="shared" si="8"/>
        <v>9.7669282569444418E-2</v>
      </c>
    </row>
    <row r="7" spans="1:16" x14ac:dyDescent="0.75">
      <c r="A7">
        <v>0.06</v>
      </c>
      <c r="B7">
        <f t="shared" si="0"/>
        <v>0.87555800000000006</v>
      </c>
      <c r="C7">
        <v>0.2</v>
      </c>
      <c r="D7">
        <f t="shared" si="1"/>
        <v>52.525299999999994</v>
      </c>
      <c r="E7">
        <f t="shared" si="2"/>
        <v>0.08</v>
      </c>
      <c r="K7">
        <f t="shared" si="3"/>
        <v>2.4305555555555552E-3</v>
      </c>
      <c r="L7">
        <f t="shared" si="4"/>
        <v>4.0000000000000003E-5</v>
      </c>
      <c r="M7">
        <f t="shared" si="5"/>
        <v>1.9017740972222218E-2</v>
      </c>
      <c r="N7">
        <f t="shared" si="6"/>
        <v>0.08</v>
      </c>
      <c r="O7">
        <f t="shared" si="7"/>
        <v>4.3767900000000006E-4</v>
      </c>
      <c r="P7" s="4">
        <f t="shared" si="8"/>
        <v>0.11712470254166663</v>
      </c>
    </row>
    <row r="8" spans="1:16" x14ac:dyDescent="0.75">
      <c r="A8">
        <v>7.0000000000000007E-2</v>
      </c>
      <c r="B8">
        <f t="shared" si="0"/>
        <v>0.88910100000000003</v>
      </c>
      <c r="C8">
        <v>0.2</v>
      </c>
      <c r="D8">
        <f t="shared" si="1"/>
        <v>53.030349999999999</v>
      </c>
      <c r="E8">
        <f t="shared" si="2"/>
        <v>0.08</v>
      </c>
      <c r="K8">
        <f t="shared" si="3"/>
        <v>2.4305555555555552E-3</v>
      </c>
      <c r="L8">
        <f t="shared" si="4"/>
        <v>4.0000000000000003E-5</v>
      </c>
      <c r="M8">
        <f t="shared" si="5"/>
        <v>1.8984823958333327E-2</v>
      </c>
      <c r="N8">
        <f t="shared" si="6"/>
        <v>0.08</v>
      </c>
      <c r="O8">
        <f t="shared" si="7"/>
        <v>4.4445050000000005E-4</v>
      </c>
      <c r="P8" s="4">
        <f t="shared" si="8"/>
        <v>0.13655397699999994</v>
      </c>
    </row>
    <row r="9" spans="1:16" x14ac:dyDescent="0.75">
      <c r="A9">
        <v>0.08</v>
      </c>
      <c r="B9">
        <f t="shared" si="0"/>
        <v>0.902644</v>
      </c>
      <c r="C9">
        <v>0.2</v>
      </c>
      <c r="D9">
        <f t="shared" si="1"/>
        <v>53.535399999999996</v>
      </c>
      <c r="E9">
        <f t="shared" si="2"/>
        <v>0.08</v>
      </c>
      <c r="K9">
        <f t="shared" si="3"/>
        <v>2.4305555555555552E-3</v>
      </c>
      <c r="L9">
        <f t="shared" si="4"/>
        <v>4.0000000000000003E-5</v>
      </c>
      <c r="M9">
        <f t="shared" si="5"/>
        <v>1.8951906944444437E-2</v>
      </c>
      <c r="N9">
        <f t="shared" si="6"/>
        <v>0.08</v>
      </c>
      <c r="O9">
        <f t="shared" si="7"/>
        <v>4.5122200000000004E-4</v>
      </c>
      <c r="P9" s="4">
        <f t="shared" si="8"/>
        <v>0.15595710594444437</v>
      </c>
    </row>
    <row r="10" spans="1:16" x14ac:dyDescent="0.75">
      <c r="A10">
        <v>0.09</v>
      </c>
      <c r="B10">
        <f t="shared" si="0"/>
        <v>0.91618699999999997</v>
      </c>
      <c r="C10">
        <v>0.2</v>
      </c>
      <c r="D10">
        <f t="shared" si="1"/>
        <v>54.04045</v>
      </c>
      <c r="E10">
        <f t="shared" si="2"/>
        <v>0.08</v>
      </c>
      <c r="K10">
        <f t="shared" si="3"/>
        <v>2.4305555555555552E-3</v>
      </c>
      <c r="L10">
        <f t="shared" si="4"/>
        <v>4.0000000000000003E-5</v>
      </c>
      <c r="M10">
        <f>K10*($H$2-B10)</f>
        <v>1.891898993055555E-2</v>
      </c>
      <c r="N10">
        <f t="shared" si="6"/>
        <v>0.08</v>
      </c>
      <c r="O10">
        <f t="shared" si="7"/>
        <v>4.5799350000000003E-4</v>
      </c>
      <c r="P10" s="4">
        <f t="shared" si="8"/>
        <v>0.17533408937499992</v>
      </c>
    </row>
    <row r="11" spans="1:16" x14ac:dyDescent="0.75">
      <c r="A11">
        <v>0.1</v>
      </c>
      <c r="B11">
        <f t="shared" si="0"/>
        <v>0.92973000000000006</v>
      </c>
      <c r="C11">
        <v>0.2</v>
      </c>
      <c r="D11">
        <f t="shared" si="1"/>
        <v>54.545499999999997</v>
      </c>
      <c r="E11">
        <f t="shared" si="2"/>
        <v>0.08</v>
      </c>
      <c r="K11">
        <f t="shared" si="3"/>
        <v>2.4305555555555552E-3</v>
      </c>
      <c r="L11">
        <f t="shared" si="4"/>
        <v>4.0000000000000003E-5</v>
      </c>
      <c r="M11">
        <f t="shared" si="5"/>
        <v>1.8886072916666663E-2</v>
      </c>
      <c r="N11">
        <f t="shared" si="6"/>
        <v>0.08</v>
      </c>
      <c r="O11">
        <f t="shared" si="7"/>
        <v>4.6476500000000007E-4</v>
      </c>
      <c r="P11" s="4">
        <f t="shared" si="8"/>
        <v>0.19468492729166659</v>
      </c>
    </row>
    <row r="12" spans="1:16" x14ac:dyDescent="0.75">
      <c r="A12">
        <v>0.11</v>
      </c>
      <c r="B12">
        <f t="shared" si="0"/>
        <v>0.94327300000000003</v>
      </c>
      <c r="C12">
        <v>0.2</v>
      </c>
      <c r="D12">
        <f t="shared" si="1"/>
        <v>55.050550000000001</v>
      </c>
      <c r="E12">
        <f t="shared" si="2"/>
        <v>0.08</v>
      </c>
      <c r="K12">
        <f t="shared" si="3"/>
        <v>2.4305555555555552E-3</v>
      </c>
      <c r="L12">
        <f t="shared" si="4"/>
        <v>4.0000000000000003E-5</v>
      </c>
      <c r="M12">
        <f t="shared" si="5"/>
        <v>1.8853155902777773E-2</v>
      </c>
      <c r="N12">
        <f t="shared" si="6"/>
        <v>0.08</v>
      </c>
      <c r="O12">
        <f t="shared" si="7"/>
        <v>4.7153650000000005E-4</v>
      </c>
      <c r="P12" s="4">
        <f t="shared" si="8"/>
        <v>0.21400961969444438</v>
      </c>
    </row>
    <row r="13" spans="1:16" x14ac:dyDescent="0.75">
      <c r="A13">
        <v>0.12</v>
      </c>
      <c r="B13">
        <f t="shared" si="0"/>
        <v>0.956816</v>
      </c>
      <c r="C13">
        <v>0.2</v>
      </c>
      <c r="D13">
        <f t="shared" si="1"/>
        <v>55.555599999999998</v>
      </c>
      <c r="E13">
        <f t="shared" si="2"/>
        <v>0.08</v>
      </c>
      <c r="K13">
        <f t="shared" si="3"/>
        <v>2.4305555555555552E-3</v>
      </c>
      <c r="L13">
        <f t="shared" si="4"/>
        <v>4.0000000000000003E-5</v>
      </c>
      <c r="M13">
        <f t="shared" si="5"/>
        <v>1.8820238888888886E-2</v>
      </c>
      <c r="N13">
        <f t="shared" si="6"/>
        <v>0.08</v>
      </c>
      <c r="O13">
        <f t="shared" si="7"/>
        <v>4.7830800000000004E-4</v>
      </c>
      <c r="P13" s="4">
        <f t="shared" si="8"/>
        <v>0.23330816658333328</v>
      </c>
    </row>
    <row r="14" spans="1:16" x14ac:dyDescent="0.75">
      <c r="A14">
        <v>0.13</v>
      </c>
      <c r="B14">
        <f t="shared" si="0"/>
        <v>0.97035899999999997</v>
      </c>
      <c r="C14">
        <v>0.2</v>
      </c>
      <c r="D14">
        <f t="shared" si="1"/>
        <v>56.060649999999995</v>
      </c>
      <c r="E14">
        <f t="shared" si="2"/>
        <v>0.08</v>
      </c>
      <c r="K14">
        <f t="shared" si="3"/>
        <v>2.4305555555555552E-3</v>
      </c>
      <c r="L14">
        <f t="shared" si="4"/>
        <v>4.0000000000000003E-5</v>
      </c>
      <c r="M14">
        <f t="shared" si="5"/>
        <v>1.8787321874999995E-2</v>
      </c>
      <c r="N14">
        <f t="shared" si="6"/>
        <v>0.08</v>
      </c>
      <c r="O14">
        <f t="shared" si="7"/>
        <v>4.8507950000000003E-4</v>
      </c>
      <c r="P14" s="4">
        <f t="shared" si="8"/>
        <v>0.25258056795833328</v>
      </c>
    </row>
    <row r="15" spans="1:16" x14ac:dyDescent="0.75">
      <c r="A15">
        <v>0.14000000000000001</v>
      </c>
      <c r="B15">
        <f t="shared" si="0"/>
        <v>0.98390200000000005</v>
      </c>
      <c r="C15">
        <v>0.2</v>
      </c>
      <c r="D15">
        <f t="shared" si="1"/>
        <v>56.5657</v>
      </c>
      <c r="E15">
        <f t="shared" si="2"/>
        <v>0.08</v>
      </c>
      <c r="K15">
        <f t="shared" si="3"/>
        <v>2.4305555555555552E-3</v>
      </c>
      <c r="L15">
        <f t="shared" si="4"/>
        <v>4.0000000000000003E-5</v>
      </c>
      <c r="M15">
        <f t="shared" si="5"/>
        <v>1.8754404861111105E-2</v>
      </c>
      <c r="N15">
        <f t="shared" si="6"/>
        <v>0.08</v>
      </c>
      <c r="O15">
        <f t="shared" si="7"/>
        <v>4.9185100000000007E-4</v>
      </c>
      <c r="P15" s="4">
        <f t="shared" si="8"/>
        <v>0.2718268238194444</v>
      </c>
    </row>
    <row r="16" spans="1:16" x14ac:dyDescent="0.75">
      <c r="A16">
        <v>0.15</v>
      </c>
      <c r="B16">
        <f t="shared" si="0"/>
        <v>0.99744500000000003</v>
      </c>
      <c r="C16">
        <v>0.2</v>
      </c>
      <c r="D16">
        <f t="shared" si="1"/>
        <v>57.070749999999997</v>
      </c>
      <c r="E16">
        <f t="shared" si="2"/>
        <v>0.08</v>
      </c>
      <c r="K16">
        <f t="shared" si="3"/>
        <v>2.4305555555555552E-3</v>
      </c>
      <c r="L16">
        <f t="shared" si="4"/>
        <v>4.0000000000000003E-5</v>
      </c>
      <c r="M16">
        <f t="shared" si="5"/>
        <v>1.8721487847222218E-2</v>
      </c>
      <c r="N16">
        <f t="shared" si="6"/>
        <v>0.08</v>
      </c>
      <c r="O16">
        <f t="shared" si="7"/>
        <v>4.9862250000000006E-4</v>
      </c>
      <c r="P16" s="4">
        <f t="shared" si="8"/>
        <v>0.2910469341666666</v>
      </c>
    </row>
    <row r="17" spans="1:16" x14ac:dyDescent="0.75">
      <c r="A17">
        <v>0.16</v>
      </c>
      <c r="B17">
        <f t="shared" si="0"/>
        <v>1.010988</v>
      </c>
      <c r="C17">
        <v>0.2</v>
      </c>
      <c r="D17">
        <f t="shared" si="1"/>
        <v>57.575800000000001</v>
      </c>
      <c r="E17">
        <f t="shared" si="2"/>
        <v>0.08</v>
      </c>
      <c r="K17">
        <f t="shared" si="3"/>
        <v>2.4305555555555552E-3</v>
      </c>
      <c r="L17">
        <f t="shared" si="4"/>
        <v>4.0000000000000003E-5</v>
      </c>
      <c r="M17">
        <f t="shared" si="5"/>
        <v>1.8688570833333328E-2</v>
      </c>
      <c r="N17">
        <f t="shared" si="6"/>
        <v>0.08</v>
      </c>
      <c r="O17">
        <f t="shared" si="7"/>
        <v>5.0539400000000005E-4</v>
      </c>
      <c r="P17" s="4">
        <f t="shared" si="8"/>
        <v>0.3102408989999999</v>
      </c>
    </row>
    <row r="18" spans="1:16" x14ac:dyDescent="0.75">
      <c r="A18">
        <v>0.17</v>
      </c>
      <c r="B18">
        <f t="shared" si="0"/>
        <v>1.0245310000000001</v>
      </c>
      <c r="C18">
        <v>0.2</v>
      </c>
      <c r="D18">
        <f t="shared" si="1"/>
        <v>58.080849999999998</v>
      </c>
      <c r="E18">
        <f t="shared" si="2"/>
        <v>0.08</v>
      </c>
      <c r="K18">
        <f t="shared" si="3"/>
        <v>2.4305555555555552E-3</v>
      </c>
      <c r="L18">
        <f t="shared" si="4"/>
        <v>4.0000000000000003E-5</v>
      </c>
      <c r="M18">
        <f t="shared" si="5"/>
        <v>1.8655653819444441E-2</v>
      </c>
      <c r="N18">
        <f t="shared" si="6"/>
        <v>0.08</v>
      </c>
      <c r="O18">
        <f t="shared" si="7"/>
        <v>5.1216550000000003E-4</v>
      </c>
      <c r="P18" s="4">
        <f t="shared" si="8"/>
        <v>0.32940871831944435</v>
      </c>
    </row>
    <row r="19" spans="1:16" x14ac:dyDescent="0.75">
      <c r="A19">
        <v>0.18</v>
      </c>
      <c r="B19">
        <f t="shared" si="0"/>
        <v>1.0380739999999999</v>
      </c>
      <c r="C19">
        <v>0.2</v>
      </c>
      <c r="D19">
        <f t="shared" si="1"/>
        <v>58.585899999999995</v>
      </c>
      <c r="E19">
        <f t="shared" si="2"/>
        <v>0.08</v>
      </c>
      <c r="K19">
        <f t="shared" si="3"/>
        <v>2.4305555555555552E-3</v>
      </c>
      <c r="L19">
        <f t="shared" si="4"/>
        <v>4.0000000000000003E-5</v>
      </c>
      <c r="M19">
        <f t="shared" si="5"/>
        <v>1.862273680555555E-2</v>
      </c>
      <c r="N19">
        <f t="shared" si="6"/>
        <v>0.08</v>
      </c>
      <c r="O19">
        <f t="shared" si="7"/>
        <v>5.1893700000000002E-4</v>
      </c>
      <c r="P19" s="4">
        <f t="shared" si="8"/>
        <v>0.34855039212499989</v>
      </c>
    </row>
    <row r="20" spans="1:16" x14ac:dyDescent="0.75">
      <c r="A20">
        <v>0.19</v>
      </c>
      <c r="B20">
        <f t="shared" si="0"/>
        <v>1.051617</v>
      </c>
      <c r="C20">
        <v>0.2</v>
      </c>
      <c r="D20">
        <f t="shared" si="1"/>
        <v>59.090949999999999</v>
      </c>
      <c r="E20">
        <f t="shared" si="2"/>
        <v>0.08</v>
      </c>
      <c r="K20">
        <f t="shared" si="3"/>
        <v>2.4305555555555552E-3</v>
      </c>
      <c r="L20">
        <f t="shared" si="4"/>
        <v>4.0000000000000003E-5</v>
      </c>
      <c r="M20">
        <f t="shared" si="5"/>
        <v>1.858981979166666E-2</v>
      </c>
      <c r="N20">
        <f t="shared" si="6"/>
        <v>0.08</v>
      </c>
      <c r="O20">
        <f t="shared" si="7"/>
        <v>5.2570850000000001E-4</v>
      </c>
      <c r="P20" s="4">
        <f t="shared" si="8"/>
        <v>0.36766592041666657</v>
      </c>
    </row>
    <row r="21" spans="1:16" x14ac:dyDescent="0.75">
      <c r="A21">
        <v>0.2</v>
      </c>
      <c r="B21">
        <f t="shared" si="0"/>
        <v>1.0651600000000001</v>
      </c>
      <c r="C21">
        <v>0.2</v>
      </c>
      <c r="D21">
        <f t="shared" si="1"/>
        <v>59.595999999999997</v>
      </c>
      <c r="E21">
        <f t="shared" si="2"/>
        <v>0.08</v>
      </c>
      <c r="K21">
        <f t="shared" si="3"/>
        <v>2.4305555555555552E-3</v>
      </c>
      <c r="L21">
        <f t="shared" si="4"/>
        <v>4.0000000000000003E-5</v>
      </c>
      <c r="M21">
        <f t="shared" si="5"/>
        <v>1.8556902777777773E-2</v>
      </c>
      <c r="N21">
        <f t="shared" si="6"/>
        <v>0.08</v>
      </c>
      <c r="O21">
        <f t="shared" si="7"/>
        <v>5.3248000000000011E-4</v>
      </c>
      <c r="P21" s="4">
        <f t="shared" si="8"/>
        <v>0.38675530319444434</v>
      </c>
    </row>
    <row r="22" spans="1:16" x14ac:dyDescent="0.75">
      <c r="A22">
        <v>0.21</v>
      </c>
      <c r="B22">
        <f t="shared" si="0"/>
        <v>1.078703</v>
      </c>
      <c r="C22">
        <v>0.2</v>
      </c>
      <c r="D22">
        <f t="shared" si="1"/>
        <v>60.101050000000001</v>
      </c>
      <c r="E22">
        <f t="shared" si="2"/>
        <v>0.08</v>
      </c>
      <c r="K22">
        <f t="shared" si="3"/>
        <v>2.4305555555555552E-3</v>
      </c>
      <c r="L22">
        <f t="shared" si="4"/>
        <v>4.0000000000000003E-5</v>
      </c>
      <c r="M22">
        <f t="shared" si="5"/>
        <v>1.8523985763888886E-2</v>
      </c>
      <c r="N22">
        <f t="shared" si="6"/>
        <v>0.08</v>
      </c>
      <c r="O22">
        <f t="shared" si="7"/>
        <v>5.3925149999999999E-4</v>
      </c>
      <c r="P22" s="4">
        <f t="shared" si="8"/>
        <v>0.40581854045833321</v>
      </c>
    </row>
    <row r="23" spans="1:16" x14ac:dyDescent="0.75">
      <c r="A23">
        <v>0.22</v>
      </c>
      <c r="B23">
        <f t="shared" si="0"/>
        <v>1.0922460000000001</v>
      </c>
      <c r="C23">
        <v>0.2</v>
      </c>
      <c r="D23">
        <f t="shared" si="1"/>
        <v>60.606099999999998</v>
      </c>
      <c r="E23">
        <f t="shared" si="2"/>
        <v>0.08</v>
      </c>
      <c r="K23">
        <f t="shared" si="3"/>
        <v>2.4305555555555552E-3</v>
      </c>
      <c r="L23">
        <f t="shared" si="4"/>
        <v>4.0000000000000003E-5</v>
      </c>
      <c r="M23">
        <f t="shared" si="5"/>
        <v>1.8491068749999996E-2</v>
      </c>
      <c r="N23">
        <f t="shared" si="6"/>
        <v>0.08</v>
      </c>
      <c r="O23">
        <f t="shared" si="7"/>
        <v>5.4602300000000008E-4</v>
      </c>
      <c r="P23" s="4">
        <f t="shared" si="8"/>
        <v>0.42485563220833322</v>
      </c>
    </row>
    <row r="24" spans="1:16" x14ac:dyDescent="0.75">
      <c r="A24">
        <v>0.23</v>
      </c>
      <c r="B24">
        <f t="shared" si="0"/>
        <v>1.1057890000000001</v>
      </c>
      <c r="C24">
        <v>0.2</v>
      </c>
      <c r="D24">
        <f t="shared" si="1"/>
        <v>61.111149999999995</v>
      </c>
      <c r="E24">
        <f t="shared" si="2"/>
        <v>0.08</v>
      </c>
      <c r="K24">
        <f t="shared" si="3"/>
        <v>2.4305555555555552E-3</v>
      </c>
      <c r="L24">
        <f t="shared" si="4"/>
        <v>4.0000000000000003E-5</v>
      </c>
      <c r="M24">
        <f t="shared" si="5"/>
        <v>1.8458151736111109E-2</v>
      </c>
      <c r="N24">
        <f t="shared" si="6"/>
        <v>0.08</v>
      </c>
      <c r="O24">
        <f t="shared" si="7"/>
        <v>5.5279450000000007E-4</v>
      </c>
      <c r="P24" s="4">
        <f t="shared" si="8"/>
        <v>0.44386657844444433</v>
      </c>
    </row>
    <row r="25" spans="1:16" x14ac:dyDescent="0.75">
      <c r="A25">
        <v>0.24</v>
      </c>
      <c r="B25">
        <f t="shared" si="0"/>
        <v>1.119332</v>
      </c>
      <c r="C25">
        <v>0.2</v>
      </c>
      <c r="D25">
        <f t="shared" si="1"/>
        <v>61.616199999999999</v>
      </c>
      <c r="E25">
        <f t="shared" si="2"/>
        <v>0.08</v>
      </c>
      <c r="K25">
        <f t="shared" si="3"/>
        <v>2.4305555555555552E-3</v>
      </c>
      <c r="L25">
        <f t="shared" si="4"/>
        <v>4.0000000000000003E-5</v>
      </c>
      <c r="M25">
        <f t="shared" si="5"/>
        <v>1.8425234722222218E-2</v>
      </c>
      <c r="N25">
        <f t="shared" si="6"/>
        <v>0.08</v>
      </c>
      <c r="O25">
        <f t="shared" si="7"/>
        <v>5.5956600000000006E-4</v>
      </c>
      <c r="P25" s="4">
        <f t="shared" si="8"/>
        <v>0.46285137916666658</v>
      </c>
    </row>
    <row r="26" spans="1:16" x14ac:dyDescent="0.75">
      <c r="A26">
        <v>0.25</v>
      </c>
      <c r="B26">
        <f t="shared" si="0"/>
        <v>1.1328750000000001</v>
      </c>
      <c r="C26">
        <v>0.2</v>
      </c>
      <c r="D26">
        <f t="shared" si="1"/>
        <v>62.121249999999996</v>
      </c>
      <c r="E26">
        <f t="shared" si="2"/>
        <v>0.08</v>
      </c>
      <c r="K26">
        <f t="shared" si="3"/>
        <v>2.4305555555555552E-3</v>
      </c>
      <c r="L26">
        <f t="shared" si="4"/>
        <v>4.0000000000000003E-5</v>
      </c>
      <c r="M26">
        <f t="shared" si="5"/>
        <v>1.8392317708333328E-2</v>
      </c>
      <c r="N26">
        <f t="shared" si="6"/>
        <v>0.08</v>
      </c>
      <c r="O26">
        <f t="shared" si="7"/>
        <v>5.6633750000000004E-4</v>
      </c>
      <c r="P26" s="4">
        <f t="shared" si="8"/>
        <v>0.48181003437499992</v>
      </c>
    </row>
    <row r="27" spans="1:16" x14ac:dyDescent="0.75">
      <c r="A27">
        <v>0.26</v>
      </c>
      <c r="B27">
        <f t="shared" si="0"/>
        <v>1.1464180000000002</v>
      </c>
      <c r="C27">
        <v>0.2</v>
      </c>
      <c r="D27">
        <f t="shared" si="1"/>
        <v>62.626300000000001</v>
      </c>
      <c r="E27">
        <f t="shared" si="2"/>
        <v>0.08</v>
      </c>
      <c r="K27">
        <f t="shared" si="3"/>
        <v>2.4305555555555552E-3</v>
      </c>
      <c r="L27">
        <f t="shared" si="4"/>
        <v>4.0000000000000003E-5</v>
      </c>
      <c r="M27">
        <f t="shared" si="5"/>
        <v>1.8359400694444437E-2</v>
      </c>
      <c r="N27">
        <f t="shared" si="6"/>
        <v>0.08</v>
      </c>
      <c r="O27">
        <f t="shared" si="7"/>
        <v>5.7310900000000014E-4</v>
      </c>
      <c r="P27" s="4">
        <f t="shared" si="8"/>
        <v>0.50074254406944441</v>
      </c>
    </row>
    <row r="28" spans="1:16" x14ac:dyDescent="0.75">
      <c r="A28">
        <v>0.27</v>
      </c>
      <c r="B28">
        <f t="shared" si="0"/>
        <v>1.159961</v>
      </c>
      <c r="C28">
        <v>0.2</v>
      </c>
      <c r="D28">
        <f t="shared" si="1"/>
        <v>63.131349999999998</v>
      </c>
      <c r="E28">
        <f t="shared" si="2"/>
        <v>0.08</v>
      </c>
      <c r="K28">
        <f t="shared" si="3"/>
        <v>2.4305555555555552E-3</v>
      </c>
      <c r="L28">
        <f t="shared" si="4"/>
        <v>4.0000000000000003E-5</v>
      </c>
      <c r="M28">
        <f t="shared" si="5"/>
        <v>1.832648368055555E-2</v>
      </c>
      <c r="N28">
        <f t="shared" si="6"/>
        <v>0.08</v>
      </c>
      <c r="O28">
        <f t="shared" si="7"/>
        <v>5.7988050000000002E-4</v>
      </c>
      <c r="P28" s="4">
        <f t="shared" si="8"/>
        <v>0.51964890824999999</v>
      </c>
    </row>
    <row r="29" spans="1:16" x14ac:dyDescent="0.75">
      <c r="A29">
        <v>0.28000000000000003</v>
      </c>
      <c r="B29">
        <f t="shared" si="0"/>
        <v>1.1735040000000001</v>
      </c>
      <c r="C29">
        <v>0.2</v>
      </c>
      <c r="D29">
        <f t="shared" si="1"/>
        <v>63.636400000000002</v>
      </c>
      <c r="E29">
        <f t="shared" si="2"/>
        <v>0.08</v>
      </c>
      <c r="K29">
        <f t="shared" si="3"/>
        <v>2.4305555555555552E-3</v>
      </c>
      <c r="L29">
        <f t="shared" si="4"/>
        <v>4.0000000000000003E-5</v>
      </c>
      <c r="M29">
        <f t="shared" si="5"/>
        <v>1.829356666666666E-2</v>
      </c>
      <c r="N29">
        <f t="shared" si="6"/>
        <v>0.08</v>
      </c>
      <c r="O29">
        <f t="shared" si="7"/>
        <v>5.8665200000000012E-4</v>
      </c>
      <c r="P29" s="4">
        <f t="shared" si="8"/>
        <v>0.53852912691666666</v>
      </c>
    </row>
    <row r="30" spans="1:16" x14ac:dyDescent="0.75">
      <c r="A30">
        <v>0.28999999999999998</v>
      </c>
      <c r="B30">
        <f t="shared" si="0"/>
        <v>1.187047</v>
      </c>
      <c r="C30">
        <v>0.2</v>
      </c>
      <c r="D30">
        <f t="shared" si="1"/>
        <v>64.141449999999992</v>
      </c>
      <c r="E30">
        <f t="shared" si="2"/>
        <v>0.08</v>
      </c>
      <c r="K30">
        <f t="shared" si="3"/>
        <v>2.4305555555555552E-3</v>
      </c>
      <c r="L30">
        <f t="shared" si="4"/>
        <v>4.0000000000000003E-5</v>
      </c>
      <c r="M30">
        <f t="shared" si="5"/>
        <v>1.8260649652777773E-2</v>
      </c>
      <c r="N30">
        <f t="shared" si="6"/>
        <v>0.08</v>
      </c>
      <c r="O30">
        <f t="shared" si="7"/>
        <v>5.9342349999999999E-4</v>
      </c>
      <c r="P30" s="4">
        <f t="shared" si="8"/>
        <v>0.55738320006944442</v>
      </c>
    </row>
    <row r="31" spans="1:16" x14ac:dyDescent="0.75">
      <c r="A31">
        <v>0.3</v>
      </c>
      <c r="B31">
        <f t="shared" si="0"/>
        <v>1.20059</v>
      </c>
      <c r="C31">
        <v>0.2</v>
      </c>
      <c r="D31">
        <f t="shared" si="1"/>
        <v>64.646500000000003</v>
      </c>
      <c r="E31">
        <f t="shared" si="2"/>
        <v>0.08</v>
      </c>
      <c r="K31">
        <f t="shared" si="3"/>
        <v>2.4305555555555552E-3</v>
      </c>
      <c r="L31">
        <f t="shared" si="4"/>
        <v>4.0000000000000003E-5</v>
      </c>
      <c r="M31">
        <f t="shared" si="5"/>
        <v>1.8227732638888883E-2</v>
      </c>
      <c r="N31">
        <f t="shared" si="6"/>
        <v>0.08</v>
      </c>
      <c r="O31">
        <f t="shared" si="7"/>
        <v>6.0019500000000009E-4</v>
      </c>
      <c r="P31" s="4">
        <f t="shared" si="8"/>
        <v>0.57621112770833327</v>
      </c>
    </row>
    <row r="32" spans="1:16" x14ac:dyDescent="0.75">
      <c r="A32">
        <v>0.31</v>
      </c>
      <c r="B32">
        <f t="shared" si="0"/>
        <v>1.2141329999999999</v>
      </c>
      <c r="C32">
        <v>0.2</v>
      </c>
      <c r="D32">
        <f t="shared" si="1"/>
        <v>65.15155</v>
      </c>
      <c r="E32">
        <f t="shared" si="2"/>
        <v>0.08</v>
      </c>
      <c r="K32">
        <f t="shared" si="3"/>
        <v>2.4305555555555552E-3</v>
      </c>
      <c r="L32">
        <f t="shared" si="4"/>
        <v>4.0000000000000003E-5</v>
      </c>
      <c r="M32">
        <f t="shared" si="5"/>
        <v>1.8194815624999996E-2</v>
      </c>
      <c r="N32">
        <f t="shared" si="6"/>
        <v>0.08</v>
      </c>
      <c r="O32">
        <f t="shared" si="7"/>
        <v>6.0696649999999997E-4</v>
      </c>
      <c r="P32" s="4">
        <f t="shared" si="8"/>
        <v>0.59501290983333333</v>
      </c>
    </row>
    <row r="33" spans="1:16" x14ac:dyDescent="0.75">
      <c r="A33">
        <v>0.32</v>
      </c>
      <c r="B33">
        <f t="shared" si="0"/>
        <v>1.227676</v>
      </c>
      <c r="C33">
        <v>0.2</v>
      </c>
      <c r="D33">
        <f t="shared" si="1"/>
        <v>65.656599999999997</v>
      </c>
      <c r="E33">
        <f t="shared" si="2"/>
        <v>0.08</v>
      </c>
      <c r="K33">
        <f t="shared" si="3"/>
        <v>2.4305555555555552E-3</v>
      </c>
      <c r="L33">
        <f t="shared" si="4"/>
        <v>4.0000000000000003E-5</v>
      </c>
      <c r="M33">
        <f t="shared" si="5"/>
        <v>1.8161898611111105E-2</v>
      </c>
      <c r="N33">
        <f t="shared" si="6"/>
        <v>0.08</v>
      </c>
      <c r="O33">
        <f t="shared" si="7"/>
        <v>6.1373800000000007E-4</v>
      </c>
      <c r="P33" s="4">
        <f t="shared" si="8"/>
        <v>0.61378854644444436</v>
      </c>
    </row>
    <row r="34" spans="1:16" x14ac:dyDescent="0.75">
      <c r="A34">
        <v>0.33</v>
      </c>
      <c r="B34">
        <f t="shared" si="0"/>
        <v>1.2412190000000001</v>
      </c>
      <c r="C34">
        <v>0.2</v>
      </c>
      <c r="D34">
        <f t="shared" ref="D34:D65" si="9" xml:space="preserve"> 50.505*A34 + 49.495</f>
        <v>66.161649999999995</v>
      </c>
      <c r="E34">
        <f t="shared" si="2"/>
        <v>0.08</v>
      </c>
      <c r="K34">
        <f t="shared" si="3"/>
        <v>2.4305555555555552E-3</v>
      </c>
      <c r="L34">
        <f t="shared" si="4"/>
        <v>4.0000000000000003E-5</v>
      </c>
      <c r="M34">
        <f t="shared" si="5"/>
        <v>1.8128981597222218E-2</v>
      </c>
      <c r="N34">
        <f t="shared" si="6"/>
        <v>0.08</v>
      </c>
      <c r="O34">
        <f t="shared" si="7"/>
        <v>6.2050950000000005E-4</v>
      </c>
      <c r="P34" s="4">
        <f t="shared" si="8"/>
        <v>0.6325380375416666</v>
      </c>
    </row>
    <row r="35" spans="1:16" x14ac:dyDescent="0.75">
      <c r="A35">
        <v>0.34</v>
      </c>
      <c r="B35">
        <f t="shared" si="0"/>
        <v>1.2547619999999999</v>
      </c>
      <c r="C35">
        <v>0.2</v>
      </c>
      <c r="D35">
        <f t="shared" si="9"/>
        <v>66.666699999999992</v>
      </c>
      <c r="E35">
        <f t="shared" si="2"/>
        <v>0.08</v>
      </c>
      <c r="K35">
        <f t="shared" si="3"/>
        <v>2.4305555555555552E-3</v>
      </c>
      <c r="L35">
        <f t="shared" si="4"/>
        <v>4.0000000000000003E-5</v>
      </c>
      <c r="M35">
        <f t="shared" si="5"/>
        <v>1.8096064583333332E-2</v>
      </c>
      <c r="N35">
        <f t="shared" si="6"/>
        <v>0.08</v>
      </c>
      <c r="O35">
        <f t="shared" si="7"/>
        <v>6.2728100000000004E-4</v>
      </c>
      <c r="P35" s="4">
        <f t="shared" si="8"/>
        <v>0.65126138312499993</v>
      </c>
    </row>
    <row r="36" spans="1:16" x14ac:dyDescent="0.75">
      <c r="A36">
        <v>0.35</v>
      </c>
      <c r="B36">
        <f t="shared" si="0"/>
        <v>1.268305</v>
      </c>
      <c r="C36">
        <v>0.2</v>
      </c>
      <c r="D36">
        <f t="shared" si="9"/>
        <v>67.171750000000003</v>
      </c>
      <c r="E36">
        <f t="shared" si="2"/>
        <v>0.08</v>
      </c>
      <c r="K36">
        <f t="shared" si="3"/>
        <v>2.4305555555555552E-3</v>
      </c>
      <c r="L36">
        <f t="shared" si="4"/>
        <v>4.0000000000000003E-5</v>
      </c>
      <c r="M36">
        <f t="shared" si="5"/>
        <v>1.8063147569444441E-2</v>
      </c>
      <c r="N36">
        <f t="shared" si="6"/>
        <v>0.08</v>
      </c>
      <c r="O36">
        <f t="shared" si="7"/>
        <v>6.3405250000000003E-4</v>
      </c>
      <c r="P36" s="4">
        <f t="shared" si="8"/>
        <v>0.66995858319444446</v>
      </c>
    </row>
    <row r="37" spans="1:16" x14ac:dyDescent="0.75">
      <c r="A37">
        <v>0.36</v>
      </c>
      <c r="B37">
        <f t="shared" si="0"/>
        <v>1.2818480000000001</v>
      </c>
      <c r="C37">
        <v>0.2</v>
      </c>
      <c r="D37">
        <f t="shared" si="9"/>
        <v>67.6768</v>
      </c>
      <c r="E37">
        <f t="shared" si="2"/>
        <v>0.08</v>
      </c>
      <c r="K37">
        <f t="shared" si="3"/>
        <v>2.4305555555555552E-3</v>
      </c>
      <c r="L37">
        <f t="shared" si="4"/>
        <v>4.0000000000000003E-5</v>
      </c>
      <c r="M37">
        <f t="shared" si="5"/>
        <v>1.8030230555555551E-2</v>
      </c>
      <c r="N37">
        <f t="shared" si="6"/>
        <v>0.08</v>
      </c>
      <c r="O37">
        <f t="shared" si="7"/>
        <v>6.4082400000000012E-4</v>
      </c>
      <c r="P37" s="4">
        <f t="shared" si="8"/>
        <v>0.68862963774999997</v>
      </c>
    </row>
    <row r="38" spans="1:16" x14ac:dyDescent="0.75">
      <c r="A38">
        <v>0.37</v>
      </c>
      <c r="B38">
        <f t="shared" si="0"/>
        <v>1.295391</v>
      </c>
      <c r="C38">
        <v>0.2</v>
      </c>
      <c r="D38">
        <f t="shared" si="9"/>
        <v>68.181849999999997</v>
      </c>
      <c r="E38">
        <f t="shared" si="2"/>
        <v>0.08</v>
      </c>
      <c r="K38">
        <f t="shared" si="3"/>
        <v>2.4305555555555552E-3</v>
      </c>
      <c r="L38">
        <f t="shared" si="4"/>
        <v>4.0000000000000003E-5</v>
      </c>
      <c r="M38">
        <f t="shared" si="5"/>
        <v>1.799731354166666E-2</v>
      </c>
      <c r="N38">
        <f t="shared" si="6"/>
        <v>0.08</v>
      </c>
      <c r="O38">
        <f t="shared" si="7"/>
        <v>6.475955E-4</v>
      </c>
      <c r="P38" s="4">
        <f t="shared" si="8"/>
        <v>0.70727454679166668</v>
      </c>
    </row>
    <row r="39" spans="1:16" x14ac:dyDescent="0.75">
      <c r="A39">
        <v>0.38</v>
      </c>
      <c r="B39">
        <f t="shared" si="0"/>
        <v>1.308934</v>
      </c>
      <c r="C39">
        <v>0.2</v>
      </c>
      <c r="D39">
        <f t="shared" si="9"/>
        <v>68.686899999999994</v>
      </c>
      <c r="E39">
        <f t="shared" si="2"/>
        <v>0.08</v>
      </c>
      <c r="K39">
        <f t="shared" si="3"/>
        <v>2.4305555555555552E-3</v>
      </c>
      <c r="L39">
        <f t="shared" si="4"/>
        <v>4.0000000000000003E-5</v>
      </c>
      <c r="M39">
        <f t="shared" si="5"/>
        <v>1.7964396527777773E-2</v>
      </c>
      <c r="N39">
        <f t="shared" si="6"/>
        <v>0.08</v>
      </c>
      <c r="O39">
        <f t="shared" si="7"/>
        <v>6.543670000000001E-4</v>
      </c>
      <c r="P39" s="4">
        <f t="shared" si="8"/>
        <v>0.72589331031944448</v>
      </c>
    </row>
    <row r="40" spans="1:16" x14ac:dyDescent="0.75">
      <c r="A40">
        <v>0.39</v>
      </c>
      <c r="B40">
        <f t="shared" si="0"/>
        <v>1.3224770000000001</v>
      </c>
      <c r="C40">
        <v>0.2</v>
      </c>
      <c r="D40">
        <f t="shared" si="9"/>
        <v>69.191949999999991</v>
      </c>
      <c r="E40">
        <f t="shared" si="2"/>
        <v>0.08</v>
      </c>
      <c r="K40">
        <f t="shared" si="3"/>
        <v>2.4305555555555552E-3</v>
      </c>
      <c r="L40">
        <f t="shared" si="4"/>
        <v>4.0000000000000003E-5</v>
      </c>
      <c r="M40">
        <f t="shared" si="5"/>
        <v>1.7931479513888883E-2</v>
      </c>
      <c r="N40">
        <f t="shared" si="6"/>
        <v>0.08</v>
      </c>
      <c r="O40">
        <f t="shared" si="7"/>
        <v>6.6113850000000009E-4</v>
      </c>
      <c r="P40" s="4">
        <f t="shared" si="8"/>
        <v>0.74448592833333338</v>
      </c>
    </row>
    <row r="41" spans="1:16" x14ac:dyDescent="0.75">
      <c r="A41">
        <v>0.4</v>
      </c>
      <c r="B41">
        <f t="shared" si="0"/>
        <v>1.33602</v>
      </c>
      <c r="C41">
        <v>0.2</v>
      </c>
      <c r="D41">
        <f t="shared" si="9"/>
        <v>69.697000000000003</v>
      </c>
      <c r="E41">
        <f t="shared" si="2"/>
        <v>0.08</v>
      </c>
      <c r="K41">
        <f t="shared" si="3"/>
        <v>2.4305555555555552E-3</v>
      </c>
      <c r="L41">
        <f t="shared" si="4"/>
        <v>4.0000000000000003E-5</v>
      </c>
      <c r="M41">
        <f t="shared" si="5"/>
        <v>1.7898562499999996E-2</v>
      </c>
      <c r="N41">
        <f t="shared" si="6"/>
        <v>0.08</v>
      </c>
      <c r="O41">
        <f t="shared" si="7"/>
        <v>6.6790999999999997E-4</v>
      </c>
      <c r="P41" s="4">
        <f t="shared" si="8"/>
        <v>0.76305240083333337</v>
      </c>
    </row>
    <row r="42" spans="1:16" x14ac:dyDescent="0.75">
      <c r="A42">
        <v>0.41</v>
      </c>
      <c r="B42">
        <f t="shared" si="0"/>
        <v>1.3495629999999998</v>
      </c>
      <c r="C42">
        <v>0.2</v>
      </c>
      <c r="D42">
        <f t="shared" si="9"/>
        <v>70.20205</v>
      </c>
      <c r="E42">
        <f t="shared" si="2"/>
        <v>0.08</v>
      </c>
      <c r="K42">
        <f t="shared" si="3"/>
        <v>2.4305555555555552E-3</v>
      </c>
      <c r="L42">
        <f t="shared" si="4"/>
        <v>4.0000000000000003E-5</v>
      </c>
      <c r="M42">
        <f t="shared" si="5"/>
        <v>1.7865645486111106E-2</v>
      </c>
      <c r="N42">
        <f t="shared" si="6"/>
        <v>0.08</v>
      </c>
      <c r="O42">
        <f t="shared" si="7"/>
        <v>6.7468149999999995E-4</v>
      </c>
      <c r="P42" s="4">
        <f t="shared" si="8"/>
        <v>0.78159272781944455</v>
      </c>
    </row>
    <row r="43" spans="1:16" x14ac:dyDescent="0.75">
      <c r="A43">
        <v>0.42</v>
      </c>
      <c r="B43">
        <f t="shared" si="0"/>
        <v>1.3631060000000002</v>
      </c>
      <c r="C43">
        <v>0.2</v>
      </c>
      <c r="D43">
        <f t="shared" si="9"/>
        <v>70.707099999999997</v>
      </c>
      <c r="E43">
        <f t="shared" si="2"/>
        <v>0.08</v>
      </c>
      <c r="K43">
        <f t="shared" si="3"/>
        <v>2.4305555555555552E-3</v>
      </c>
      <c r="L43">
        <f t="shared" si="4"/>
        <v>4.0000000000000003E-5</v>
      </c>
      <c r="M43">
        <f t="shared" si="5"/>
        <v>1.7832728472222219E-2</v>
      </c>
      <c r="N43">
        <f t="shared" si="6"/>
        <v>0.08</v>
      </c>
      <c r="O43">
        <f t="shared" si="7"/>
        <v>6.8145300000000005E-4</v>
      </c>
      <c r="P43" s="4">
        <f t="shared" si="8"/>
        <v>0.80010690929166672</v>
      </c>
    </row>
    <row r="44" spans="1:16" x14ac:dyDescent="0.75">
      <c r="A44">
        <v>0.43</v>
      </c>
      <c r="B44">
        <f t="shared" si="0"/>
        <v>1.376649</v>
      </c>
      <c r="C44">
        <v>0.2</v>
      </c>
      <c r="D44">
        <f t="shared" si="9"/>
        <v>71.212149999999994</v>
      </c>
      <c r="E44">
        <f t="shared" si="2"/>
        <v>0.08</v>
      </c>
      <c r="K44">
        <f t="shared" si="3"/>
        <v>2.4305555555555552E-3</v>
      </c>
      <c r="L44">
        <f t="shared" si="4"/>
        <v>4.0000000000000003E-5</v>
      </c>
      <c r="M44">
        <f t="shared" si="5"/>
        <v>1.7799811458333328E-2</v>
      </c>
      <c r="N44">
        <f t="shared" si="6"/>
        <v>0.08</v>
      </c>
      <c r="O44">
        <f t="shared" si="7"/>
        <v>6.8822450000000004E-4</v>
      </c>
      <c r="P44" s="4">
        <f t="shared" si="8"/>
        <v>0.81859494524999998</v>
      </c>
    </row>
    <row r="45" spans="1:16" x14ac:dyDescent="0.75">
      <c r="A45">
        <v>0.44</v>
      </c>
      <c r="B45">
        <f t="shared" si="0"/>
        <v>1.3901919999999999</v>
      </c>
      <c r="C45">
        <v>0.2</v>
      </c>
      <c r="D45">
        <f t="shared" si="9"/>
        <v>71.717199999999991</v>
      </c>
      <c r="E45">
        <f t="shared" si="2"/>
        <v>0.08</v>
      </c>
      <c r="K45">
        <f t="shared" si="3"/>
        <v>2.4305555555555552E-3</v>
      </c>
      <c r="L45">
        <f t="shared" si="4"/>
        <v>4.0000000000000003E-5</v>
      </c>
      <c r="M45">
        <f t="shared" si="5"/>
        <v>1.7766894444444441E-2</v>
      </c>
      <c r="N45">
        <f t="shared" si="6"/>
        <v>0.08</v>
      </c>
      <c r="O45">
        <f t="shared" si="7"/>
        <v>6.9499599999999992E-4</v>
      </c>
      <c r="P45" s="4">
        <f t="shared" si="8"/>
        <v>0.83705683569444445</v>
      </c>
    </row>
    <row r="46" spans="1:16" x14ac:dyDescent="0.75">
      <c r="A46">
        <v>0.45</v>
      </c>
      <c r="B46">
        <f t="shared" si="0"/>
        <v>1.4037350000000002</v>
      </c>
      <c r="C46">
        <v>0.2</v>
      </c>
      <c r="D46">
        <f t="shared" si="9"/>
        <v>72.222250000000003</v>
      </c>
      <c r="E46">
        <f t="shared" si="2"/>
        <v>0.08</v>
      </c>
      <c r="K46">
        <f t="shared" si="3"/>
        <v>2.4305555555555552E-3</v>
      </c>
      <c r="L46">
        <f t="shared" si="4"/>
        <v>4.0000000000000003E-5</v>
      </c>
      <c r="M46">
        <f t="shared" si="5"/>
        <v>1.7733977430555551E-2</v>
      </c>
      <c r="N46">
        <f t="shared" si="6"/>
        <v>0.08</v>
      </c>
      <c r="O46">
        <f t="shared" si="7"/>
        <v>7.0176750000000012E-4</v>
      </c>
      <c r="P46" s="4">
        <f t="shared" si="8"/>
        <v>0.855492580625</v>
      </c>
    </row>
    <row r="47" spans="1:16" x14ac:dyDescent="0.75">
      <c r="A47">
        <v>0.46</v>
      </c>
      <c r="B47">
        <f t="shared" si="0"/>
        <v>1.417278</v>
      </c>
      <c r="C47">
        <v>0.2</v>
      </c>
      <c r="D47">
        <f t="shared" si="9"/>
        <v>72.7273</v>
      </c>
      <c r="E47">
        <f t="shared" si="2"/>
        <v>0.08</v>
      </c>
      <c r="K47">
        <f t="shared" si="3"/>
        <v>2.4305555555555552E-3</v>
      </c>
      <c r="L47">
        <f t="shared" si="4"/>
        <v>4.0000000000000003E-5</v>
      </c>
      <c r="M47">
        <f t="shared" si="5"/>
        <v>1.7701060416666664E-2</v>
      </c>
      <c r="N47">
        <f t="shared" si="6"/>
        <v>0.08</v>
      </c>
      <c r="O47">
        <f t="shared" si="7"/>
        <v>7.08539E-4</v>
      </c>
      <c r="P47" s="4">
        <f t="shared" si="8"/>
        <v>0.87390218004166664</v>
      </c>
    </row>
    <row r="48" spans="1:16" x14ac:dyDescent="0.75">
      <c r="A48">
        <v>0.47</v>
      </c>
      <c r="B48">
        <f t="shared" si="0"/>
        <v>1.4308209999999999</v>
      </c>
      <c r="C48">
        <v>0.2</v>
      </c>
      <c r="D48">
        <f t="shared" si="9"/>
        <v>73.232349999999997</v>
      </c>
      <c r="E48">
        <f t="shared" si="2"/>
        <v>0.08</v>
      </c>
      <c r="K48">
        <f t="shared" si="3"/>
        <v>2.4305555555555552E-3</v>
      </c>
      <c r="L48">
        <f t="shared" si="4"/>
        <v>4.0000000000000003E-5</v>
      </c>
      <c r="M48">
        <f t="shared" si="5"/>
        <v>1.7668143402777774E-2</v>
      </c>
      <c r="N48">
        <f t="shared" si="6"/>
        <v>0.08</v>
      </c>
      <c r="O48">
        <f t="shared" si="7"/>
        <v>7.1531049999999999E-4</v>
      </c>
      <c r="P48" s="4">
        <f t="shared" si="8"/>
        <v>0.89228563394444438</v>
      </c>
    </row>
    <row r="49" spans="1:16" x14ac:dyDescent="0.75">
      <c r="A49">
        <v>0.48</v>
      </c>
      <c r="B49">
        <f t="shared" si="0"/>
        <v>1.444364</v>
      </c>
      <c r="C49">
        <v>0.2</v>
      </c>
      <c r="D49">
        <f t="shared" si="9"/>
        <v>73.737399999999994</v>
      </c>
      <c r="E49">
        <f t="shared" si="2"/>
        <v>0.08</v>
      </c>
      <c r="K49">
        <f t="shared" si="3"/>
        <v>2.4305555555555552E-3</v>
      </c>
      <c r="L49">
        <f t="shared" si="4"/>
        <v>4.0000000000000003E-5</v>
      </c>
      <c r="M49">
        <f t="shared" si="5"/>
        <v>1.7635226388888883E-2</v>
      </c>
      <c r="N49">
        <f t="shared" si="6"/>
        <v>0.08</v>
      </c>
      <c r="O49">
        <f t="shared" si="7"/>
        <v>7.2208199999999998E-4</v>
      </c>
      <c r="P49" s="4">
        <f t="shared" si="8"/>
        <v>0.91064294233333332</v>
      </c>
    </row>
    <row r="50" spans="1:16" x14ac:dyDescent="0.75">
      <c r="A50">
        <v>0.49</v>
      </c>
      <c r="B50">
        <f t="shared" si="0"/>
        <v>1.4579070000000001</v>
      </c>
      <c r="C50">
        <v>0.2</v>
      </c>
      <c r="D50">
        <f t="shared" si="9"/>
        <v>74.242449999999991</v>
      </c>
      <c r="E50">
        <f t="shared" si="2"/>
        <v>0.08</v>
      </c>
      <c r="K50">
        <f t="shared" si="3"/>
        <v>2.4305555555555552E-3</v>
      </c>
      <c r="L50">
        <f t="shared" si="4"/>
        <v>4.0000000000000003E-5</v>
      </c>
      <c r="M50">
        <f t="shared" si="5"/>
        <v>1.7602309374999993E-2</v>
      </c>
      <c r="N50">
        <f t="shared" si="6"/>
        <v>0.08</v>
      </c>
      <c r="O50">
        <f t="shared" si="7"/>
        <v>7.2885350000000007E-4</v>
      </c>
      <c r="P50" s="4">
        <f t="shared" si="8"/>
        <v>0.92897410520833323</v>
      </c>
    </row>
    <row r="51" spans="1:16" x14ac:dyDescent="0.75">
      <c r="A51">
        <v>0.5</v>
      </c>
      <c r="B51">
        <f t="shared" si="0"/>
        <v>1.4714499999999999</v>
      </c>
      <c r="C51">
        <v>0.2</v>
      </c>
      <c r="D51">
        <f t="shared" si="9"/>
        <v>74.747500000000002</v>
      </c>
      <c r="E51">
        <f t="shared" si="2"/>
        <v>0.08</v>
      </c>
      <c r="K51">
        <f t="shared" si="3"/>
        <v>2.4305555555555552E-3</v>
      </c>
      <c r="L51">
        <f t="shared" si="4"/>
        <v>4.0000000000000003E-5</v>
      </c>
      <c r="M51">
        <f t="shared" si="5"/>
        <v>1.7569392361111106E-2</v>
      </c>
      <c r="N51">
        <f t="shared" si="6"/>
        <v>0.08</v>
      </c>
      <c r="O51">
        <f t="shared" si="7"/>
        <v>7.3562499999999995E-4</v>
      </c>
      <c r="P51" s="4">
        <f t="shared" si="8"/>
        <v>0.94727912256944435</v>
      </c>
    </row>
    <row r="52" spans="1:16" x14ac:dyDescent="0.75">
      <c r="A52">
        <v>0.51</v>
      </c>
      <c r="B52">
        <f t="shared" si="0"/>
        <v>1.484993</v>
      </c>
      <c r="C52">
        <v>0.2</v>
      </c>
      <c r="D52">
        <f t="shared" si="9"/>
        <v>75.252549999999999</v>
      </c>
      <c r="E52">
        <f t="shared" si="2"/>
        <v>0.08</v>
      </c>
      <c r="K52">
        <f t="shared" si="3"/>
        <v>2.4305555555555552E-3</v>
      </c>
      <c r="L52">
        <f t="shared" si="4"/>
        <v>4.0000000000000003E-5</v>
      </c>
      <c r="M52">
        <f t="shared" si="5"/>
        <v>1.7536475347222216E-2</v>
      </c>
      <c r="N52">
        <f t="shared" si="6"/>
        <v>0.08</v>
      </c>
      <c r="O52">
        <f t="shared" si="7"/>
        <v>7.4239650000000005E-4</v>
      </c>
      <c r="P52" s="4">
        <f t="shared" si="8"/>
        <v>0.96555799441666657</v>
      </c>
    </row>
    <row r="53" spans="1:16" x14ac:dyDescent="0.75">
      <c r="A53">
        <v>0.52</v>
      </c>
      <c r="B53">
        <f t="shared" si="0"/>
        <v>1.4985360000000001</v>
      </c>
      <c r="C53">
        <v>0.2</v>
      </c>
      <c r="D53">
        <f t="shared" si="9"/>
        <v>75.757599999999996</v>
      </c>
      <c r="E53">
        <f t="shared" si="2"/>
        <v>0.08</v>
      </c>
      <c r="K53">
        <f t="shared" si="3"/>
        <v>2.4305555555555552E-3</v>
      </c>
      <c r="L53">
        <f t="shared" si="4"/>
        <v>4.0000000000000003E-5</v>
      </c>
      <c r="M53">
        <f t="shared" si="5"/>
        <v>1.7503558333333329E-2</v>
      </c>
      <c r="N53">
        <f t="shared" si="6"/>
        <v>0.08</v>
      </c>
      <c r="O53">
        <f t="shared" si="7"/>
        <v>7.4916800000000003E-4</v>
      </c>
      <c r="P53" s="4">
        <f t="shared" si="8"/>
        <v>0.98381072074999987</v>
      </c>
    </row>
    <row r="54" spans="1:16" x14ac:dyDescent="0.75">
      <c r="A54">
        <v>0.53</v>
      </c>
      <c r="B54">
        <f t="shared" si="0"/>
        <v>1.512079</v>
      </c>
      <c r="C54">
        <v>0.2</v>
      </c>
      <c r="D54">
        <f t="shared" si="9"/>
        <v>76.262650000000008</v>
      </c>
      <c r="E54">
        <f t="shared" si="2"/>
        <v>0.08</v>
      </c>
      <c r="K54">
        <f t="shared" si="3"/>
        <v>2.4305555555555552E-3</v>
      </c>
      <c r="L54">
        <f t="shared" si="4"/>
        <v>4.0000000000000003E-5</v>
      </c>
      <c r="M54">
        <f t="shared" si="5"/>
        <v>1.7470641319444442E-2</v>
      </c>
      <c r="N54">
        <f t="shared" si="6"/>
        <v>0.08</v>
      </c>
      <c r="O54">
        <f t="shared" si="7"/>
        <v>7.5593950000000002E-4</v>
      </c>
      <c r="P54" s="4">
        <f t="shared" si="8"/>
        <v>1.0020373015694444</v>
      </c>
    </row>
    <row r="55" spans="1:16" x14ac:dyDescent="0.75">
      <c r="A55">
        <v>0.54</v>
      </c>
      <c r="B55">
        <f t="shared" si="0"/>
        <v>1.525622</v>
      </c>
      <c r="C55">
        <v>0.2</v>
      </c>
      <c r="D55">
        <f t="shared" si="9"/>
        <v>76.767700000000005</v>
      </c>
      <c r="E55">
        <f t="shared" si="2"/>
        <v>0.08</v>
      </c>
      <c r="K55">
        <f t="shared" si="3"/>
        <v>2.4305555555555552E-3</v>
      </c>
      <c r="L55">
        <f t="shared" si="4"/>
        <v>4.0000000000000003E-5</v>
      </c>
      <c r="M55">
        <f t="shared" si="5"/>
        <v>1.7437724305555551E-2</v>
      </c>
      <c r="N55">
        <f t="shared" si="6"/>
        <v>0.08</v>
      </c>
      <c r="O55">
        <f t="shared" si="7"/>
        <v>7.6271100000000001E-4</v>
      </c>
      <c r="P55" s="4">
        <f t="shared" si="8"/>
        <v>1.0202377368749997</v>
      </c>
    </row>
    <row r="56" spans="1:16" x14ac:dyDescent="0.75">
      <c r="A56">
        <v>0.55000000000000004</v>
      </c>
      <c r="B56">
        <f t="shared" si="0"/>
        <v>1.5391650000000001</v>
      </c>
      <c r="C56">
        <v>0.2</v>
      </c>
      <c r="D56">
        <f t="shared" si="9"/>
        <v>77.272750000000002</v>
      </c>
      <c r="E56">
        <f t="shared" si="2"/>
        <v>0.08</v>
      </c>
      <c r="K56">
        <f t="shared" si="3"/>
        <v>2.4305555555555552E-3</v>
      </c>
      <c r="L56">
        <f t="shared" si="4"/>
        <v>4.0000000000000003E-5</v>
      </c>
      <c r="M56">
        <f t="shared" si="5"/>
        <v>1.7404807291666661E-2</v>
      </c>
      <c r="N56">
        <f t="shared" si="6"/>
        <v>0.08</v>
      </c>
      <c r="O56">
        <f t="shared" si="7"/>
        <v>7.6948250000000011E-4</v>
      </c>
      <c r="P56" s="4">
        <f t="shared" si="8"/>
        <v>1.0384120266666663</v>
      </c>
    </row>
    <row r="57" spans="1:16" x14ac:dyDescent="0.75">
      <c r="A57">
        <v>0.56000000000000005</v>
      </c>
      <c r="B57">
        <f t="shared" si="0"/>
        <v>1.552708</v>
      </c>
      <c r="C57">
        <v>0.2</v>
      </c>
      <c r="D57">
        <f t="shared" si="9"/>
        <v>77.777799999999999</v>
      </c>
      <c r="E57">
        <f t="shared" si="2"/>
        <v>0.08</v>
      </c>
      <c r="K57">
        <f t="shared" si="3"/>
        <v>2.4305555555555552E-3</v>
      </c>
      <c r="L57">
        <f t="shared" si="4"/>
        <v>4.0000000000000003E-5</v>
      </c>
      <c r="M57">
        <f t="shared" si="5"/>
        <v>1.7371890277777774E-2</v>
      </c>
      <c r="N57">
        <f t="shared" si="6"/>
        <v>0.08</v>
      </c>
      <c r="O57">
        <f t="shared" si="7"/>
        <v>7.7625399999999998E-4</v>
      </c>
      <c r="P57" s="4">
        <f t="shared" si="8"/>
        <v>1.0565601709444441</v>
      </c>
    </row>
    <row r="58" spans="1:16" x14ac:dyDescent="0.75">
      <c r="A58">
        <v>0.56999999999999995</v>
      </c>
      <c r="B58">
        <f t="shared" si="0"/>
        <v>1.5662509999999998</v>
      </c>
      <c r="C58">
        <v>0.2</v>
      </c>
      <c r="D58">
        <f t="shared" si="9"/>
        <v>78.282849999999996</v>
      </c>
      <c r="E58">
        <f t="shared" si="2"/>
        <v>0.08</v>
      </c>
      <c r="K58">
        <f t="shared" si="3"/>
        <v>2.4305555555555552E-3</v>
      </c>
      <c r="L58">
        <f t="shared" si="4"/>
        <v>4.0000000000000003E-5</v>
      </c>
      <c r="M58">
        <f t="shared" si="5"/>
        <v>1.7338973263888887E-2</v>
      </c>
      <c r="N58">
        <f t="shared" si="6"/>
        <v>0.08</v>
      </c>
      <c r="O58">
        <f t="shared" si="7"/>
        <v>7.8302549999999997E-4</v>
      </c>
      <c r="P58" s="4">
        <f t="shared" si="8"/>
        <v>1.0746821697083331</v>
      </c>
    </row>
    <row r="59" spans="1:16" x14ac:dyDescent="0.75">
      <c r="A59">
        <v>0.57999999999999996</v>
      </c>
      <c r="B59">
        <f t="shared" si="0"/>
        <v>1.5797940000000001</v>
      </c>
      <c r="C59">
        <v>0.2</v>
      </c>
      <c r="D59">
        <f t="shared" si="9"/>
        <v>78.787899999999993</v>
      </c>
      <c r="E59">
        <f t="shared" si="2"/>
        <v>0.08</v>
      </c>
      <c r="K59">
        <f t="shared" si="3"/>
        <v>2.4305555555555552E-3</v>
      </c>
      <c r="L59">
        <f t="shared" si="4"/>
        <v>4.0000000000000003E-5</v>
      </c>
      <c r="M59">
        <f t="shared" si="5"/>
        <v>1.7306056249999997E-2</v>
      </c>
      <c r="N59">
        <f t="shared" si="6"/>
        <v>0.08</v>
      </c>
      <c r="O59">
        <f t="shared" si="7"/>
        <v>7.8979700000000007E-4</v>
      </c>
      <c r="P59" s="4">
        <f t="shared" si="8"/>
        <v>1.092778022958333</v>
      </c>
    </row>
    <row r="60" spans="1:16" x14ac:dyDescent="0.75">
      <c r="A60">
        <v>0.59</v>
      </c>
      <c r="B60">
        <f t="shared" si="0"/>
        <v>1.593337</v>
      </c>
      <c r="C60">
        <v>0.2</v>
      </c>
      <c r="D60">
        <f t="shared" si="9"/>
        <v>79.29294999999999</v>
      </c>
      <c r="E60">
        <f t="shared" si="2"/>
        <v>0.08</v>
      </c>
      <c r="K60">
        <f t="shared" si="3"/>
        <v>2.4305555555555552E-3</v>
      </c>
      <c r="L60">
        <f t="shared" si="4"/>
        <v>4.0000000000000003E-5</v>
      </c>
      <c r="M60">
        <f t="shared" si="5"/>
        <v>1.7273139236111106E-2</v>
      </c>
      <c r="N60">
        <f t="shared" si="6"/>
        <v>0.08</v>
      </c>
      <c r="O60">
        <f t="shared" si="7"/>
        <v>7.9656850000000006E-4</v>
      </c>
      <c r="P60" s="4">
        <f t="shared" si="8"/>
        <v>1.1108477306944442</v>
      </c>
    </row>
    <row r="61" spans="1:16" x14ac:dyDescent="0.75">
      <c r="A61">
        <v>0.6</v>
      </c>
      <c r="B61">
        <f t="shared" si="0"/>
        <v>1.6068799999999999</v>
      </c>
      <c r="C61">
        <v>0.2</v>
      </c>
      <c r="D61">
        <f t="shared" si="9"/>
        <v>79.798000000000002</v>
      </c>
      <c r="E61">
        <f t="shared" si="2"/>
        <v>0.08</v>
      </c>
      <c r="K61">
        <f t="shared" si="3"/>
        <v>2.4305555555555552E-3</v>
      </c>
      <c r="L61">
        <f t="shared" si="4"/>
        <v>4.0000000000000003E-5</v>
      </c>
      <c r="M61">
        <f t="shared" si="5"/>
        <v>1.7240222222222216E-2</v>
      </c>
      <c r="N61">
        <f t="shared" si="6"/>
        <v>0.08</v>
      </c>
      <c r="O61">
        <f t="shared" si="7"/>
        <v>8.0333999999999994E-4</v>
      </c>
      <c r="P61" s="4">
        <f t="shared" si="8"/>
        <v>1.1288912929166666</v>
      </c>
    </row>
    <row r="62" spans="1:16" x14ac:dyDescent="0.75">
      <c r="A62">
        <v>0.61</v>
      </c>
      <c r="B62">
        <f t="shared" si="0"/>
        <v>1.6204230000000002</v>
      </c>
      <c r="C62">
        <v>0.2</v>
      </c>
      <c r="D62">
        <f t="shared" si="9"/>
        <v>80.303049999999999</v>
      </c>
      <c r="E62">
        <f t="shared" si="2"/>
        <v>0.08</v>
      </c>
      <c r="K62">
        <f t="shared" si="3"/>
        <v>2.4305555555555552E-3</v>
      </c>
      <c r="L62">
        <f t="shared" si="4"/>
        <v>4.0000000000000003E-5</v>
      </c>
      <c r="M62">
        <f t="shared" si="5"/>
        <v>1.7207305208333329E-2</v>
      </c>
      <c r="N62">
        <f t="shared" si="6"/>
        <v>0.08</v>
      </c>
      <c r="O62">
        <f t="shared" si="7"/>
        <v>8.1011150000000014E-4</v>
      </c>
      <c r="P62" s="4">
        <f t="shared" si="8"/>
        <v>1.1469087096249999</v>
      </c>
    </row>
    <row r="63" spans="1:16" x14ac:dyDescent="0.75">
      <c r="A63">
        <v>0.62</v>
      </c>
      <c r="B63">
        <f t="shared" si="0"/>
        <v>1.633966</v>
      </c>
      <c r="C63">
        <v>0.2</v>
      </c>
      <c r="D63">
        <f t="shared" si="9"/>
        <v>80.808099999999996</v>
      </c>
      <c r="E63">
        <f t="shared" si="2"/>
        <v>0.08</v>
      </c>
      <c r="K63">
        <f t="shared" si="3"/>
        <v>2.4305555555555552E-3</v>
      </c>
      <c r="L63">
        <f t="shared" si="4"/>
        <v>4.0000000000000003E-5</v>
      </c>
      <c r="M63">
        <f t="shared" si="5"/>
        <v>1.7174388194444438E-2</v>
      </c>
      <c r="N63">
        <f t="shared" si="6"/>
        <v>0.08</v>
      </c>
      <c r="O63">
        <f t="shared" si="7"/>
        <v>8.1688300000000002E-4</v>
      </c>
      <c r="P63" s="4">
        <f t="shared" si="8"/>
        <v>1.1648999808194442</v>
      </c>
    </row>
    <row r="64" spans="1:16" x14ac:dyDescent="0.75">
      <c r="A64">
        <v>0.63</v>
      </c>
      <c r="B64">
        <f t="shared" si="0"/>
        <v>1.6475089999999999</v>
      </c>
      <c r="C64">
        <v>0.2</v>
      </c>
      <c r="D64">
        <f t="shared" si="9"/>
        <v>81.313150000000007</v>
      </c>
      <c r="E64">
        <f t="shared" si="2"/>
        <v>0.08</v>
      </c>
      <c r="K64">
        <f t="shared" si="3"/>
        <v>2.4305555555555552E-3</v>
      </c>
      <c r="L64">
        <f t="shared" si="4"/>
        <v>4.0000000000000003E-5</v>
      </c>
      <c r="M64">
        <f t="shared" si="5"/>
        <v>1.7141471180555552E-2</v>
      </c>
      <c r="N64">
        <f t="shared" si="6"/>
        <v>0.08</v>
      </c>
      <c r="O64">
        <f t="shared" si="7"/>
        <v>8.2365450000000001E-4</v>
      </c>
      <c r="P64" s="4">
        <f t="shared" si="8"/>
        <v>1.1828651064999998</v>
      </c>
    </row>
    <row r="65" spans="1:16" x14ac:dyDescent="0.75">
      <c r="A65">
        <v>0.64</v>
      </c>
      <c r="B65">
        <f t="shared" si="0"/>
        <v>1.6610520000000002</v>
      </c>
      <c r="C65">
        <v>0.2</v>
      </c>
      <c r="D65">
        <f t="shared" si="9"/>
        <v>81.81819999999999</v>
      </c>
      <c r="E65">
        <f t="shared" si="2"/>
        <v>0.08</v>
      </c>
      <c r="K65">
        <f t="shared" si="3"/>
        <v>2.4305555555555552E-3</v>
      </c>
      <c r="L65">
        <f t="shared" si="4"/>
        <v>4.0000000000000003E-5</v>
      </c>
      <c r="M65">
        <f t="shared" si="5"/>
        <v>1.7108554166666661E-2</v>
      </c>
      <c r="N65">
        <f t="shared" si="6"/>
        <v>0.08</v>
      </c>
      <c r="O65">
        <f t="shared" si="7"/>
        <v>8.304260000000001E-4</v>
      </c>
      <c r="P65" s="4">
        <f t="shared" si="8"/>
        <v>1.2008040866666665</v>
      </c>
    </row>
    <row r="66" spans="1:16" x14ac:dyDescent="0.75">
      <c r="A66">
        <v>0.65</v>
      </c>
      <c r="B66">
        <f t="shared" ref="B66:B129" si="10">1.3543*A66+0.7943</f>
        <v>1.6745950000000001</v>
      </c>
      <c r="C66">
        <v>0.2</v>
      </c>
      <c r="D66">
        <f t="shared" ref="D66:D100" si="11" xml:space="preserve"> 50.505*A66 + 49.495</f>
        <v>82.323250000000002</v>
      </c>
      <c r="E66">
        <f t="shared" ref="E66:E129" si="12">C66/($J$2*$J$4)</f>
        <v>0.08</v>
      </c>
      <c r="K66">
        <f t="shared" ref="K66:K129" si="13">$I$501/E66</f>
        <v>2.4305555555555552E-3</v>
      </c>
      <c r="L66">
        <f t="shared" si="4"/>
        <v>4.0000000000000003E-5</v>
      </c>
      <c r="M66">
        <f t="shared" si="5"/>
        <v>1.7075637152777774E-2</v>
      </c>
      <c r="N66">
        <f t="shared" si="6"/>
        <v>0.08</v>
      </c>
      <c r="O66">
        <f t="shared" si="7"/>
        <v>8.3719750000000009E-4</v>
      </c>
      <c r="P66" s="4">
        <f t="shared" si="8"/>
        <v>1.2187169213194444</v>
      </c>
    </row>
    <row r="67" spans="1:16" x14ac:dyDescent="0.75">
      <c r="A67">
        <v>0.66</v>
      </c>
      <c r="B67">
        <f t="shared" si="10"/>
        <v>1.6881380000000001</v>
      </c>
      <c r="C67">
        <v>0.2</v>
      </c>
      <c r="D67">
        <f t="shared" si="11"/>
        <v>82.828299999999999</v>
      </c>
      <c r="E67">
        <f t="shared" si="12"/>
        <v>0.08</v>
      </c>
      <c r="K67">
        <f t="shared" si="13"/>
        <v>2.4305555555555552E-3</v>
      </c>
      <c r="L67">
        <f t="shared" ref="L67:L130" si="14">$F$2*C67</f>
        <v>4.0000000000000003E-5</v>
      </c>
      <c r="M67">
        <f t="shared" ref="M67:M130" si="15">K67*($H$2-B67)</f>
        <v>1.7042720138888884E-2</v>
      </c>
      <c r="N67">
        <f t="shared" ref="N67:N130" si="16">C67/$J$2</f>
        <v>0.08</v>
      </c>
      <c r="O67">
        <f t="shared" ref="O67:O130" si="17">L67/N67*(B67-$F$2)</f>
        <v>8.4396900000000008E-4</v>
      </c>
      <c r="P67" s="4">
        <f t="shared" si="8"/>
        <v>1.2366036104583333</v>
      </c>
    </row>
    <row r="68" spans="1:16" x14ac:dyDescent="0.75">
      <c r="A68">
        <v>0.67</v>
      </c>
      <c r="B68">
        <f t="shared" si="10"/>
        <v>1.7016810000000002</v>
      </c>
      <c r="C68">
        <v>0.2</v>
      </c>
      <c r="D68">
        <f t="shared" si="11"/>
        <v>83.333349999999996</v>
      </c>
      <c r="E68">
        <f t="shared" si="12"/>
        <v>0.08</v>
      </c>
      <c r="K68">
        <f t="shared" si="13"/>
        <v>2.4305555555555552E-3</v>
      </c>
      <c r="L68">
        <f t="shared" si="14"/>
        <v>4.0000000000000003E-5</v>
      </c>
      <c r="M68">
        <f t="shared" si="15"/>
        <v>1.7009803124999993E-2</v>
      </c>
      <c r="N68">
        <f t="shared" si="16"/>
        <v>0.08</v>
      </c>
      <c r="O68">
        <f t="shared" si="17"/>
        <v>8.5074050000000017E-4</v>
      </c>
      <c r="P68" s="4">
        <f t="shared" ref="P68:P131" si="18">P67+O68+M68</f>
        <v>1.2544641540833332</v>
      </c>
    </row>
    <row r="69" spans="1:16" x14ac:dyDescent="0.75">
      <c r="A69">
        <v>0.68</v>
      </c>
      <c r="B69">
        <f t="shared" si="10"/>
        <v>1.7152240000000001</v>
      </c>
      <c r="C69">
        <v>0.2</v>
      </c>
      <c r="D69">
        <f t="shared" si="11"/>
        <v>83.838400000000007</v>
      </c>
      <c r="E69">
        <f t="shared" si="12"/>
        <v>0.08</v>
      </c>
      <c r="K69">
        <f t="shared" si="13"/>
        <v>2.4305555555555552E-3</v>
      </c>
      <c r="L69">
        <f t="shared" si="14"/>
        <v>4.0000000000000003E-5</v>
      </c>
      <c r="M69">
        <f t="shared" si="15"/>
        <v>1.6976886111111106E-2</v>
      </c>
      <c r="N69">
        <f t="shared" si="16"/>
        <v>0.08</v>
      </c>
      <c r="O69">
        <f t="shared" si="17"/>
        <v>8.5751200000000005E-4</v>
      </c>
      <c r="P69" s="4">
        <f t="shared" si="18"/>
        <v>1.2722985521944443</v>
      </c>
    </row>
    <row r="70" spans="1:16" x14ac:dyDescent="0.75">
      <c r="A70">
        <v>0.69</v>
      </c>
      <c r="B70">
        <f t="shared" si="10"/>
        <v>1.7287669999999999</v>
      </c>
      <c r="C70">
        <v>0.2</v>
      </c>
      <c r="D70">
        <f t="shared" si="11"/>
        <v>84.34344999999999</v>
      </c>
      <c r="E70">
        <f t="shared" si="12"/>
        <v>0.08</v>
      </c>
      <c r="K70">
        <f t="shared" si="13"/>
        <v>2.4305555555555552E-3</v>
      </c>
      <c r="L70">
        <f t="shared" si="14"/>
        <v>4.0000000000000003E-5</v>
      </c>
      <c r="M70">
        <f t="shared" si="15"/>
        <v>1.694396909722222E-2</v>
      </c>
      <c r="N70">
        <f t="shared" si="16"/>
        <v>0.08</v>
      </c>
      <c r="O70">
        <f t="shared" si="17"/>
        <v>8.6428350000000004E-4</v>
      </c>
      <c r="P70" s="4">
        <f t="shared" si="18"/>
        <v>1.2901068047916664</v>
      </c>
    </row>
    <row r="71" spans="1:16" x14ac:dyDescent="0.75">
      <c r="A71">
        <v>0.7</v>
      </c>
      <c r="B71">
        <f t="shared" si="10"/>
        <v>1.74231</v>
      </c>
      <c r="C71">
        <v>0.2</v>
      </c>
      <c r="D71">
        <f t="shared" si="11"/>
        <v>84.848500000000001</v>
      </c>
      <c r="E71">
        <f t="shared" si="12"/>
        <v>0.08</v>
      </c>
      <c r="K71">
        <f t="shared" si="13"/>
        <v>2.4305555555555552E-3</v>
      </c>
      <c r="L71">
        <f t="shared" si="14"/>
        <v>4.0000000000000003E-5</v>
      </c>
      <c r="M71">
        <f t="shared" si="15"/>
        <v>1.6911052083333329E-2</v>
      </c>
      <c r="N71">
        <f t="shared" si="16"/>
        <v>0.08</v>
      </c>
      <c r="O71">
        <f t="shared" si="17"/>
        <v>8.7105500000000003E-4</v>
      </c>
      <c r="P71" s="4">
        <f t="shared" si="18"/>
        <v>1.3078889118749997</v>
      </c>
    </row>
    <row r="72" spans="1:16" x14ac:dyDescent="0.75">
      <c r="A72">
        <v>0.71</v>
      </c>
      <c r="B72">
        <f t="shared" si="10"/>
        <v>1.7558530000000001</v>
      </c>
      <c r="C72">
        <v>0.2</v>
      </c>
      <c r="D72">
        <f t="shared" si="11"/>
        <v>85.353549999999998</v>
      </c>
      <c r="E72">
        <f t="shared" si="12"/>
        <v>0.08</v>
      </c>
      <c r="K72">
        <f t="shared" si="13"/>
        <v>2.4305555555555552E-3</v>
      </c>
      <c r="L72">
        <f t="shared" si="14"/>
        <v>4.0000000000000003E-5</v>
      </c>
      <c r="M72">
        <f t="shared" si="15"/>
        <v>1.6878135069444439E-2</v>
      </c>
      <c r="N72">
        <f t="shared" si="16"/>
        <v>0.08</v>
      </c>
      <c r="O72">
        <f t="shared" si="17"/>
        <v>8.7782650000000012E-4</v>
      </c>
      <c r="P72" s="4">
        <f t="shared" si="18"/>
        <v>1.3256448734444441</v>
      </c>
    </row>
    <row r="73" spans="1:16" x14ac:dyDescent="0.75">
      <c r="A73">
        <v>0.72</v>
      </c>
      <c r="B73">
        <f t="shared" si="10"/>
        <v>1.769396</v>
      </c>
      <c r="C73">
        <v>0.2</v>
      </c>
      <c r="D73">
        <f t="shared" si="11"/>
        <v>85.858599999999996</v>
      </c>
      <c r="E73">
        <f t="shared" si="12"/>
        <v>0.08</v>
      </c>
      <c r="K73">
        <f t="shared" si="13"/>
        <v>2.4305555555555552E-3</v>
      </c>
      <c r="L73">
        <f t="shared" si="14"/>
        <v>4.0000000000000003E-5</v>
      </c>
      <c r="M73">
        <f t="shared" si="15"/>
        <v>1.6845218055555548E-2</v>
      </c>
      <c r="N73">
        <f t="shared" si="16"/>
        <v>0.08</v>
      </c>
      <c r="O73">
        <f t="shared" si="17"/>
        <v>8.84598E-4</v>
      </c>
      <c r="P73" s="4">
        <f t="shared" si="18"/>
        <v>1.3433746894999998</v>
      </c>
    </row>
    <row r="74" spans="1:16" x14ac:dyDescent="0.75">
      <c r="A74">
        <v>0.73</v>
      </c>
      <c r="B74">
        <f t="shared" si="10"/>
        <v>1.7829390000000001</v>
      </c>
      <c r="C74">
        <v>0.2</v>
      </c>
      <c r="D74">
        <f t="shared" si="11"/>
        <v>86.363650000000007</v>
      </c>
      <c r="E74">
        <f t="shared" si="12"/>
        <v>0.08</v>
      </c>
      <c r="K74">
        <f t="shared" si="13"/>
        <v>2.4305555555555552E-3</v>
      </c>
      <c r="L74">
        <f t="shared" si="14"/>
        <v>4.0000000000000003E-5</v>
      </c>
      <c r="M74">
        <f t="shared" si="15"/>
        <v>1.6812301041666661E-2</v>
      </c>
      <c r="N74">
        <f t="shared" si="16"/>
        <v>0.08</v>
      </c>
      <c r="O74">
        <f t="shared" si="17"/>
        <v>8.913695000000001E-4</v>
      </c>
      <c r="P74" s="4">
        <f t="shared" si="18"/>
        <v>1.3610783600416665</v>
      </c>
    </row>
    <row r="75" spans="1:16" x14ac:dyDescent="0.75">
      <c r="A75">
        <v>0.74</v>
      </c>
      <c r="B75">
        <f t="shared" si="10"/>
        <v>1.7964820000000001</v>
      </c>
      <c r="C75">
        <v>0.2</v>
      </c>
      <c r="D75">
        <f t="shared" si="11"/>
        <v>86.86869999999999</v>
      </c>
      <c r="E75">
        <f t="shared" si="12"/>
        <v>0.08</v>
      </c>
      <c r="K75">
        <f t="shared" si="13"/>
        <v>2.4305555555555552E-3</v>
      </c>
      <c r="L75">
        <f>$F$2*C75</f>
        <v>4.0000000000000003E-5</v>
      </c>
      <c r="M75">
        <f t="shared" si="15"/>
        <v>1.6779384027777774E-2</v>
      </c>
      <c r="N75">
        <f t="shared" si="16"/>
        <v>0.08</v>
      </c>
      <c r="O75">
        <f t="shared" si="17"/>
        <v>8.9814100000000009E-4</v>
      </c>
      <c r="P75" s="4">
        <f t="shared" si="18"/>
        <v>1.3787558850694441</v>
      </c>
    </row>
    <row r="76" spans="1:16" x14ac:dyDescent="0.75">
      <c r="A76">
        <v>0.75</v>
      </c>
      <c r="B76">
        <f t="shared" si="10"/>
        <v>1.810025</v>
      </c>
      <c r="C76">
        <v>0.2</v>
      </c>
      <c r="D76">
        <f t="shared" si="11"/>
        <v>87.373750000000001</v>
      </c>
      <c r="E76">
        <f t="shared" si="12"/>
        <v>0.08</v>
      </c>
      <c r="K76">
        <f t="shared" si="13"/>
        <v>2.4305555555555552E-3</v>
      </c>
      <c r="L76">
        <f t="shared" si="14"/>
        <v>4.0000000000000003E-5</v>
      </c>
      <c r="M76">
        <f t="shared" si="15"/>
        <v>1.6746467013888884E-2</v>
      </c>
      <c r="N76">
        <f t="shared" si="16"/>
        <v>0.08</v>
      </c>
      <c r="O76">
        <f t="shared" si="17"/>
        <v>9.0491250000000007E-4</v>
      </c>
      <c r="P76" s="4">
        <f t="shared" si="18"/>
        <v>1.396407264583333</v>
      </c>
    </row>
    <row r="77" spans="1:16" x14ac:dyDescent="0.75">
      <c r="A77">
        <v>0.76</v>
      </c>
      <c r="B77">
        <f t="shared" si="10"/>
        <v>1.8235680000000001</v>
      </c>
      <c r="C77">
        <v>0.2</v>
      </c>
      <c r="D77">
        <f t="shared" si="11"/>
        <v>87.878799999999998</v>
      </c>
      <c r="E77">
        <f t="shared" si="12"/>
        <v>0.08</v>
      </c>
      <c r="K77">
        <f t="shared" si="13"/>
        <v>2.4305555555555552E-3</v>
      </c>
      <c r="L77">
        <f t="shared" si="14"/>
        <v>4.0000000000000003E-5</v>
      </c>
      <c r="M77">
        <f t="shared" si="15"/>
        <v>1.6713549999999997E-2</v>
      </c>
      <c r="N77">
        <f t="shared" si="16"/>
        <v>0.08</v>
      </c>
      <c r="O77">
        <f t="shared" si="17"/>
        <v>9.1168400000000006E-4</v>
      </c>
      <c r="P77" s="4">
        <f t="shared" si="18"/>
        <v>1.414032498583333</v>
      </c>
    </row>
    <row r="78" spans="1:16" x14ac:dyDescent="0.75">
      <c r="A78">
        <v>0.77</v>
      </c>
      <c r="B78">
        <f t="shared" si="10"/>
        <v>1.8371110000000002</v>
      </c>
      <c r="C78">
        <v>0.2</v>
      </c>
      <c r="D78">
        <f t="shared" si="11"/>
        <v>88.383849999999995</v>
      </c>
      <c r="E78">
        <f t="shared" si="12"/>
        <v>0.08</v>
      </c>
      <c r="K78">
        <f t="shared" si="13"/>
        <v>2.4305555555555552E-3</v>
      </c>
      <c r="L78">
        <f t="shared" si="14"/>
        <v>4.0000000000000003E-5</v>
      </c>
      <c r="M78">
        <f t="shared" si="15"/>
        <v>1.6680632986111107E-2</v>
      </c>
      <c r="N78">
        <f t="shared" si="16"/>
        <v>0.08</v>
      </c>
      <c r="O78">
        <f t="shared" si="17"/>
        <v>9.1845550000000016E-4</v>
      </c>
      <c r="P78" s="4">
        <f t="shared" si="18"/>
        <v>1.431631587069444</v>
      </c>
    </row>
    <row r="79" spans="1:16" x14ac:dyDescent="0.75">
      <c r="A79">
        <v>0.78</v>
      </c>
      <c r="B79">
        <f t="shared" si="10"/>
        <v>1.850654</v>
      </c>
      <c r="C79">
        <v>0.2</v>
      </c>
      <c r="D79">
        <f t="shared" si="11"/>
        <v>88.888900000000007</v>
      </c>
      <c r="E79">
        <f t="shared" si="12"/>
        <v>0.08</v>
      </c>
      <c r="K79">
        <f t="shared" si="13"/>
        <v>2.4305555555555552E-3</v>
      </c>
      <c r="L79">
        <f t="shared" si="14"/>
        <v>4.0000000000000003E-5</v>
      </c>
      <c r="M79">
        <f t="shared" si="15"/>
        <v>1.6647715972222216E-2</v>
      </c>
      <c r="N79">
        <f t="shared" si="16"/>
        <v>0.08</v>
      </c>
      <c r="O79">
        <f t="shared" si="17"/>
        <v>9.2522700000000004E-4</v>
      </c>
      <c r="P79" s="4">
        <f t="shared" si="18"/>
        <v>1.4492045300416663</v>
      </c>
    </row>
    <row r="80" spans="1:16" x14ac:dyDescent="0.75">
      <c r="A80">
        <v>0.79</v>
      </c>
      <c r="B80">
        <f t="shared" si="10"/>
        <v>1.8641970000000001</v>
      </c>
      <c r="C80">
        <v>0.2</v>
      </c>
      <c r="D80">
        <f t="shared" si="11"/>
        <v>89.393950000000004</v>
      </c>
      <c r="E80">
        <f t="shared" si="12"/>
        <v>0.08</v>
      </c>
      <c r="K80">
        <f t="shared" si="13"/>
        <v>2.4305555555555552E-3</v>
      </c>
      <c r="L80">
        <f t="shared" si="14"/>
        <v>4.0000000000000003E-5</v>
      </c>
      <c r="M80">
        <f t="shared" si="15"/>
        <v>1.6614798958333329E-2</v>
      </c>
      <c r="N80">
        <f t="shared" si="16"/>
        <v>0.08</v>
      </c>
      <c r="O80">
        <f t="shared" si="17"/>
        <v>9.3199850000000013E-4</v>
      </c>
      <c r="P80" s="4">
        <f t="shared" si="18"/>
        <v>1.4667513274999997</v>
      </c>
    </row>
    <row r="81" spans="1:16" x14ac:dyDescent="0.75">
      <c r="A81">
        <v>0.8</v>
      </c>
      <c r="B81">
        <f t="shared" si="10"/>
        <v>1.8777400000000002</v>
      </c>
      <c r="C81">
        <v>0.2</v>
      </c>
      <c r="D81">
        <f t="shared" si="11"/>
        <v>89.899000000000001</v>
      </c>
      <c r="E81">
        <f t="shared" si="12"/>
        <v>0.08</v>
      </c>
      <c r="K81">
        <f t="shared" si="13"/>
        <v>2.4305555555555552E-3</v>
      </c>
      <c r="L81">
        <f t="shared" si="14"/>
        <v>4.0000000000000003E-5</v>
      </c>
      <c r="M81">
        <f t="shared" si="15"/>
        <v>1.6581881944444439E-2</v>
      </c>
      <c r="N81">
        <f t="shared" si="16"/>
        <v>0.08</v>
      </c>
      <c r="O81">
        <f t="shared" si="17"/>
        <v>9.3877000000000012E-4</v>
      </c>
      <c r="P81" s="4">
        <f t="shared" si="18"/>
        <v>1.4842719794444443</v>
      </c>
    </row>
    <row r="82" spans="1:16" x14ac:dyDescent="0.75">
      <c r="A82">
        <v>0.81</v>
      </c>
      <c r="B82">
        <f t="shared" si="10"/>
        <v>1.891283</v>
      </c>
      <c r="C82">
        <v>0.2</v>
      </c>
      <c r="D82">
        <f t="shared" si="11"/>
        <v>90.404050000000012</v>
      </c>
      <c r="E82">
        <f t="shared" si="12"/>
        <v>0.08</v>
      </c>
      <c r="K82">
        <f t="shared" si="13"/>
        <v>2.4305555555555552E-3</v>
      </c>
      <c r="L82">
        <f t="shared" si="14"/>
        <v>4.0000000000000003E-5</v>
      </c>
      <c r="M82">
        <f t="shared" si="15"/>
        <v>1.6548964930555552E-2</v>
      </c>
      <c r="N82">
        <f t="shared" si="16"/>
        <v>0.08</v>
      </c>
      <c r="O82">
        <f t="shared" si="17"/>
        <v>9.4554150000000011E-4</v>
      </c>
      <c r="P82" s="4">
        <f t="shared" si="18"/>
        <v>1.5017664858749997</v>
      </c>
    </row>
    <row r="83" spans="1:16" x14ac:dyDescent="0.75">
      <c r="A83">
        <v>0.82</v>
      </c>
      <c r="B83">
        <f t="shared" si="10"/>
        <v>1.9048259999999999</v>
      </c>
      <c r="C83">
        <v>0.2</v>
      </c>
      <c r="D83">
        <f t="shared" si="11"/>
        <v>90.909099999999995</v>
      </c>
      <c r="E83">
        <f t="shared" si="12"/>
        <v>0.08</v>
      </c>
      <c r="K83">
        <f t="shared" si="13"/>
        <v>2.4305555555555552E-3</v>
      </c>
      <c r="L83">
        <f t="shared" si="14"/>
        <v>4.0000000000000003E-5</v>
      </c>
      <c r="M83">
        <f t="shared" si="15"/>
        <v>1.6516047916666662E-2</v>
      </c>
      <c r="N83">
        <f t="shared" si="16"/>
        <v>0.08</v>
      </c>
      <c r="O83">
        <f t="shared" si="17"/>
        <v>9.5231299999999999E-4</v>
      </c>
      <c r="P83" s="4">
        <f t="shared" si="18"/>
        <v>1.5192348467916663</v>
      </c>
    </row>
    <row r="84" spans="1:16" x14ac:dyDescent="0.75">
      <c r="A84">
        <v>0.83</v>
      </c>
      <c r="B84">
        <f t="shared" si="10"/>
        <v>1.918369</v>
      </c>
      <c r="C84">
        <v>0.2</v>
      </c>
      <c r="D84">
        <f t="shared" si="11"/>
        <v>91.414150000000006</v>
      </c>
      <c r="E84">
        <f t="shared" si="12"/>
        <v>0.08</v>
      </c>
      <c r="K84">
        <f t="shared" si="13"/>
        <v>2.4305555555555552E-3</v>
      </c>
      <c r="L84">
        <f t="shared" si="14"/>
        <v>4.0000000000000003E-5</v>
      </c>
      <c r="M84">
        <f t="shared" si="15"/>
        <v>1.6483130902777771E-2</v>
      </c>
      <c r="N84">
        <f t="shared" si="16"/>
        <v>0.08</v>
      </c>
      <c r="O84">
        <f t="shared" si="17"/>
        <v>9.5908449999999998E-4</v>
      </c>
      <c r="P84" s="4">
        <f t="shared" si="18"/>
        <v>1.5366770621944441</v>
      </c>
    </row>
    <row r="85" spans="1:16" x14ac:dyDescent="0.75">
      <c r="A85">
        <v>0.84</v>
      </c>
      <c r="B85">
        <f t="shared" si="10"/>
        <v>1.9319120000000001</v>
      </c>
      <c r="C85">
        <v>0.2</v>
      </c>
      <c r="D85">
        <f t="shared" si="11"/>
        <v>91.919199999999989</v>
      </c>
      <c r="E85">
        <f t="shared" si="12"/>
        <v>0.08</v>
      </c>
      <c r="K85">
        <f t="shared" si="13"/>
        <v>2.4305555555555552E-3</v>
      </c>
      <c r="L85">
        <f t="shared" si="14"/>
        <v>4.0000000000000003E-5</v>
      </c>
      <c r="M85">
        <f t="shared" si="15"/>
        <v>1.6450213888888884E-2</v>
      </c>
      <c r="N85">
        <f t="shared" si="16"/>
        <v>0.08</v>
      </c>
      <c r="O85">
        <f t="shared" si="17"/>
        <v>9.6585600000000007E-4</v>
      </c>
      <c r="P85" s="4">
        <f t="shared" si="18"/>
        <v>1.5540931320833331</v>
      </c>
    </row>
    <row r="86" spans="1:16" x14ac:dyDescent="0.75">
      <c r="A86">
        <v>0.85</v>
      </c>
      <c r="B86">
        <f t="shared" si="10"/>
        <v>1.9454549999999999</v>
      </c>
      <c r="C86">
        <v>0.2</v>
      </c>
      <c r="D86">
        <f t="shared" si="11"/>
        <v>92.424250000000001</v>
      </c>
      <c r="E86">
        <f t="shared" si="12"/>
        <v>0.08</v>
      </c>
      <c r="K86">
        <f t="shared" si="13"/>
        <v>2.4305555555555552E-3</v>
      </c>
      <c r="L86">
        <f t="shared" si="14"/>
        <v>4.0000000000000003E-5</v>
      </c>
      <c r="M86">
        <f t="shared" si="15"/>
        <v>1.6417296874999997E-2</v>
      </c>
      <c r="N86">
        <f t="shared" si="16"/>
        <v>0.08</v>
      </c>
      <c r="O86">
        <f t="shared" si="17"/>
        <v>9.7262749999999995E-4</v>
      </c>
      <c r="P86" s="4">
        <f t="shared" si="18"/>
        <v>1.5714830564583331</v>
      </c>
    </row>
    <row r="87" spans="1:16" x14ac:dyDescent="0.75">
      <c r="A87">
        <v>0.86</v>
      </c>
      <c r="B87">
        <f t="shared" si="10"/>
        <v>1.958998</v>
      </c>
      <c r="C87">
        <v>0.2</v>
      </c>
      <c r="D87">
        <f t="shared" si="11"/>
        <v>92.929299999999998</v>
      </c>
      <c r="E87">
        <f t="shared" si="12"/>
        <v>0.08</v>
      </c>
      <c r="K87">
        <f t="shared" si="13"/>
        <v>2.4305555555555552E-3</v>
      </c>
      <c r="L87">
        <f t="shared" si="14"/>
        <v>4.0000000000000003E-5</v>
      </c>
      <c r="M87">
        <f t="shared" si="15"/>
        <v>1.6384379861111107E-2</v>
      </c>
      <c r="N87">
        <f t="shared" si="16"/>
        <v>0.08</v>
      </c>
      <c r="O87">
        <f t="shared" si="17"/>
        <v>9.7939899999999994E-4</v>
      </c>
      <c r="P87" s="4">
        <f t="shared" si="18"/>
        <v>1.5888468353194443</v>
      </c>
    </row>
    <row r="88" spans="1:16" x14ac:dyDescent="0.75">
      <c r="A88">
        <v>0.87</v>
      </c>
      <c r="B88">
        <f t="shared" si="10"/>
        <v>1.9725410000000001</v>
      </c>
      <c r="C88">
        <v>0.2</v>
      </c>
      <c r="D88">
        <f t="shared" si="11"/>
        <v>93.434349999999995</v>
      </c>
      <c r="E88">
        <f t="shared" si="12"/>
        <v>0.08</v>
      </c>
      <c r="K88">
        <f t="shared" si="13"/>
        <v>2.4305555555555552E-3</v>
      </c>
      <c r="L88">
        <f t="shared" si="14"/>
        <v>4.0000000000000003E-5</v>
      </c>
      <c r="M88">
        <f t="shared" si="15"/>
        <v>1.635146284722222E-2</v>
      </c>
      <c r="N88">
        <f t="shared" si="16"/>
        <v>0.08</v>
      </c>
      <c r="O88">
        <f t="shared" si="17"/>
        <v>9.8617050000000014E-4</v>
      </c>
      <c r="P88" s="4">
        <f t="shared" si="18"/>
        <v>1.6061844686666666</v>
      </c>
    </row>
    <row r="89" spans="1:16" x14ac:dyDescent="0.75">
      <c r="A89">
        <v>0.88</v>
      </c>
      <c r="B89">
        <f t="shared" si="10"/>
        <v>1.986084</v>
      </c>
      <c r="C89">
        <v>0.2</v>
      </c>
      <c r="D89">
        <f t="shared" si="11"/>
        <v>93.939400000000006</v>
      </c>
      <c r="E89">
        <f t="shared" si="12"/>
        <v>0.08</v>
      </c>
      <c r="K89">
        <f t="shared" si="13"/>
        <v>2.4305555555555552E-3</v>
      </c>
      <c r="L89">
        <f t="shared" si="14"/>
        <v>4.0000000000000003E-5</v>
      </c>
      <c r="M89">
        <f t="shared" si="15"/>
        <v>1.631854583333333E-2</v>
      </c>
      <c r="N89">
        <f t="shared" si="16"/>
        <v>0.08</v>
      </c>
      <c r="O89">
        <f t="shared" si="17"/>
        <v>9.9294199999999991E-4</v>
      </c>
      <c r="P89" s="4">
        <f t="shared" si="18"/>
        <v>1.6234959565</v>
      </c>
    </row>
    <row r="90" spans="1:16" x14ac:dyDescent="0.75">
      <c r="A90">
        <v>0.89</v>
      </c>
      <c r="B90">
        <f t="shared" si="10"/>
        <v>1.999627</v>
      </c>
      <c r="C90">
        <v>0.2</v>
      </c>
      <c r="D90">
        <f t="shared" si="11"/>
        <v>94.444450000000003</v>
      </c>
      <c r="E90">
        <f t="shared" si="12"/>
        <v>0.08</v>
      </c>
      <c r="K90">
        <f t="shared" si="13"/>
        <v>2.4305555555555552E-3</v>
      </c>
      <c r="L90">
        <f t="shared" si="14"/>
        <v>4.0000000000000003E-5</v>
      </c>
      <c r="M90">
        <f t="shared" si="15"/>
        <v>1.6285628819444439E-2</v>
      </c>
      <c r="N90">
        <f t="shared" si="16"/>
        <v>0.08</v>
      </c>
      <c r="O90">
        <f t="shared" si="17"/>
        <v>9.9971350000000012E-4</v>
      </c>
      <c r="P90" s="4">
        <f t="shared" si="18"/>
        <v>1.6407812988194443</v>
      </c>
    </row>
    <row r="91" spans="1:16" x14ac:dyDescent="0.75">
      <c r="A91">
        <v>0.9</v>
      </c>
      <c r="B91">
        <f t="shared" si="10"/>
        <v>2.0131700000000001</v>
      </c>
      <c r="C91">
        <v>0.2</v>
      </c>
      <c r="D91">
        <f t="shared" si="11"/>
        <v>94.9495</v>
      </c>
      <c r="E91">
        <f t="shared" si="12"/>
        <v>0.08</v>
      </c>
      <c r="K91">
        <f t="shared" si="13"/>
        <v>2.4305555555555552E-3</v>
      </c>
      <c r="L91">
        <f t="shared" si="14"/>
        <v>4.0000000000000003E-5</v>
      </c>
      <c r="M91">
        <f t="shared" si="15"/>
        <v>1.6252711805555549E-2</v>
      </c>
      <c r="N91">
        <f t="shared" si="16"/>
        <v>0.08</v>
      </c>
      <c r="O91">
        <f t="shared" si="17"/>
        <v>1.0064850000000001E-3</v>
      </c>
      <c r="P91" s="4">
        <f t="shared" si="18"/>
        <v>1.6580404956249999</v>
      </c>
    </row>
    <row r="92" spans="1:16" x14ac:dyDescent="0.75">
      <c r="A92">
        <v>0.91</v>
      </c>
      <c r="B92">
        <f t="shared" si="10"/>
        <v>2.026713</v>
      </c>
      <c r="C92">
        <v>0.2</v>
      </c>
      <c r="D92">
        <f t="shared" si="11"/>
        <v>95.454550000000012</v>
      </c>
      <c r="E92">
        <f t="shared" si="12"/>
        <v>0.08</v>
      </c>
      <c r="K92">
        <f t="shared" si="13"/>
        <v>2.4305555555555552E-3</v>
      </c>
      <c r="L92">
        <f t="shared" si="14"/>
        <v>4.0000000000000003E-5</v>
      </c>
      <c r="M92">
        <f t="shared" si="15"/>
        <v>1.6219794791666662E-2</v>
      </c>
      <c r="N92">
        <f t="shared" si="16"/>
        <v>0.08</v>
      </c>
      <c r="O92">
        <f t="shared" si="17"/>
        <v>1.0132565000000001E-3</v>
      </c>
      <c r="P92" s="4">
        <f t="shared" si="18"/>
        <v>1.6752735469166666</v>
      </c>
    </row>
    <row r="93" spans="1:16" x14ac:dyDescent="0.75">
      <c r="A93">
        <v>0.92</v>
      </c>
      <c r="B93">
        <f t="shared" si="10"/>
        <v>2.0402560000000003</v>
      </c>
      <c r="C93">
        <v>0.2</v>
      </c>
      <c r="D93">
        <f t="shared" si="11"/>
        <v>95.959599999999995</v>
      </c>
      <c r="E93">
        <f t="shared" si="12"/>
        <v>0.08</v>
      </c>
      <c r="K93">
        <f t="shared" si="13"/>
        <v>2.4305555555555552E-3</v>
      </c>
      <c r="L93">
        <f t="shared" si="14"/>
        <v>4.0000000000000003E-5</v>
      </c>
      <c r="M93">
        <f t="shared" si="15"/>
        <v>1.6186877777777772E-2</v>
      </c>
      <c r="N93">
        <f t="shared" si="16"/>
        <v>0.08</v>
      </c>
      <c r="O93">
        <f t="shared" si="17"/>
        <v>1.0200280000000001E-3</v>
      </c>
      <c r="P93" s="4">
        <f t="shared" si="18"/>
        <v>1.6924804526944444</v>
      </c>
    </row>
    <row r="94" spans="1:16" x14ac:dyDescent="0.75">
      <c r="A94">
        <v>0.93</v>
      </c>
      <c r="B94">
        <f t="shared" si="10"/>
        <v>2.0537990000000002</v>
      </c>
      <c r="C94">
        <v>0.2</v>
      </c>
      <c r="D94">
        <f t="shared" si="11"/>
        <v>96.464650000000006</v>
      </c>
      <c r="E94">
        <f t="shared" si="12"/>
        <v>0.08</v>
      </c>
      <c r="K94">
        <f t="shared" si="13"/>
        <v>2.4305555555555552E-3</v>
      </c>
      <c r="L94">
        <f t="shared" si="14"/>
        <v>4.0000000000000003E-5</v>
      </c>
      <c r="M94">
        <f t="shared" si="15"/>
        <v>1.6153960763888885E-2</v>
      </c>
      <c r="N94">
        <f t="shared" si="16"/>
        <v>0.08</v>
      </c>
      <c r="O94">
        <f t="shared" si="17"/>
        <v>1.0267995000000001E-3</v>
      </c>
      <c r="P94" s="4">
        <f t="shared" si="18"/>
        <v>1.7096612129583333</v>
      </c>
    </row>
    <row r="95" spans="1:16" x14ac:dyDescent="0.75">
      <c r="A95">
        <v>0.94</v>
      </c>
      <c r="B95">
        <f t="shared" si="10"/>
        <v>2.067342</v>
      </c>
      <c r="C95">
        <v>0.2</v>
      </c>
      <c r="D95">
        <f t="shared" si="11"/>
        <v>96.969699999999989</v>
      </c>
      <c r="E95">
        <f t="shared" si="12"/>
        <v>0.08</v>
      </c>
      <c r="K95">
        <f t="shared" si="13"/>
        <v>2.4305555555555552E-3</v>
      </c>
      <c r="L95">
        <f t="shared" si="14"/>
        <v>4.0000000000000003E-5</v>
      </c>
      <c r="M95">
        <f t="shared" si="15"/>
        <v>1.6121043749999994E-2</v>
      </c>
      <c r="N95">
        <f t="shared" si="16"/>
        <v>0.08</v>
      </c>
      <c r="O95">
        <f t="shared" si="17"/>
        <v>1.0335710000000001E-3</v>
      </c>
      <c r="P95" s="4">
        <f t="shared" si="18"/>
        <v>1.7268158277083332</v>
      </c>
    </row>
    <row r="96" spans="1:16" x14ac:dyDescent="0.75">
      <c r="A96">
        <v>0.95</v>
      </c>
      <c r="B96">
        <f t="shared" si="10"/>
        <v>2.0808850000000003</v>
      </c>
      <c r="C96">
        <v>0.2</v>
      </c>
      <c r="D96">
        <f t="shared" si="11"/>
        <v>97.47475</v>
      </c>
      <c r="E96">
        <f t="shared" si="12"/>
        <v>0.08</v>
      </c>
      <c r="K96">
        <f t="shared" si="13"/>
        <v>2.4305555555555552E-3</v>
      </c>
      <c r="L96">
        <f t="shared" si="14"/>
        <v>4.0000000000000003E-5</v>
      </c>
      <c r="M96">
        <f t="shared" si="15"/>
        <v>1.6088126736111107E-2</v>
      </c>
      <c r="N96">
        <f t="shared" si="16"/>
        <v>0.08</v>
      </c>
      <c r="O96">
        <f t="shared" si="17"/>
        <v>1.0403425000000003E-3</v>
      </c>
      <c r="P96" s="4">
        <f t="shared" si="18"/>
        <v>1.7439442969444443</v>
      </c>
    </row>
    <row r="97" spans="1:16" x14ac:dyDescent="0.75">
      <c r="A97">
        <v>0.96</v>
      </c>
      <c r="B97">
        <f t="shared" si="10"/>
        <v>2.0944279999999997</v>
      </c>
      <c r="C97">
        <v>0.25</v>
      </c>
      <c r="D97">
        <f t="shared" si="11"/>
        <v>97.979799999999997</v>
      </c>
      <c r="E97">
        <f t="shared" si="12"/>
        <v>0.1</v>
      </c>
      <c r="K97">
        <f t="shared" si="13"/>
        <v>1.944444444444444E-3</v>
      </c>
      <c r="L97">
        <f t="shared" si="14"/>
        <v>5.0000000000000002E-5</v>
      </c>
      <c r="M97">
        <f t="shared" si="15"/>
        <v>1.2844167777777773E-2</v>
      </c>
      <c r="N97">
        <f t="shared" si="16"/>
        <v>0.1</v>
      </c>
      <c r="O97">
        <f t="shared" si="17"/>
        <v>1.0471139999999998E-3</v>
      </c>
      <c r="P97" s="4">
        <f t="shared" si="18"/>
        <v>1.757835578722222</v>
      </c>
    </row>
    <row r="98" spans="1:16" x14ac:dyDescent="0.75">
      <c r="A98">
        <v>0.97</v>
      </c>
      <c r="B98">
        <f t="shared" si="10"/>
        <v>2.107971</v>
      </c>
      <c r="C98">
        <f t="shared" ref="C98:C161" si="19">24.75* A98- 23.75</f>
        <v>0.25750000000000028</v>
      </c>
      <c r="D98">
        <f t="shared" si="11"/>
        <v>98.484849999999994</v>
      </c>
      <c r="E98">
        <f t="shared" si="12"/>
        <v>0.10300000000000012</v>
      </c>
      <c r="K98">
        <f t="shared" si="13"/>
        <v>1.8878101402373222E-3</v>
      </c>
      <c r="L98">
        <f t="shared" si="14"/>
        <v>5.1500000000000059E-5</v>
      </c>
      <c r="M98">
        <f t="shared" si="15"/>
        <v>1.2444499190938494E-2</v>
      </c>
      <c r="N98">
        <f t="shared" si="16"/>
        <v>0.10300000000000012</v>
      </c>
      <c r="O98">
        <f t="shared" si="17"/>
        <v>1.0538855E-3</v>
      </c>
      <c r="P98" s="4">
        <f t="shared" si="18"/>
        <v>1.7713339634131604</v>
      </c>
    </row>
    <row r="99" spans="1:16" x14ac:dyDescent="0.75">
      <c r="A99">
        <v>0.98</v>
      </c>
      <c r="B99">
        <f t="shared" si="10"/>
        <v>2.1215140000000003</v>
      </c>
      <c r="C99">
        <f t="shared" si="19"/>
        <v>0.50499999999999901</v>
      </c>
      <c r="D99">
        <f t="shared" si="11"/>
        <v>98.989900000000006</v>
      </c>
      <c r="E99">
        <f t="shared" si="12"/>
        <v>0.2019999999999996</v>
      </c>
      <c r="K99">
        <f t="shared" si="13"/>
        <v>9.6259625962596431E-4</v>
      </c>
      <c r="L99">
        <f t="shared" si="14"/>
        <v>1.0099999999999981E-4</v>
      </c>
      <c r="M99">
        <f t="shared" si="15"/>
        <v>6.3324260176017702E-3</v>
      </c>
      <c r="N99">
        <f t="shared" si="16"/>
        <v>0.2019999999999996</v>
      </c>
      <c r="O99">
        <f t="shared" si="17"/>
        <v>1.0606570000000004E-3</v>
      </c>
      <c r="P99" s="4">
        <f t="shared" si="18"/>
        <v>1.7787270464307623</v>
      </c>
    </row>
    <row r="100" spans="1:16" x14ac:dyDescent="0.75">
      <c r="A100">
        <v>0.99</v>
      </c>
      <c r="B100">
        <f t="shared" si="10"/>
        <v>2.1350569999999998</v>
      </c>
      <c r="C100">
        <f t="shared" si="19"/>
        <v>0.75250000000000128</v>
      </c>
      <c r="D100">
        <f t="shared" si="11"/>
        <v>99.494950000000003</v>
      </c>
      <c r="E100">
        <f t="shared" si="12"/>
        <v>0.30100000000000049</v>
      </c>
      <c r="K100">
        <f t="shared" si="13"/>
        <v>6.459948320413425E-4</v>
      </c>
      <c r="L100">
        <f t="shared" si="14"/>
        <v>1.5050000000000027E-4</v>
      </c>
      <c r="M100">
        <f t="shared" si="15"/>
        <v>4.2409192506459867E-3</v>
      </c>
      <c r="N100">
        <f t="shared" si="16"/>
        <v>0.30100000000000049</v>
      </c>
      <c r="O100">
        <f t="shared" si="17"/>
        <v>1.0674285000000002E-3</v>
      </c>
      <c r="P100" s="4">
        <f t="shared" si="18"/>
        <v>1.7840353941814084</v>
      </c>
    </row>
    <row r="101" spans="1:16" x14ac:dyDescent="0.75">
      <c r="A101">
        <v>1</v>
      </c>
      <c r="B101">
        <f t="shared" si="10"/>
        <v>2.1486000000000001</v>
      </c>
      <c r="C101">
        <f t="shared" si="19"/>
        <v>1</v>
      </c>
      <c r="D101">
        <f t="shared" ref="D101:D132" si="20">900*A101-800</f>
        <v>100</v>
      </c>
      <c r="E101">
        <f t="shared" si="12"/>
        <v>0.4</v>
      </c>
      <c r="K101">
        <f t="shared" si="13"/>
        <v>4.8611111111111099E-4</v>
      </c>
      <c r="L101">
        <f t="shared" si="14"/>
        <v>2.0000000000000001E-4</v>
      </c>
      <c r="M101">
        <f t="shared" si="15"/>
        <v>3.1847083333333324E-3</v>
      </c>
      <c r="N101">
        <f t="shared" si="16"/>
        <v>0.4</v>
      </c>
      <c r="O101">
        <f t="shared" si="17"/>
        <v>1.0742E-3</v>
      </c>
      <c r="P101" s="4">
        <f t="shared" si="18"/>
        <v>1.7882943025147418</v>
      </c>
    </row>
    <row r="102" spans="1:16" x14ac:dyDescent="0.75">
      <c r="A102">
        <v>1.01</v>
      </c>
      <c r="B102">
        <f t="shared" si="10"/>
        <v>2.1621430000000004</v>
      </c>
      <c r="C102">
        <f t="shared" si="19"/>
        <v>1.2474999999999987</v>
      </c>
      <c r="D102">
        <f t="shared" si="20"/>
        <v>109</v>
      </c>
      <c r="E102">
        <f t="shared" si="12"/>
        <v>0.4989999999999995</v>
      </c>
      <c r="K102">
        <f t="shared" si="13"/>
        <v>3.8966822533956832E-4</v>
      </c>
      <c r="L102">
        <f t="shared" si="14"/>
        <v>2.4949999999999978E-4</v>
      </c>
      <c r="M102">
        <f t="shared" si="15"/>
        <v>2.5475951347138739E-3</v>
      </c>
      <c r="N102">
        <f t="shared" si="16"/>
        <v>0.4989999999999995</v>
      </c>
      <c r="O102">
        <f t="shared" si="17"/>
        <v>1.0809715000000002E-3</v>
      </c>
      <c r="P102" s="4">
        <f t="shared" si="18"/>
        <v>1.7919228691494555</v>
      </c>
    </row>
    <row r="103" spans="1:16" x14ac:dyDescent="0.75">
      <c r="A103">
        <v>1.02</v>
      </c>
      <c r="B103">
        <f t="shared" si="10"/>
        <v>2.1756859999999998</v>
      </c>
      <c r="C103">
        <f t="shared" si="19"/>
        <v>1.495000000000001</v>
      </c>
      <c r="D103">
        <f t="shared" si="20"/>
        <v>118</v>
      </c>
      <c r="E103">
        <f t="shared" si="12"/>
        <v>0.59800000000000042</v>
      </c>
      <c r="K103">
        <f t="shared" si="13"/>
        <v>3.2515793385358573E-4</v>
      </c>
      <c r="L103">
        <f t="shared" si="14"/>
        <v>2.9900000000000022E-4</v>
      </c>
      <c r="M103">
        <f t="shared" si="15"/>
        <v>2.1214324600520233E-3</v>
      </c>
      <c r="N103">
        <f t="shared" si="16"/>
        <v>0.59800000000000042</v>
      </c>
      <c r="O103">
        <f t="shared" si="17"/>
        <v>1.087743E-3</v>
      </c>
      <c r="P103" s="4">
        <f t="shared" si="18"/>
        <v>1.7951320446095076</v>
      </c>
    </row>
    <row r="104" spans="1:16" x14ac:dyDescent="0.75">
      <c r="A104">
        <v>1.03</v>
      </c>
      <c r="B104">
        <f t="shared" si="10"/>
        <v>2.1892290000000001</v>
      </c>
      <c r="C104">
        <f t="shared" si="19"/>
        <v>1.7424999999999997</v>
      </c>
      <c r="D104">
        <f t="shared" si="20"/>
        <v>127</v>
      </c>
      <c r="E104">
        <f t="shared" si="12"/>
        <v>0.69699999999999984</v>
      </c>
      <c r="K104">
        <f t="shared" si="13"/>
        <v>2.789733779690738E-4</v>
      </c>
      <c r="L104">
        <f t="shared" si="14"/>
        <v>3.4849999999999996E-4</v>
      </c>
      <c r="M104">
        <f t="shared" si="15"/>
        <v>1.8163317790530844E-3</v>
      </c>
      <c r="N104">
        <f t="shared" si="16"/>
        <v>0.69699999999999984</v>
      </c>
      <c r="O104">
        <f t="shared" si="17"/>
        <v>1.0945145000000002E-3</v>
      </c>
      <c r="P104" s="4">
        <f t="shared" si="18"/>
        <v>1.7980428908885608</v>
      </c>
    </row>
    <row r="105" spans="1:16" x14ac:dyDescent="0.75">
      <c r="A105">
        <v>1.04</v>
      </c>
      <c r="B105">
        <f t="shared" si="10"/>
        <v>2.2027720000000004</v>
      </c>
      <c r="C105">
        <f t="shared" si="19"/>
        <v>1.990000000000002</v>
      </c>
      <c r="D105">
        <f t="shared" si="20"/>
        <v>136</v>
      </c>
      <c r="E105">
        <f t="shared" si="12"/>
        <v>0.79600000000000082</v>
      </c>
      <c r="K105">
        <f t="shared" si="13"/>
        <v>2.4427694025683943E-4</v>
      </c>
      <c r="L105">
        <f t="shared" si="14"/>
        <v>3.980000000000004E-4</v>
      </c>
      <c r="M105">
        <f t="shared" si="15"/>
        <v>1.5871229759910641E-3</v>
      </c>
      <c r="N105">
        <f t="shared" si="16"/>
        <v>0.79600000000000082</v>
      </c>
      <c r="O105">
        <f t="shared" si="17"/>
        <v>1.1012860000000001E-3</v>
      </c>
      <c r="P105" s="4">
        <f t="shared" si="18"/>
        <v>1.8007312998645519</v>
      </c>
    </row>
    <row r="106" spans="1:16" x14ac:dyDescent="0.75">
      <c r="A106">
        <v>1.05</v>
      </c>
      <c r="B106">
        <f t="shared" si="10"/>
        <v>2.2163149999999998</v>
      </c>
      <c r="C106">
        <f t="shared" si="19"/>
        <v>2.2375000000000007</v>
      </c>
      <c r="D106">
        <f t="shared" si="20"/>
        <v>145</v>
      </c>
      <c r="E106">
        <f t="shared" si="12"/>
        <v>0.89500000000000024</v>
      </c>
      <c r="K106">
        <f t="shared" si="13"/>
        <v>2.1725636250775906E-4</v>
      </c>
      <c r="L106">
        <f t="shared" si="14"/>
        <v>4.4750000000000014E-4</v>
      </c>
      <c r="M106">
        <f t="shared" si="15"/>
        <v>1.4086218187461196E-3</v>
      </c>
      <c r="N106">
        <f t="shared" si="16"/>
        <v>0.89500000000000024</v>
      </c>
      <c r="O106">
        <f t="shared" si="17"/>
        <v>1.1080574999999999E-3</v>
      </c>
      <c r="P106" s="4">
        <f t="shared" si="18"/>
        <v>1.803247979183298</v>
      </c>
    </row>
    <row r="107" spans="1:16" x14ac:dyDescent="0.75">
      <c r="A107">
        <v>1.06</v>
      </c>
      <c r="B107">
        <f t="shared" si="10"/>
        <v>2.2298580000000001</v>
      </c>
      <c r="C107">
        <f t="shared" si="19"/>
        <v>2.485000000000003</v>
      </c>
      <c r="D107">
        <f t="shared" si="20"/>
        <v>154</v>
      </c>
      <c r="E107">
        <f t="shared" si="12"/>
        <v>0.99400000000000122</v>
      </c>
      <c r="K107">
        <f t="shared" si="13"/>
        <v>1.9561815336463197E-4</v>
      </c>
      <c r="L107">
        <f t="shared" si="14"/>
        <v>4.9700000000000059E-4</v>
      </c>
      <c r="M107">
        <f t="shared" si="15"/>
        <v>1.2656772300469465E-3</v>
      </c>
      <c r="N107">
        <f t="shared" si="16"/>
        <v>0.99400000000000122</v>
      </c>
      <c r="O107">
        <f t="shared" si="17"/>
        <v>1.1148290000000001E-3</v>
      </c>
      <c r="P107" s="4">
        <f t="shared" si="18"/>
        <v>1.8056284854133451</v>
      </c>
    </row>
    <row r="108" spans="1:16" x14ac:dyDescent="0.75">
      <c r="A108">
        <v>1.07</v>
      </c>
      <c r="B108">
        <f t="shared" si="10"/>
        <v>2.2434010000000004</v>
      </c>
      <c r="C108">
        <f t="shared" si="19"/>
        <v>2.7325000000000017</v>
      </c>
      <c r="D108">
        <f t="shared" si="20"/>
        <v>163</v>
      </c>
      <c r="E108">
        <f t="shared" si="12"/>
        <v>1.0930000000000006</v>
      </c>
      <c r="K108">
        <f t="shared" si="13"/>
        <v>1.7789976618887859E-4</v>
      </c>
      <c r="L108">
        <f t="shared" si="14"/>
        <v>5.4650000000000033E-4</v>
      </c>
      <c r="M108">
        <f t="shared" si="15"/>
        <v>1.1486274524753471E-3</v>
      </c>
      <c r="N108">
        <f t="shared" si="16"/>
        <v>1.0930000000000006</v>
      </c>
      <c r="O108">
        <f t="shared" si="17"/>
        <v>1.1216005000000003E-3</v>
      </c>
      <c r="P108" s="4">
        <f t="shared" si="18"/>
        <v>1.8078987133658204</v>
      </c>
    </row>
    <row r="109" spans="1:16" x14ac:dyDescent="0.75">
      <c r="A109">
        <v>1.08</v>
      </c>
      <c r="B109">
        <f t="shared" si="10"/>
        <v>2.2569439999999998</v>
      </c>
      <c r="C109">
        <f t="shared" si="19"/>
        <v>2.9800000000000004</v>
      </c>
      <c r="D109">
        <f t="shared" si="20"/>
        <v>172.00000000000011</v>
      </c>
      <c r="E109">
        <f t="shared" si="12"/>
        <v>1.1920000000000002</v>
      </c>
      <c r="K109">
        <f t="shared" si="13"/>
        <v>1.6312453392990301E-4</v>
      </c>
      <c r="L109">
        <f t="shared" si="14"/>
        <v>5.9600000000000007E-4</v>
      </c>
      <c r="M109">
        <f t="shared" si="15"/>
        <v>1.0510205070842652E-3</v>
      </c>
      <c r="N109">
        <f t="shared" si="16"/>
        <v>1.1920000000000002</v>
      </c>
      <c r="O109">
        <f t="shared" si="17"/>
        <v>1.1283719999999999E-3</v>
      </c>
      <c r="P109" s="4">
        <f t="shared" si="18"/>
        <v>1.8100781058729045</v>
      </c>
    </row>
    <row r="110" spans="1:16" x14ac:dyDescent="0.75">
      <c r="A110">
        <v>1.0900000000000001</v>
      </c>
      <c r="B110">
        <f t="shared" si="10"/>
        <v>2.2704870000000001</v>
      </c>
      <c r="C110">
        <f t="shared" si="19"/>
        <v>3.2275000000000027</v>
      </c>
      <c r="D110">
        <f t="shared" si="20"/>
        <v>181.00000000000011</v>
      </c>
      <c r="E110">
        <f t="shared" si="12"/>
        <v>1.291000000000001</v>
      </c>
      <c r="K110">
        <f t="shared" si="13"/>
        <v>1.506153713744727E-4</v>
      </c>
      <c r="L110">
        <f t="shared" si="14"/>
        <v>6.4550000000000057E-4</v>
      </c>
      <c r="M110">
        <f t="shared" si="15"/>
        <v>9.6838348825199999E-4</v>
      </c>
      <c r="N110">
        <f t="shared" si="16"/>
        <v>1.291000000000001</v>
      </c>
      <c r="O110">
        <f t="shared" si="17"/>
        <v>1.1351435000000001E-3</v>
      </c>
      <c r="P110" s="4">
        <f t="shared" si="18"/>
        <v>1.8121816328611564</v>
      </c>
    </row>
    <row r="111" spans="1:16" x14ac:dyDescent="0.75">
      <c r="A111">
        <v>1.1000000000000001</v>
      </c>
      <c r="B111">
        <f t="shared" si="10"/>
        <v>2.2840300000000004</v>
      </c>
      <c r="C111">
        <f t="shared" si="19"/>
        <v>3.4750000000000014</v>
      </c>
      <c r="D111">
        <f t="shared" si="20"/>
        <v>190.00000000000011</v>
      </c>
      <c r="E111">
        <f t="shared" si="12"/>
        <v>1.3900000000000006</v>
      </c>
      <c r="K111">
        <f t="shared" si="13"/>
        <v>1.3988808952837721E-4</v>
      </c>
      <c r="L111">
        <f t="shared" si="14"/>
        <v>6.9500000000000031E-4</v>
      </c>
      <c r="M111">
        <f t="shared" si="15"/>
        <v>8.9751778577138223E-4</v>
      </c>
      <c r="N111">
        <f t="shared" si="16"/>
        <v>1.3900000000000006</v>
      </c>
      <c r="O111">
        <f t="shared" si="17"/>
        <v>1.1419150000000003E-3</v>
      </c>
      <c r="P111" s="4">
        <f t="shared" si="18"/>
        <v>1.8142210656469278</v>
      </c>
    </row>
    <row r="112" spans="1:16" x14ac:dyDescent="0.75">
      <c r="A112">
        <v>1.1100000000000001</v>
      </c>
      <c r="B112">
        <f t="shared" si="10"/>
        <v>2.2975730000000003</v>
      </c>
      <c r="C112">
        <f t="shared" si="19"/>
        <v>3.7225000000000037</v>
      </c>
      <c r="D112">
        <f t="shared" si="20"/>
        <v>199.00000000000011</v>
      </c>
      <c r="E112">
        <f t="shared" si="12"/>
        <v>1.4890000000000014</v>
      </c>
      <c r="K112">
        <f t="shared" si="13"/>
        <v>1.3058726960674561E-4</v>
      </c>
      <c r="L112">
        <f t="shared" si="14"/>
        <v>7.445000000000008E-4</v>
      </c>
      <c r="M112">
        <f t="shared" si="15"/>
        <v>8.360754607865074E-4</v>
      </c>
      <c r="N112">
        <f t="shared" si="16"/>
        <v>1.4890000000000014</v>
      </c>
      <c r="O112">
        <f t="shared" si="17"/>
        <v>1.1486865000000003E-3</v>
      </c>
      <c r="P112" s="4">
        <f t="shared" si="18"/>
        <v>1.8162058276077144</v>
      </c>
    </row>
    <row r="113" spans="1:16" x14ac:dyDescent="0.75">
      <c r="A113">
        <v>1.1200000000000001</v>
      </c>
      <c r="B113">
        <f t="shared" si="10"/>
        <v>2.3111160000000002</v>
      </c>
      <c r="C113">
        <f t="shared" si="19"/>
        <v>3.9700000000000024</v>
      </c>
      <c r="D113">
        <f t="shared" si="20"/>
        <v>208.00000000000011</v>
      </c>
      <c r="E113">
        <f t="shared" si="12"/>
        <v>1.588000000000001</v>
      </c>
      <c r="K113">
        <f t="shared" si="13"/>
        <v>1.2244612370556946E-4</v>
      </c>
      <c r="L113">
        <f t="shared" si="14"/>
        <v>7.9400000000000054E-4</v>
      </c>
      <c r="M113">
        <f t="shared" si="15"/>
        <v>7.8229408060453325E-4</v>
      </c>
      <c r="N113">
        <f t="shared" si="16"/>
        <v>1.588000000000001</v>
      </c>
      <c r="O113">
        <f t="shared" si="17"/>
        <v>1.155458E-3</v>
      </c>
      <c r="P113" s="4">
        <f t="shared" si="18"/>
        <v>1.818143579688319</v>
      </c>
    </row>
    <row r="114" spans="1:16" x14ac:dyDescent="0.75">
      <c r="A114">
        <v>1.1299999999999999</v>
      </c>
      <c r="B114">
        <f t="shared" si="10"/>
        <v>2.324659</v>
      </c>
      <c r="C114">
        <f t="shared" si="19"/>
        <v>4.2174999999999976</v>
      </c>
      <c r="D114">
        <f t="shared" si="20"/>
        <v>216.99999999999989</v>
      </c>
      <c r="E114">
        <f t="shared" si="12"/>
        <v>1.6869999999999989</v>
      </c>
      <c r="K114">
        <f t="shared" si="13"/>
        <v>1.1526048870447216E-4</v>
      </c>
      <c r="L114">
        <f t="shared" si="14"/>
        <v>8.4349999999999952E-4</v>
      </c>
      <c r="M114">
        <f t="shared" si="15"/>
        <v>7.3482491931765805E-4</v>
      </c>
      <c r="N114">
        <f t="shared" si="16"/>
        <v>1.6869999999999989</v>
      </c>
      <c r="O114">
        <f t="shared" si="17"/>
        <v>1.1622295E-3</v>
      </c>
      <c r="P114" s="4">
        <f t="shared" si="18"/>
        <v>1.8200406341076367</v>
      </c>
    </row>
    <row r="115" spans="1:16" x14ac:dyDescent="0.75">
      <c r="A115">
        <v>1.1399999999999999</v>
      </c>
      <c r="B115">
        <f t="shared" si="10"/>
        <v>2.3382019999999999</v>
      </c>
      <c r="C115">
        <f t="shared" si="19"/>
        <v>4.4649999999999963</v>
      </c>
      <c r="D115">
        <f t="shared" si="20"/>
        <v>226</v>
      </c>
      <c r="E115">
        <f t="shared" si="12"/>
        <v>1.7859999999999985</v>
      </c>
      <c r="K115">
        <f t="shared" si="13"/>
        <v>1.0887146945377636E-4</v>
      </c>
      <c r="L115">
        <f t="shared" si="14"/>
        <v>8.9299999999999926E-4</v>
      </c>
      <c r="M115">
        <f t="shared" si="15"/>
        <v>6.9261829662809545E-4</v>
      </c>
      <c r="N115">
        <f t="shared" si="16"/>
        <v>1.7859999999999985</v>
      </c>
      <c r="O115">
        <f t="shared" si="17"/>
        <v>1.169001E-3</v>
      </c>
      <c r="P115" s="4">
        <f t="shared" si="18"/>
        <v>1.8219022534042648</v>
      </c>
    </row>
    <row r="116" spans="1:16" x14ac:dyDescent="0.75">
      <c r="A116">
        <v>1.1499999999999999</v>
      </c>
      <c r="B116">
        <f t="shared" si="10"/>
        <v>2.3517450000000002</v>
      </c>
      <c r="C116">
        <f t="shared" si="19"/>
        <v>4.7124999999999986</v>
      </c>
      <c r="D116">
        <f t="shared" si="20"/>
        <v>235</v>
      </c>
      <c r="E116">
        <f t="shared" si="12"/>
        <v>1.8849999999999993</v>
      </c>
      <c r="K116">
        <f t="shared" si="13"/>
        <v>1.0315355142941352E-4</v>
      </c>
      <c r="L116">
        <f t="shared" si="14"/>
        <v>9.4249999999999976E-4</v>
      </c>
      <c r="M116">
        <f t="shared" si="15"/>
        <v>6.5484504862953143E-4</v>
      </c>
      <c r="N116">
        <f t="shared" si="16"/>
        <v>1.8849999999999993</v>
      </c>
      <c r="O116">
        <f t="shared" si="17"/>
        <v>1.1757725000000002E-3</v>
      </c>
      <c r="P116" s="4">
        <f t="shared" si="18"/>
        <v>1.8237328709528942</v>
      </c>
    </row>
    <row r="117" spans="1:16" x14ac:dyDescent="0.75">
      <c r="A117">
        <v>1.1599999999999999</v>
      </c>
      <c r="B117">
        <f t="shared" si="10"/>
        <v>2.3652880000000001</v>
      </c>
      <c r="C117">
        <f t="shared" si="19"/>
        <v>4.9599999999999973</v>
      </c>
      <c r="D117">
        <f t="shared" si="20"/>
        <v>244</v>
      </c>
      <c r="E117">
        <f t="shared" si="12"/>
        <v>1.9839999999999989</v>
      </c>
      <c r="K117">
        <f t="shared" si="13"/>
        <v>9.8006272401433722E-5</v>
      </c>
      <c r="L117">
        <f t="shared" si="14"/>
        <v>9.9199999999999961E-4</v>
      </c>
      <c r="M117">
        <f t="shared" si="15"/>
        <v>6.20841509856631E-4</v>
      </c>
      <c r="N117">
        <f t="shared" si="16"/>
        <v>1.9839999999999989</v>
      </c>
      <c r="O117">
        <f t="shared" si="17"/>
        <v>1.1825440000000002E-3</v>
      </c>
      <c r="P117" s="4">
        <f t="shared" si="18"/>
        <v>1.8255362564627506</v>
      </c>
    </row>
    <row r="118" spans="1:16" x14ac:dyDescent="0.75">
      <c r="A118">
        <v>1.17</v>
      </c>
      <c r="B118">
        <f t="shared" si="10"/>
        <v>2.3788309999999999</v>
      </c>
      <c r="C118">
        <f t="shared" si="19"/>
        <v>5.2074999999999996</v>
      </c>
      <c r="D118">
        <f t="shared" si="20"/>
        <v>253</v>
      </c>
      <c r="E118">
        <f t="shared" si="12"/>
        <v>2.0829999999999997</v>
      </c>
      <c r="K118">
        <f t="shared" si="13"/>
        <v>9.3348269056382346E-5</v>
      </c>
      <c r="L118">
        <f t="shared" si="14"/>
        <v>1.0414999999999999E-3</v>
      </c>
      <c r="M118">
        <f t="shared" si="15"/>
        <v>5.900701845628633E-4</v>
      </c>
      <c r="N118">
        <f t="shared" si="16"/>
        <v>2.0829999999999997</v>
      </c>
      <c r="O118">
        <f t="shared" si="17"/>
        <v>1.1893155E-3</v>
      </c>
      <c r="P118" s="4">
        <f t="shared" si="18"/>
        <v>1.8273156421473136</v>
      </c>
    </row>
    <row r="119" spans="1:16" x14ac:dyDescent="0.75">
      <c r="A119">
        <v>1.18</v>
      </c>
      <c r="B119">
        <f t="shared" si="10"/>
        <v>2.3923740000000002</v>
      </c>
      <c r="C119">
        <f t="shared" si="19"/>
        <v>5.4549999999999983</v>
      </c>
      <c r="D119">
        <f t="shared" si="20"/>
        <v>262</v>
      </c>
      <c r="E119">
        <f t="shared" si="12"/>
        <v>2.1819999999999995</v>
      </c>
      <c r="K119">
        <f t="shared" si="13"/>
        <v>8.9112944291679406E-5</v>
      </c>
      <c r="L119">
        <f t="shared" si="14"/>
        <v>1.0909999999999997E-3</v>
      </c>
      <c r="M119">
        <f t="shared" si="15"/>
        <v>5.6209112435074847E-4</v>
      </c>
      <c r="N119">
        <f t="shared" si="16"/>
        <v>2.1819999999999995</v>
      </c>
      <c r="O119">
        <f t="shared" si="17"/>
        <v>1.1960870000000002E-3</v>
      </c>
      <c r="P119" s="4">
        <f t="shared" si="18"/>
        <v>1.8290738202716643</v>
      </c>
    </row>
    <row r="120" spans="1:16" x14ac:dyDescent="0.75">
      <c r="A120">
        <v>1.19</v>
      </c>
      <c r="B120">
        <f t="shared" si="10"/>
        <v>2.4059170000000001</v>
      </c>
      <c r="C120">
        <f t="shared" si="19"/>
        <v>5.702499999999997</v>
      </c>
      <c r="D120">
        <f t="shared" si="20"/>
        <v>271</v>
      </c>
      <c r="E120">
        <f t="shared" si="12"/>
        <v>2.2809999999999988</v>
      </c>
      <c r="K120">
        <f t="shared" si="13"/>
        <v>8.5245262798967349E-5</v>
      </c>
      <c r="L120">
        <f t="shared" si="14"/>
        <v>1.1404999999999994E-3</v>
      </c>
      <c r="M120">
        <f t="shared" si="15"/>
        <v>5.3654075941351272E-4</v>
      </c>
      <c r="N120">
        <f t="shared" si="16"/>
        <v>2.2809999999999988</v>
      </c>
      <c r="O120">
        <f t="shared" si="17"/>
        <v>1.2028585000000002E-3</v>
      </c>
      <c r="P120" s="4">
        <f t="shared" si="18"/>
        <v>1.8308132195310778</v>
      </c>
    </row>
    <row r="121" spans="1:16" x14ac:dyDescent="0.75">
      <c r="A121">
        <v>1.2</v>
      </c>
      <c r="B121">
        <f t="shared" si="10"/>
        <v>2.4194599999999999</v>
      </c>
      <c r="C121">
        <f t="shared" si="19"/>
        <v>5.9499999999999993</v>
      </c>
      <c r="D121">
        <f t="shared" si="20"/>
        <v>280</v>
      </c>
      <c r="E121">
        <f t="shared" si="12"/>
        <v>2.38</v>
      </c>
      <c r="K121">
        <f t="shared" si="13"/>
        <v>8.1699346405228753E-5</v>
      </c>
      <c r="L121">
        <f t="shared" si="14"/>
        <v>1.1899999999999999E-3</v>
      </c>
      <c r="M121">
        <f t="shared" si="15"/>
        <v>5.1311601307189533E-4</v>
      </c>
      <c r="N121">
        <f t="shared" si="16"/>
        <v>2.38</v>
      </c>
      <c r="O121">
        <f t="shared" si="17"/>
        <v>1.20963E-3</v>
      </c>
      <c r="P121" s="4">
        <f t="shared" si="18"/>
        <v>1.8325359655441495</v>
      </c>
    </row>
    <row r="122" spans="1:16" x14ac:dyDescent="0.75">
      <c r="A122">
        <v>1.21</v>
      </c>
      <c r="B122">
        <f t="shared" si="10"/>
        <v>2.4330030000000002</v>
      </c>
      <c r="C122">
        <f t="shared" si="19"/>
        <v>6.197499999999998</v>
      </c>
      <c r="D122">
        <f t="shared" si="20"/>
        <v>289</v>
      </c>
      <c r="E122">
        <f t="shared" si="12"/>
        <v>2.4789999999999992</v>
      </c>
      <c r="K122">
        <f t="shared" si="13"/>
        <v>7.8436645600824719E-5</v>
      </c>
      <c r="L122">
        <f t="shared" si="14"/>
        <v>1.2394999999999997E-3</v>
      </c>
      <c r="M122">
        <f t="shared" si="15"/>
        <v>4.9156222267043165E-4</v>
      </c>
      <c r="N122">
        <f t="shared" si="16"/>
        <v>2.4789999999999992</v>
      </c>
      <c r="O122">
        <f t="shared" si="17"/>
        <v>1.2164015000000002E-3</v>
      </c>
      <c r="P122" s="4">
        <f t="shared" si="18"/>
        <v>1.83424392926682</v>
      </c>
    </row>
    <row r="123" spans="1:16" x14ac:dyDescent="0.75">
      <c r="A123">
        <v>1.22</v>
      </c>
      <c r="B123">
        <f t="shared" si="10"/>
        <v>2.4465460000000001</v>
      </c>
      <c r="C123">
        <f t="shared" si="19"/>
        <v>6.4450000000000003</v>
      </c>
      <c r="D123">
        <f t="shared" si="20"/>
        <v>298</v>
      </c>
      <c r="E123">
        <f t="shared" si="12"/>
        <v>2.5780000000000003</v>
      </c>
      <c r="K123">
        <f t="shared" si="13"/>
        <v>7.5424532367899291E-5</v>
      </c>
      <c r="L123">
        <f t="shared" si="14"/>
        <v>1.2890000000000002E-3</v>
      </c>
      <c r="M123">
        <f t="shared" si="15"/>
        <v>4.7166384363416924E-4</v>
      </c>
      <c r="N123">
        <f t="shared" si="16"/>
        <v>2.5780000000000003</v>
      </c>
      <c r="O123">
        <f t="shared" si="17"/>
        <v>1.2231730000000001E-3</v>
      </c>
      <c r="P123" s="4">
        <f t="shared" si="18"/>
        <v>1.8359387661104543</v>
      </c>
    </row>
    <row r="124" spans="1:16" x14ac:dyDescent="0.75">
      <c r="A124">
        <v>1.23</v>
      </c>
      <c r="B124">
        <f t="shared" si="10"/>
        <v>2.460089</v>
      </c>
      <c r="C124">
        <f t="shared" si="19"/>
        <v>6.692499999999999</v>
      </c>
      <c r="D124">
        <f t="shared" si="20"/>
        <v>307</v>
      </c>
      <c r="E124">
        <f t="shared" si="12"/>
        <v>2.6769999999999996</v>
      </c>
      <c r="K124">
        <f t="shared" si="13"/>
        <v>7.2635205246337109E-5</v>
      </c>
      <c r="L124">
        <f t="shared" si="14"/>
        <v>1.3384999999999998E-3</v>
      </c>
      <c r="M124">
        <f t="shared" si="15"/>
        <v>4.5323721620387658E-4</v>
      </c>
      <c r="N124">
        <f t="shared" si="16"/>
        <v>2.6769999999999996</v>
      </c>
      <c r="O124">
        <f t="shared" si="17"/>
        <v>1.2299445000000001E-3</v>
      </c>
      <c r="P124" s="4">
        <f t="shared" si="18"/>
        <v>1.837621947826658</v>
      </c>
    </row>
    <row r="125" spans="1:16" x14ac:dyDescent="0.75">
      <c r="A125">
        <v>1.24</v>
      </c>
      <c r="B125">
        <f t="shared" si="10"/>
        <v>2.4736320000000003</v>
      </c>
      <c r="C125">
        <f t="shared" si="19"/>
        <v>6.9400000000000013</v>
      </c>
      <c r="D125">
        <f t="shared" si="20"/>
        <v>316</v>
      </c>
      <c r="E125">
        <f t="shared" si="12"/>
        <v>2.7760000000000007</v>
      </c>
      <c r="K125">
        <f t="shared" si="13"/>
        <v>7.0044828690361797E-5</v>
      </c>
      <c r="L125">
        <f t="shared" si="14"/>
        <v>1.3880000000000003E-3</v>
      </c>
      <c r="M125">
        <f t="shared" si="15"/>
        <v>4.3612487992315054E-4</v>
      </c>
      <c r="N125">
        <f t="shared" si="16"/>
        <v>2.7760000000000007</v>
      </c>
      <c r="O125">
        <f t="shared" si="17"/>
        <v>1.2367160000000001E-3</v>
      </c>
      <c r="P125" s="4">
        <f t="shared" si="18"/>
        <v>1.8392947887065811</v>
      </c>
    </row>
    <row r="126" spans="1:16" x14ac:dyDescent="0.75">
      <c r="A126">
        <v>1.25</v>
      </c>
      <c r="B126">
        <f t="shared" si="10"/>
        <v>2.4871750000000001</v>
      </c>
      <c r="C126">
        <f t="shared" si="19"/>
        <v>7.1875</v>
      </c>
      <c r="D126">
        <f t="shared" si="20"/>
        <v>325</v>
      </c>
      <c r="E126">
        <f t="shared" si="12"/>
        <v>2.875</v>
      </c>
      <c r="K126">
        <f t="shared" si="13"/>
        <v>6.7632850241545876E-5</v>
      </c>
      <c r="L126">
        <f t="shared" si="14"/>
        <v>1.4375E-3</v>
      </c>
      <c r="M126">
        <f t="shared" si="15"/>
        <v>4.2019106280193215E-4</v>
      </c>
      <c r="N126">
        <f t="shared" si="16"/>
        <v>2.875</v>
      </c>
      <c r="O126">
        <f t="shared" si="17"/>
        <v>1.2434875000000001E-3</v>
      </c>
      <c r="P126" s="4">
        <f t="shared" si="18"/>
        <v>1.8409584672693831</v>
      </c>
    </row>
    <row r="127" spans="1:16" x14ac:dyDescent="0.75">
      <c r="A127">
        <v>1.26</v>
      </c>
      <c r="B127">
        <f t="shared" si="10"/>
        <v>2.500718</v>
      </c>
      <c r="C127">
        <f t="shared" si="19"/>
        <v>7.4349999999999987</v>
      </c>
      <c r="D127">
        <f t="shared" si="20"/>
        <v>334</v>
      </c>
      <c r="E127">
        <f t="shared" si="12"/>
        <v>2.9739999999999993</v>
      </c>
      <c r="K127">
        <f t="shared" si="13"/>
        <v>6.5381454083538826E-5</v>
      </c>
      <c r="L127">
        <f t="shared" si="14"/>
        <v>1.4869999999999998E-3</v>
      </c>
      <c r="M127">
        <f t="shared" si="15"/>
        <v>4.053180714339087E-4</v>
      </c>
      <c r="N127">
        <f t="shared" si="16"/>
        <v>2.9739999999999993</v>
      </c>
      <c r="O127">
        <f t="shared" si="17"/>
        <v>1.2502590000000001E-3</v>
      </c>
      <c r="P127" s="4">
        <f t="shared" si="18"/>
        <v>1.842614044340817</v>
      </c>
    </row>
    <row r="128" spans="1:16" x14ac:dyDescent="0.75">
      <c r="A128">
        <v>1.27</v>
      </c>
      <c r="B128">
        <f t="shared" si="10"/>
        <v>2.5142610000000003</v>
      </c>
      <c r="C128">
        <f t="shared" si="19"/>
        <v>7.682500000000001</v>
      </c>
      <c r="D128">
        <f t="shared" si="20"/>
        <v>343</v>
      </c>
      <c r="E128">
        <f t="shared" si="12"/>
        <v>3.0730000000000004</v>
      </c>
      <c r="K128">
        <f t="shared" si="13"/>
        <v>6.3275120222728399E-5</v>
      </c>
      <c r="L128">
        <f t="shared" si="14"/>
        <v>1.5365000000000003E-3</v>
      </c>
      <c r="M128">
        <f t="shared" si="15"/>
        <v>3.9140337889141967E-4</v>
      </c>
      <c r="N128">
        <f t="shared" si="16"/>
        <v>3.0730000000000004</v>
      </c>
      <c r="O128">
        <f t="shared" si="17"/>
        <v>1.2570305000000001E-3</v>
      </c>
      <c r="P128" s="4">
        <f t="shared" si="18"/>
        <v>1.8442624782197083</v>
      </c>
    </row>
    <row r="129" spans="1:16" x14ac:dyDescent="0.75">
      <c r="A129">
        <v>1.28</v>
      </c>
      <c r="B129">
        <f t="shared" si="10"/>
        <v>2.5278040000000002</v>
      </c>
      <c r="C129">
        <f t="shared" si="19"/>
        <v>7.93</v>
      </c>
      <c r="D129">
        <f t="shared" si="20"/>
        <v>352</v>
      </c>
      <c r="E129">
        <f t="shared" si="12"/>
        <v>3.1719999999999997</v>
      </c>
      <c r="K129">
        <f t="shared" si="13"/>
        <v>6.1300266218299005E-5</v>
      </c>
      <c r="L129">
        <f t="shared" si="14"/>
        <v>1.586E-3</v>
      </c>
      <c r="M129">
        <f t="shared" si="15"/>
        <v>3.7835725795152023E-4</v>
      </c>
      <c r="N129">
        <f t="shared" si="16"/>
        <v>3.1719999999999997</v>
      </c>
      <c r="O129">
        <f t="shared" si="17"/>
        <v>1.2638020000000001E-3</v>
      </c>
      <c r="P129" s="4">
        <f t="shared" si="18"/>
        <v>1.8459046374776598</v>
      </c>
    </row>
    <row r="130" spans="1:16" x14ac:dyDescent="0.75">
      <c r="A130">
        <v>1.29</v>
      </c>
      <c r="B130">
        <f t="shared" ref="B130:B193" si="21">1.3543*A130+0.7943</f>
        <v>2.541347</v>
      </c>
      <c r="C130">
        <f t="shared" si="19"/>
        <v>8.177500000000002</v>
      </c>
      <c r="D130">
        <f t="shared" si="20"/>
        <v>361</v>
      </c>
      <c r="E130">
        <f t="shared" ref="E130:E193" si="22">C130/($J$2*$J$4)</f>
        <v>3.2710000000000008</v>
      </c>
      <c r="K130">
        <f t="shared" ref="K130:K193" si="23">$I$501/E130</f>
        <v>5.9444953972621325E-5</v>
      </c>
      <c r="L130">
        <f t="shared" si="14"/>
        <v>1.6355000000000005E-3</v>
      </c>
      <c r="M130">
        <f t="shared" si="15"/>
        <v>3.6610084411834619E-4</v>
      </c>
      <c r="N130">
        <f t="shared" si="16"/>
        <v>3.2710000000000008</v>
      </c>
      <c r="O130">
        <f t="shared" si="17"/>
        <v>1.2705735000000001E-3</v>
      </c>
      <c r="P130" s="4">
        <f t="shared" si="18"/>
        <v>1.8475413118217781</v>
      </c>
    </row>
    <row r="131" spans="1:16" x14ac:dyDescent="0.75">
      <c r="A131">
        <v>1.3</v>
      </c>
      <c r="B131">
        <f t="shared" si="21"/>
        <v>2.5548900000000003</v>
      </c>
      <c r="C131">
        <f t="shared" si="19"/>
        <v>8.4250000000000043</v>
      </c>
      <c r="D131">
        <f t="shared" si="20"/>
        <v>370</v>
      </c>
      <c r="E131">
        <f t="shared" si="22"/>
        <v>3.3700000000000019</v>
      </c>
      <c r="K131">
        <f t="shared" si="23"/>
        <v>5.7698648203099197E-5</v>
      </c>
      <c r="L131">
        <f t="shared" ref="L131:L194" si="24">$F$2*C131</f>
        <v>1.685000000000001E-3</v>
      </c>
      <c r="M131">
        <f t="shared" ref="M131:M194" si="25">K131*($H$2-B131)</f>
        <v>3.5456454005934683E-4</v>
      </c>
      <c r="N131">
        <f t="shared" ref="N131:N194" si="26">C131/$J$2</f>
        <v>3.3700000000000019</v>
      </c>
      <c r="O131">
        <f t="shared" ref="O131:O194" si="27">L131/N131*(B131-$F$2)</f>
        <v>1.2773450000000003E-3</v>
      </c>
      <c r="P131" s="4">
        <f t="shared" si="18"/>
        <v>1.8491732213618375</v>
      </c>
    </row>
    <row r="132" spans="1:16" x14ac:dyDescent="0.75">
      <c r="A132">
        <v>1.31</v>
      </c>
      <c r="B132">
        <f t="shared" si="21"/>
        <v>2.5684330000000002</v>
      </c>
      <c r="C132">
        <f t="shared" si="19"/>
        <v>8.6724999999999994</v>
      </c>
      <c r="D132">
        <f t="shared" si="20"/>
        <v>379</v>
      </c>
      <c r="E132">
        <f t="shared" si="22"/>
        <v>3.4689999999999999</v>
      </c>
      <c r="K132">
        <f t="shared" si="23"/>
        <v>5.6052016271099571E-5</v>
      </c>
      <c r="L132">
        <f t="shared" si="24"/>
        <v>1.7344999999999999E-3</v>
      </c>
      <c r="M132">
        <f t="shared" si="25"/>
        <v>3.4368669325133709E-4</v>
      </c>
      <c r="N132">
        <f t="shared" si="26"/>
        <v>3.4689999999999999</v>
      </c>
      <c r="O132">
        <f t="shared" si="27"/>
        <v>1.2841165E-3</v>
      </c>
      <c r="P132" s="4">
        <f t="shared" ref="P132:P195" si="28">P131+O132+M132</f>
        <v>1.8508010245550888</v>
      </c>
    </row>
    <row r="133" spans="1:16" x14ac:dyDescent="0.75">
      <c r="A133">
        <v>1.32</v>
      </c>
      <c r="B133">
        <f t="shared" si="21"/>
        <v>2.581976</v>
      </c>
      <c r="C133">
        <f t="shared" si="19"/>
        <v>8.9200000000000017</v>
      </c>
      <c r="D133">
        <f t="shared" ref="D133:D164" si="29">900*A133-800</f>
        <v>388</v>
      </c>
      <c r="E133">
        <f t="shared" si="22"/>
        <v>3.5680000000000005</v>
      </c>
      <c r="K133">
        <f t="shared" si="23"/>
        <v>5.449676133532634E-5</v>
      </c>
      <c r="L133">
        <f t="shared" si="24"/>
        <v>1.7840000000000004E-3</v>
      </c>
      <c r="M133">
        <f t="shared" si="25"/>
        <v>3.3341249377179857E-4</v>
      </c>
      <c r="N133">
        <f t="shared" si="26"/>
        <v>3.5680000000000005</v>
      </c>
      <c r="O133">
        <f t="shared" si="27"/>
        <v>1.290888E-3</v>
      </c>
      <c r="P133" s="4">
        <f t="shared" si="28"/>
        <v>1.8524253250488605</v>
      </c>
    </row>
    <row r="134" spans="1:16" x14ac:dyDescent="0.75">
      <c r="A134">
        <v>1.33</v>
      </c>
      <c r="B134">
        <f t="shared" si="21"/>
        <v>2.5955190000000004</v>
      </c>
      <c r="C134">
        <f t="shared" si="19"/>
        <v>9.167500000000004</v>
      </c>
      <c r="D134">
        <f t="shared" si="29"/>
        <v>397</v>
      </c>
      <c r="E134">
        <f t="shared" si="22"/>
        <v>3.6670000000000016</v>
      </c>
      <c r="K134">
        <f t="shared" si="23"/>
        <v>5.3025482531891005E-5</v>
      </c>
      <c r="L134">
        <f t="shared" si="24"/>
        <v>1.8335000000000009E-3</v>
      </c>
      <c r="M134">
        <f t="shared" si="25"/>
        <v>3.2369305063176045E-4</v>
      </c>
      <c r="N134">
        <f t="shared" si="26"/>
        <v>3.6670000000000016</v>
      </c>
      <c r="O134">
        <f t="shared" si="27"/>
        <v>1.2976595000000002E-3</v>
      </c>
      <c r="P134" s="4">
        <f t="shared" si="28"/>
        <v>1.8540466775994924</v>
      </c>
    </row>
    <row r="135" spans="1:16" x14ac:dyDescent="0.75">
      <c r="A135">
        <v>1.34</v>
      </c>
      <c r="B135">
        <f t="shared" si="21"/>
        <v>2.6090620000000002</v>
      </c>
      <c r="C135">
        <f t="shared" si="19"/>
        <v>9.4149999999999991</v>
      </c>
      <c r="D135">
        <f t="shared" si="29"/>
        <v>406</v>
      </c>
      <c r="E135">
        <f t="shared" si="22"/>
        <v>3.7659999999999996</v>
      </c>
      <c r="K135">
        <f t="shared" si="23"/>
        <v>5.1631557207765382E-5</v>
      </c>
      <c r="L135">
        <f t="shared" si="24"/>
        <v>1.8829999999999999E-3</v>
      </c>
      <c r="M135">
        <f t="shared" si="25"/>
        <v>3.1448461379595202E-4</v>
      </c>
      <c r="N135">
        <f t="shared" si="26"/>
        <v>3.7659999999999996</v>
      </c>
      <c r="O135">
        <f t="shared" si="27"/>
        <v>1.3044310000000002E-3</v>
      </c>
      <c r="P135" s="4">
        <f t="shared" si="28"/>
        <v>1.8556655932132884</v>
      </c>
    </row>
    <row r="136" spans="1:16" x14ac:dyDescent="0.75">
      <c r="A136">
        <v>1.35</v>
      </c>
      <c r="B136">
        <f t="shared" si="21"/>
        <v>2.6226050000000001</v>
      </c>
      <c r="C136">
        <f t="shared" si="19"/>
        <v>9.6625000000000014</v>
      </c>
      <c r="D136">
        <f t="shared" si="29"/>
        <v>415</v>
      </c>
      <c r="E136">
        <f t="shared" si="22"/>
        <v>3.8650000000000007</v>
      </c>
      <c r="K136">
        <f t="shared" si="23"/>
        <v>5.0309041253413807E-5</v>
      </c>
      <c r="L136">
        <f t="shared" si="24"/>
        <v>1.9325000000000004E-3</v>
      </c>
      <c r="M136">
        <f t="shared" si="25"/>
        <v>3.0574791576829077E-4</v>
      </c>
      <c r="N136">
        <f t="shared" si="26"/>
        <v>3.8650000000000007</v>
      </c>
      <c r="O136">
        <f t="shared" si="27"/>
        <v>1.3112025E-3</v>
      </c>
      <c r="P136" s="4">
        <f t="shared" si="28"/>
        <v>1.8572825436290565</v>
      </c>
    </row>
    <row r="137" spans="1:16" x14ac:dyDescent="0.75">
      <c r="A137">
        <v>1.36</v>
      </c>
      <c r="B137">
        <f t="shared" si="21"/>
        <v>2.6361480000000004</v>
      </c>
      <c r="C137">
        <f t="shared" si="19"/>
        <v>9.9100000000000037</v>
      </c>
      <c r="D137">
        <f t="shared" si="29"/>
        <v>424</v>
      </c>
      <c r="E137">
        <f t="shared" si="22"/>
        <v>3.9640000000000013</v>
      </c>
      <c r="K137">
        <f t="shared" si="23"/>
        <v>4.905258437044509E-5</v>
      </c>
      <c r="L137">
        <f t="shared" si="24"/>
        <v>1.9820000000000007E-3</v>
      </c>
      <c r="M137">
        <f t="shared" si="25"/>
        <v>2.9744761183989217E-4</v>
      </c>
      <c r="N137">
        <f t="shared" si="26"/>
        <v>3.9640000000000013</v>
      </c>
      <c r="O137">
        <f t="shared" si="27"/>
        <v>1.3179740000000002E-3</v>
      </c>
      <c r="P137" s="4">
        <f t="shared" si="28"/>
        <v>1.8588979652408963</v>
      </c>
    </row>
    <row r="138" spans="1:16" x14ac:dyDescent="0.75">
      <c r="A138">
        <v>1.37</v>
      </c>
      <c r="B138">
        <f t="shared" si="21"/>
        <v>2.6496910000000002</v>
      </c>
      <c r="C138">
        <f t="shared" si="19"/>
        <v>10.157500000000006</v>
      </c>
      <c r="D138">
        <f t="shared" si="29"/>
        <v>433</v>
      </c>
      <c r="E138">
        <f t="shared" si="22"/>
        <v>4.0630000000000024</v>
      </c>
      <c r="K138">
        <f t="shared" si="23"/>
        <v>4.7857357726912206E-5</v>
      </c>
      <c r="L138">
        <f t="shared" si="24"/>
        <v>2.0315000000000012E-3</v>
      </c>
      <c r="M138">
        <f t="shared" si="25"/>
        <v>2.8955180217135639E-4</v>
      </c>
      <c r="N138">
        <f t="shared" si="26"/>
        <v>4.0630000000000024</v>
      </c>
      <c r="O138">
        <f t="shared" si="27"/>
        <v>1.3247455000000002E-3</v>
      </c>
      <c r="P138" s="4">
        <f t="shared" si="28"/>
        <v>1.8605122625430677</v>
      </c>
    </row>
    <row r="139" spans="1:16" x14ac:dyDescent="0.75">
      <c r="A139">
        <v>1.38</v>
      </c>
      <c r="B139">
        <f t="shared" si="21"/>
        <v>2.6632340000000001</v>
      </c>
      <c r="C139">
        <f t="shared" si="19"/>
        <v>10.404999999999994</v>
      </c>
      <c r="D139">
        <f t="shared" si="29"/>
        <v>442</v>
      </c>
      <c r="E139">
        <f t="shared" si="22"/>
        <v>4.1619999999999973</v>
      </c>
      <c r="K139">
        <f t="shared" si="23"/>
        <v>4.6718991937636843E-5</v>
      </c>
      <c r="L139">
        <f t="shared" si="24"/>
        <v>2.0809999999999991E-3</v>
      </c>
      <c r="M139">
        <f t="shared" si="25"/>
        <v>2.8203162208340017E-4</v>
      </c>
      <c r="N139">
        <f t="shared" si="26"/>
        <v>4.1619999999999973</v>
      </c>
      <c r="O139">
        <f t="shared" si="27"/>
        <v>1.3315170000000004E-3</v>
      </c>
      <c r="P139" s="4">
        <f t="shared" si="28"/>
        <v>1.8621258111651509</v>
      </c>
    </row>
    <row r="140" spans="1:16" x14ac:dyDescent="0.75">
      <c r="A140">
        <v>1.39</v>
      </c>
      <c r="B140">
        <f t="shared" si="21"/>
        <v>2.676777</v>
      </c>
      <c r="C140">
        <f t="shared" si="19"/>
        <v>10.652499999999996</v>
      </c>
      <c r="D140">
        <f t="shared" si="29"/>
        <v>451</v>
      </c>
      <c r="E140">
        <f t="shared" si="22"/>
        <v>4.2609999999999983</v>
      </c>
      <c r="K140">
        <f t="shared" si="23"/>
        <v>4.5633523690317878E-5</v>
      </c>
      <c r="L140">
        <f t="shared" si="24"/>
        <v>2.1304999999999991E-3</v>
      </c>
      <c r="M140">
        <f t="shared" si="25"/>
        <v>2.7486088946256749E-4</v>
      </c>
      <c r="N140">
        <f t="shared" si="26"/>
        <v>4.2609999999999983</v>
      </c>
      <c r="O140">
        <f t="shared" si="27"/>
        <v>1.3382884999999999E-3</v>
      </c>
      <c r="P140" s="4">
        <f t="shared" si="28"/>
        <v>1.8637389605546133</v>
      </c>
    </row>
    <row r="141" spans="1:16" x14ac:dyDescent="0.75">
      <c r="A141">
        <v>1.4</v>
      </c>
      <c r="B141">
        <f t="shared" si="21"/>
        <v>2.6903199999999998</v>
      </c>
      <c r="C141">
        <f t="shared" si="19"/>
        <v>10.899999999999999</v>
      </c>
      <c r="D141">
        <f t="shared" si="29"/>
        <v>460</v>
      </c>
      <c r="E141">
        <f t="shared" si="22"/>
        <v>4.3599999999999994</v>
      </c>
      <c r="K141">
        <f t="shared" si="23"/>
        <v>4.4597349643221202E-5</v>
      </c>
      <c r="L141">
        <f t="shared" si="24"/>
        <v>2.1799999999999996E-3</v>
      </c>
      <c r="M141">
        <f t="shared" si="25"/>
        <v>2.6801580020387357E-4</v>
      </c>
      <c r="N141">
        <f t="shared" si="26"/>
        <v>4.3599999999999994</v>
      </c>
      <c r="O141">
        <f t="shared" si="27"/>
        <v>1.3450599999999999E-3</v>
      </c>
      <c r="P141" s="4">
        <f t="shared" si="28"/>
        <v>1.8653520363548173</v>
      </c>
    </row>
    <row r="142" spans="1:16" x14ac:dyDescent="0.75">
      <c r="A142">
        <v>1.41</v>
      </c>
      <c r="B142">
        <f t="shared" si="21"/>
        <v>2.7038630000000001</v>
      </c>
      <c r="C142">
        <f t="shared" si="19"/>
        <v>11.147500000000001</v>
      </c>
      <c r="D142">
        <f t="shared" si="29"/>
        <v>469</v>
      </c>
      <c r="E142">
        <f t="shared" si="22"/>
        <v>4.4590000000000005</v>
      </c>
      <c r="K142">
        <f t="shared" si="23"/>
        <v>4.3607186464329306E-5</v>
      </c>
      <c r="L142">
        <f t="shared" si="24"/>
        <v>2.2295000000000001E-3</v>
      </c>
      <c r="M142">
        <f t="shared" si="25"/>
        <v>2.6147466422466408E-4</v>
      </c>
      <c r="N142">
        <f t="shared" si="26"/>
        <v>4.4590000000000005</v>
      </c>
      <c r="O142">
        <f t="shared" si="27"/>
        <v>1.3518315000000001E-3</v>
      </c>
      <c r="P142" s="4">
        <f t="shared" si="28"/>
        <v>1.866965342519042</v>
      </c>
    </row>
    <row r="143" spans="1:16" x14ac:dyDescent="0.75">
      <c r="A143">
        <v>1.42</v>
      </c>
      <c r="B143">
        <f t="shared" si="21"/>
        <v>2.717406</v>
      </c>
      <c r="C143">
        <f t="shared" si="19"/>
        <v>11.394999999999996</v>
      </c>
      <c r="D143">
        <f t="shared" si="29"/>
        <v>478</v>
      </c>
      <c r="E143">
        <f t="shared" si="22"/>
        <v>4.5579999999999981</v>
      </c>
      <c r="K143">
        <f t="shared" si="23"/>
        <v>4.2660036078201951E-5</v>
      </c>
      <c r="L143">
        <f t="shared" si="24"/>
        <v>2.2789999999999993E-3</v>
      </c>
      <c r="M143">
        <f t="shared" si="25"/>
        <v>2.5521767588123446E-4</v>
      </c>
      <c r="N143">
        <f t="shared" si="26"/>
        <v>4.5579999999999981</v>
      </c>
      <c r="O143">
        <f t="shared" si="27"/>
        <v>1.3586030000000003E-3</v>
      </c>
      <c r="P143" s="4">
        <f t="shared" si="28"/>
        <v>1.8685791631949231</v>
      </c>
    </row>
    <row r="144" spans="1:16" x14ac:dyDescent="0.75">
      <c r="A144">
        <v>1.43</v>
      </c>
      <c r="B144">
        <f t="shared" si="21"/>
        <v>2.7309489999999998</v>
      </c>
      <c r="C144">
        <f t="shared" si="19"/>
        <v>11.642499999999998</v>
      </c>
      <c r="D144">
        <f t="shared" si="29"/>
        <v>487</v>
      </c>
      <c r="E144">
        <f t="shared" si="22"/>
        <v>4.6569999999999991</v>
      </c>
      <c r="K144">
        <f t="shared" si="23"/>
        <v>4.1753155345596831E-5</v>
      </c>
      <c r="L144">
        <f t="shared" si="24"/>
        <v>2.3284999999999998E-3</v>
      </c>
      <c r="M144">
        <f t="shared" si="25"/>
        <v>2.492267136687901E-4</v>
      </c>
      <c r="N144">
        <f t="shared" si="26"/>
        <v>4.6569999999999991</v>
      </c>
      <c r="O144">
        <f t="shared" si="27"/>
        <v>1.3653744999999999E-3</v>
      </c>
      <c r="P144" s="4">
        <f t="shared" si="28"/>
        <v>1.870193764408592</v>
      </c>
    </row>
    <row r="145" spans="1:16" x14ac:dyDescent="0.75">
      <c r="A145">
        <v>1.44</v>
      </c>
      <c r="B145">
        <f t="shared" si="21"/>
        <v>2.7444920000000002</v>
      </c>
      <c r="C145">
        <f t="shared" si="19"/>
        <v>11.89</v>
      </c>
      <c r="D145">
        <f t="shared" si="29"/>
        <v>496</v>
      </c>
      <c r="E145">
        <f t="shared" si="22"/>
        <v>4.7560000000000002</v>
      </c>
      <c r="K145">
        <f t="shared" si="23"/>
        <v>4.0884029529950463E-5</v>
      </c>
      <c r="L145">
        <f t="shared" si="24"/>
        <v>2.3780000000000003E-3</v>
      </c>
      <c r="M145">
        <f t="shared" si="25"/>
        <v>2.434851649378562E-4</v>
      </c>
      <c r="N145">
        <f t="shared" si="26"/>
        <v>4.7560000000000002</v>
      </c>
      <c r="O145">
        <f t="shared" si="27"/>
        <v>1.3721460000000001E-3</v>
      </c>
      <c r="P145" s="4">
        <f t="shared" si="28"/>
        <v>1.8718093955735298</v>
      </c>
    </row>
    <row r="146" spans="1:16" x14ac:dyDescent="0.75">
      <c r="A146">
        <v>1.45</v>
      </c>
      <c r="B146">
        <f t="shared" si="21"/>
        <v>2.758035</v>
      </c>
      <c r="C146">
        <f t="shared" si="19"/>
        <v>12.137499999999996</v>
      </c>
      <c r="D146">
        <f t="shared" si="29"/>
        <v>505</v>
      </c>
      <c r="E146">
        <f t="shared" si="22"/>
        <v>4.8549999999999986</v>
      </c>
      <c r="K146">
        <f t="shared" si="23"/>
        <v>4.0050349010184235E-5</v>
      </c>
      <c r="L146">
        <f t="shared" si="24"/>
        <v>2.4274999999999991E-3</v>
      </c>
      <c r="M146">
        <f t="shared" si="25"/>
        <v>2.3797777205629935E-4</v>
      </c>
      <c r="N146">
        <f t="shared" si="26"/>
        <v>4.8549999999999986</v>
      </c>
      <c r="O146">
        <f t="shared" si="27"/>
        <v>1.3789174999999996E-3</v>
      </c>
      <c r="P146" s="4">
        <f t="shared" si="28"/>
        <v>1.8734262908455861</v>
      </c>
    </row>
    <row r="147" spans="1:16" x14ac:dyDescent="0.75">
      <c r="A147">
        <v>1.46</v>
      </c>
      <c r="B147">
        <f t="shared" si="21"/>
        <v>2.7715779999999999</v>
      </c>
      <c r="C147">
        <f t="shared" si="19"/>
        <v>12.384999999999998</v>
      </c>
      <c r="D147">
        <f t="shared" si="29"/>
        <v>514</v>
      </c>
      <c r="E147">
        <f t="shared" si="22"/>
        <v>4.9539999999999988</v>
      </c>
      <c r="K147">
        <f t="shared" si="23"/>
        <v>3.9249988785717492E-5</v>
      </c>
      <c r="L147">
        <f t="shared" si="24"/>
        <v>2.4769999999999996E-3</v>
      </c>
      <c r="M147">
        <f t="shared" si="25"/>
        <v>2.3269049701700085E-4</v>
      </c>
      <c r="N147">
        <f t="shared" si="26"/>
        <v>4.9539999999999988</v>
      </c>
      <c r="O147">
        <f t="shared" si="27"/>
        <v>1.3856890000000001E-3</v>
      </c>
      <c r="P147" s="4">
        <f t="shared" si="28"/>
        <v>1.8750446703426029</v>
      </c>
    </row>
    <row r="148" spans="1:16" x14ac:dyDescent="0.75">
      <c r="A148">
        <v>1.47</v>
      </c>
      <c r="B148">
        <f t="shared" si="21"/>
        <v>2.7851210000000002</v>
      </c>
      <c r="C148">
        <f t="shared" si="19"/>
        <v>12.6325</v>
      </c>
      <c r="D148">
        <f t="shared" si="29"/>
        <v>523</v>
      </c>
      <c r="E148">
        <f t="shared" si="22"/>
        <v>5.0529999999999999</v>
      </c>
      <c r="K148">
        <f t="shared" si="23"/>
        <v>3.8480990390746963E-5</v>
      </c>
      <c r="L148">
        <f t="shared" si="24"/>
        <v>2.5265000000000001E-3</v>
      </c>
      <c r="M148">
        <f t="shared" si="25"/>
        <v>2.2761040196143096E-4</v>
      </c>
      <c r="N148">
        <f t="shared" si="26"/>
        <v>5.0529999999999999</v>
      </c>
      <c r="O148">
        <f t="shared" si="27"/>
        <v>1.3924605E-3</v>
      </c>
      <c r="P148" s="4">
        <f t="shared" si="28"/>
        <v>1.8766647412445643</v>
      </c>
    </row>
    <row r="149" spans="1:16" x14ac:dyDescent="0.75">
      <c r="A149">
        <v>1.48</v>
      </c>
      <c r="B149">
        <f t="shared" si="21"/>
        <v>2.7986640000000005</v>
      </c>
      <c r="C149">
        <f t="shared" si="19"/>
        <v>12.880000000000003</v>
      </c>
      <c r="D149">
        <f t="shared" si="29"/>
        <v>532</v>
      </c>
      <c r="E149">
        <f t="shared" si="22"/>
        <v>5.152000000000001</v>
      </c>
      <c r="K149">
        <f t="shared" si="23"/>
        <v>3.7741545893719791E-5</v>
      </c>
      <c r="L149">
        <f t="shared" si="24"/>
        <v>2.5760000000000006E-3</v>
      </c>
      <c r="M149">
        <f t="shared" si="25"/>
        <v>2.2272554347826075E-4</v>
      </c>
      <c r="N149">
        <f t="shared" si="26"/>
        <v>5.152000000000001</v>
      </c>
      <c r="O149">
        <f t="shared" si="27"/>
        <v>1.3992320000000003E-3</v>
      </c>
      <c r="P149" s="4">
        <f t="shared" si="28"/>
        <v>1.8782866987880427</v>
      </c>
    </row>
    <row r="150" spans="1:16" x14ac:dyDescent="0.75">
      <c r="A150">
        <v>1.49</v>
      </c>
      <c r="B150">
        <f t="shared" si="21"/>
        <v>2.8122069999999999</v>
      </c>
      <c r="C150">
        <f t="shared" si="19"/>
        <v>13.127499999999998</v>
      </c>
      <c r="D150">
        <f t="shared" si="29"/>
        <v>541</v>
      </c>
      <c r="E150">
        <f t="shared" si="22"/>
        <v>5.2509999999999994</v>
      </c>
      <c r="K150">
        <f t="shared" si="23"/>
        <v>3.7029983706807168E-5</v>
      </c>
      <c r="L150">
        <f t="shared" si="24"/>
        <v>2.6254999999999998E-3</v>
      </c>
      <c r="M150">
        <f t="shared" si="25"/>
        <v>2.1802487885905328E-4</v>
      </c>
      <c r="N150">
        <f t="shared" si="26"/>
        <v>5.2509999999999994</v>
      </c>
      <c r="O150">
        <f t="shared" si="27"/>
        <v>1.4060035E-3</v>
      </c>
      <c r="P150" s="4">
        <f t="shared" si="28"/>
        <v>1.8799107271669018</v>
      </c>
    </row>
    <row r="151" spans="1:16" x14ac:dyDescent="0.75">
      <c r="A151">
        <v>1.5</v>
      </c>
      <c r="B151">
        <f t="shared" si="21"/>
        <v>2.8257500000000002</v>
      </c>
      <c r="C151">
        <f t="shared" si="19"/>
        <v>13.375</v>
      </c>
      <c r="D151">
        <f t="shared" si="29"/>
        <v>550</v>
      </c>
      <c r="E151">
        <f t="shared" si="22"/>
        <v>5.35</v>
      </c>
      <c r="K151">
        <f t="shared" si="23"/>
        <v>3.6344755970924189E-5</v>
      </c>
      <c r="L151">
        <f t="shared" si="24"/>
        <v>2.6750000000000003E-3</v>
      </c>
      <c r="M151">
        <f t="shared" si="25"/>
        <v>2.1349818276220138E-4</v>
      </c>
      <c r="N151">
        <f t="shared" si="26"/>
        <v>5.35</v>
      </c>
      <c r="O151">
        <f t="shared" si="27"/>
        <v>1.4127750000000004E-3</v>
      </c>
      <c r="P151" s="4">
        <f t="shared" si="28"/>
        <v>1.8815370003496639</v>
      </c>
    </row>
    <row r="152" spans="1:16" x14ac:dyDescent="0.75">
      <c r="A152">
        <v>1.51</v>
      </c>
      <c r="B152">
        <f t="shared" si="21"/>
        <v>2.8392930000000005</v>
      </c>
      <c r="C152">
        <f t="shared" si="19"/>
        <v>13.622500000000002</v>
      </c>
      <c r="D152">
        <f t="shared" si="29"/>
        <v>559</v>
      </c>
      <c r="E152">
        <f t="shared" si="22"/>
        <v>5.4490000000000007</v>
      </c>
      <c r="K152">
        <f t="shared" si="23"/>
        <v>3.5684427315919322E-5</v>
      </c>
      <c r="L152">
        <f t="shared" si="24"/>
        <v>2.7245000000000008E-3</v>
      </c>
      <c r="M152">
        <f t="shared" si="25"/>
        <v>2.0913597296139954E-4</v>
      </c>
      <c r="N152">
        <f t="shared" si="26"/>
        <v>5.4490000000000007</v>
      </c>
      <c r="O152">
        <f t="shared" si="27"/>
        <v>1.4195465000000006E-3</v>
      </c>
      <c r="P152" s="4">
        <f t="shared" si="28"/>
        <v>1.8831656828226253</v>
      </c>
    </row>
    <row r="153" spans="1:16" x14ac:dyDescent="0.75">
      <c r="A153">
        <v>1.52</v>
      </c>
      <c r="B153">
        <f t="shared" si="21"/>
        <v>2.8528359999999999</v>
      </c>
      <c r="C153">
        <f t="shared" si="19"/>
        <v>13.869999999999997</v>
      </c>
      <c r="D153">
        <f t="shared" si="29"/>
        <v>568</v>
      </c>
      <c r="E153">
        <f t="shared" si="22"/>
        <v>5.5479999999999992</v>
      </c>
      <c r="K153">
        <f t="shared" si="23"/>
        <v>3.5047664824160857E-5</v>
      </c>
      <c r="L153">
        <f t="shared" si="24"/>
        <v>2.7739999999999996E-3</v>
      </c>
      <c r="M153">
        <f t="shared" si="25"/>
        <v>2.0492944404389968E-4</v>
      </c>
      <c r="N153">
        <f t="shared" si="26"/>
        <v>5.5479999999999992</v>
      </c>
      <c r="O153">
        <f t="shared" si="27"/>
        <v>1.426318E-3</v>
      </c>
      <c r="P153" s="4">
        <f t="shared" si="28"/>
        <v>1.8847969302666692</v>
      </c>
    </row>
    <row r="154" spans="1:16" x14ac:dyDescent="0.75">
      <c r="A154">
        <v>1.53</v>
      </c>
      <c r="B154">
        <f t="shared" si="21"/>
        <v>2.8663790000000002</v>
      </c>
      <c r="C154">
        <f t="shared" si="19"/>
        <v>14.1175</v>
      </c>
      <c r="D154">
        <f t="shared" si="29"/>
        <v>577</v>
      </c>
      <c r="E154">
        <f t="shared" si="22"/>
        <v>5.6470000000000002</v>
      </c>
      <c r="K154">
        <f t="shared" si="23"/>
        <v>3.4433229049839629E-5</v>
      </c>
      <c r="L154">
        <f t="shared" si="24"/>
        <v>2.8235000000000001E-3</v>
      </c>
      <c r="M154">
        <f t="shared" si="25"/>
        <v>2.0087040808295447E-4</v>
      </c>
      <c r="N154">
        <f t="shared" si="26"/>
        <v>5.6470000000000002</v>
      </c>
      <c r="O154">
        <f t="shared" si="27"/>
        <v>1.4330895000000002E-3</v>
      </c>
      <c r="P154" s="4">
        <f t="shared" si="28"/>
        <v>1.8864308901747522</v>
      </c>
    </row>
    <row r="155" spans="1:16" x14ac:dyDescent="0.75">
      <c r="A155">
        <v>1.54</v>
      </c>
      <c r="B155">
        <f t="shared" si="21"/>
        <v>2.8799220000000005</v>
      </c>
      <c r="C155">
        <f t="shared" si="19"/>
        <v>14.365000000000002</v>
      </c>
      <c r="D155">
        <f t="shared" si="29"/>
        <v>586</v>
      </c>
      <c r="E155">
        <f t="shared" si="22"/>
        <v>5.7460000000000004</v>
      </c>
      <c r="K155">
        <f t="shared" si="23"/>
        <v>3.3839965966662791E-5</v>
      </c>
      <c r="L155">
        <f t="shared" si="24"/>
        <v>2.8730000000000006E-3</v>
      </c>
      <c r="M155">
        <f t="shared" si="25"/>
        <v>1.9695124144332281E-4</v>
      </c>
      <c r="N155">
        <f t="shared" si="26"/>
        <v>5.7460000000000004</v>
      </c>
      <c r="O155">
        <f t="shared" si="27"/>
        <v>1.4398610000000004E-3</v>
      </c>
      <c r="P155" s="4">
        <f t="shared" si="28"/>
        <v>1.8880677024161954</v>
      </c>
    </row>
    <row r="156" spans="1:16" x14ac:dyDescent="0.75">
      <c r="A156">
        <v>1.55</v>
      </c>
      <c r="B156">
        <f t="shared" si="21"/>
        <v>2.893465</v>
      </c>
      <c r="C156">
        <f t="shared" si="19"/>
        <v>14.612500000000004</v>
      </c>
      <c r="D156">
        <f t="shared" si="29"/>
        <v>595</v>
      </c>
      <c r="E156">
        <f t="shared" si="22"/>
        <v>5.8450000000000015</v>
      </c>
      <c r="K156">
        <f t="shared" si="23"/>
        <v>3.3266799733865587E-5</v>
      </c>
      <c r="L156">
        <f t="shared" si="24"/>
        <v>2.9225000000000011E-3</v>
      </c>
      <c r="M156">
        <f t="shared" si="25"/>
        <v>1.931648369926812E-4</v>
      </c>
      <c r="N156">
        <f t="shared" si="26"/>
        <v>5.8450000000000015</v>
      </c>
      <c r="O156">
        <f t="shared" si="27"/>
        <v>1.4466324999999999E-3</v>
      </c>
      <c r="P156" s="4">
        <f t="shared" si="28"/>
        <v>1.889707499753188</v>
      </c>
    </row>
    <row r="157" spans="1:16" x14ac:dyDescent="0.75">
      <c r="A157">
        <v>1.56</v>
      </c>
      <c r="B157">
        <f t="shared" si="21"/>
        <v>2.9070080000000003</v>
      </c>
      <c r="C157">
        <f t="shared" si="19"/>
        <v>14.86</v>
      </c>
      <c r="D157">
        <f t="shared" si="29"/>
        <v>604</v>
      </c>
      <c r="E157">
        <f t="shared" si="22"/>
        <v>5.944</v>
      </c>
      <c r="K157">
        <f t="shared" si="23"/>
        <v>3.2712726185135328E-5</v>
      </c>
      <c r="L157">
        <f t="shared" si="24"/>
        <v>2.9719999999999998E-3</v>
      </c>
      <c r="M157">
        <f t="shared" si="25"/>
        <v>1.8950456108867943E-4</v>
      </c>
      <c r="N157">
        <f t="shared" si="26"/>
        <v>5.944</v>
      </c>
      <c r="O157">
        <f t="shared" si="27"/>
        <v>1.4534040000000002E-3</v>
      </c>
      <c r="P157" s="4">
        <f t="shared" si="28"/>
        <v>1.8913504083142767</v>
      </c>
    </row>
    <row r="158" spans="1:16" x14ac:dyDescent="0.75">
      <c r="A158">
        <v>1.57</v>
      </c>
      <c r="B158">
        <f t="shared" si="21"/>
        <v>2.9205510000000006</v>
      </c>
      <c r="C158">
        <f t="shared" si="19"/>
        <v>15.107500000000002</v>
      </c>
      <c r="D158">
        <f t="shared" si="29"/>
        <v>613</v>
      </c>
      <c r="E158">
        <f t="shared" si="22"/>
        <v>6.043000000000001</v>
      </c>
      <c r="K158">
        <f t="shared" si="23"/>
        <v>3.2176806957544987E-5</v>
      </c>
      <c r="L158">
        <f t="shared" si="24"/>
        <v>3.0215000000000003E-3</v>
      </c>
      <c r="M158">
        <f t="shared" si="25"/>
        <v>1.8596421479397638E-4</v>
      </c>
      <c r="N158">
        <f t="shared" si="26"/>
        <v>6.043000000000001</v>
      </c>
      <c r="O158">
        <f t="shared" si="27"/>
        <v>1.4601755000000004E-3</v>
      </c>
      <c r="P158" s="4">
        <f t="shared" si="28"/>
        <v>1.8929965480290707</v>
      </c>
    </row>
    <row r="159" spans="1:16" x14ac:dyDescent="0.75">
      <c r="A159">
        <v>1.58</v>
      </c>
      <c r="B159">
        <f t="shared" si="21"/>
        <v>2.934094</v>
      </c>
      <c r="C159">
        <f t="shared" si="19"/>
        <v>15.355000000000004</v>
      </c>
      <c r="D159">
        <f t="shared" si="29"/>
        <v>622</v>
      </c>
      <c r="E159">
        <f t="shared" si="22"/>
        <v>6.1420000000000012</v>
      </c>
      <c r="K159">
        <f t="shared" si="23"/>
        <v>3.1658164188284659E-5</v>
      </c>
      <c r="L159">
        <f t="shared" si="24"/>
        <v>3.0710000000000008E-3</v>
      </c>
      <c r="M159">
        <f t="shared" si="25"/>
        <v>1.8253799884221562E-4</v>
      </c>
      <c r="N159">
        <f t="shared" si="26"/>
        <v>6.1420000000000012</v>
      </c>
      <c r="O159">
        <f t="shared" si="27"/>
        <v>1.4669470000000001E-3</v>
      </c>
      <c r="P159" s="4">
        <f t="shared" si="28"/>
        <v>1.8946460330279129</v>
      </c>
    </row>
    <row r="160" spans="1:16" x14ac:dyDescent="0.75">
      <c r="A160">
        <v>1.59</v>
      </c>
      <c r="B160">
        <f t="shared" si="21"/>
        <v>2.9476370000000003</v>
      </c>
      <c r="C160">
        <f t="shared" si="19"/>
        <v>15.602499999999999</v>
      </c>
      <c r="D160">
        <f t="shared" si="29"/>
        <v>631</v>
      </c>
      <c r="E160">
        <f t="shared" si="22"/>
        <v>6.2409999999999997</v>
      </c>
      <c r="K160">
        <f t="shared" si="23"/>
        <v>3.1155975716142351E-5</v>
      </c>
      <c r="L160">
        <f t="shared" si="24"/>
        <v>3.1205E-3</v>
      </c>
      <c r="M160">
        <f t="shared" si="25"/>
        <v>1.7922048193843573E-4</v>
      </c>
      <c r="N160">
        <f t="shared" si="26"/>
        <v>6.2409999999999997</v>
      </c>
      <c r="O160">
        <f t="shared" si="27"/>
        <v>1.4737185000000001E-3</v>
      </c>
      <c r="P160" s="4">
        <f t="shared" si="28"/>
        <v>1.8962989720098513</v>
      </c>
    </row>
    <row r="161" spans="1:16" x14ac:dyDescent="0.75">
      <c r="A161">
        <v>1.6</v>
      </c>
      <c r="B161">
        <f t="shared" si="21"/>
        <v>2.9611800000000006</v>
      </c>
      <c r="C161">
        <f t="shared" si="19"/>
        <v>15.850000000000001</v>
      </c>
      <c r="D161">
        <f t="shared" si="29"/>
        <v>640</v>
      </c>
      <c r="E161">
        <f t="shared" si="22"/>
        <v>6.3400000000000007</v>
      </c>
      <c r="K161">
        <f t="shared" si="23"/>
        <v>3.0669470732562204E-5</v>
      </c>
      <c r="L161">
        <f t="shared" si="24"/>
        <v>3.1700000000000005E-3</v>
      </c>
      <c r="M161">
        <f t="shared" si="25"/>
        <v>1.7600657202944259E-4</v>
      </c>
      <c r="N161">
        <f t="shared" si="26"/>
        <v>6.3400000000000007</v>
      </c>
      <c r="O161">
        <f t="shared" si="27"/>
        <v>1.4804900000000003E-3</v>
      </c>
      <c r="P161" s="4">
        <f t="shared" si="28"/>
        <v>1.8979554685818809</v>
      </c>
    </row>
    <row r="162" spans="1:16" x14ac:dyDescent="0.75">
      <c r="A162">
        <v>1.61</v>
      </c>
      <c r="B162">
        <f t="shared" si="21"/>
        <v>2.974723</v>
      </c>
      <c r="C162">
        <f t="shared" ref="C162:C225" si="30">24.75* A162- 23.75</f>
        <v>16.097500000000004</v>
      </c>
      <c r="D162">
        <f t="shared" si="29"/>
        <v>649</v>
      </c>
      <c r="E162">
        <f t="shared" si="22"/>
        <v>6.4390000000000018</v>
      </c>
      <c r="K162">
        <f t="shared" si="23"/>
        <v>3.0197925833894137E-5</v>
      </c>
      <c r="L162">
        <f t="shared" si="24"/>
        <v>3.219500000000001E-3</v>
      </c>
      <c r="M162">
        <f t="shared" si="25"/>
        <v>1.7289149022449991E-4</v>
      </c>
      <c r="N162">
        <f t="shared" si="26"/>
        <v>6.4390000000000018</v>
      </c>
      <c r="O162">
        <f t="shared" si="27"/>
        <v>1.4872615000000001E-3</v>
      </c>
      <c r="P162" s="4">
        <f t="shared" si="28"/>
        <v>1.8996156215721054</v>
      </c>
    </row>
    <row r="163" spans="1:16" x14ac:dyDescent="0.75">
      <c r="A163">
        <v>1.62</v>
      </c>
      <c r="B163">
        <f t="shared" si="21"/>
        <v>2.9882660000000003</v>
      </c>
      <c r="C163">
        <f t="shared" si="30"/>
        <v>16.345000000000006</v>
      </c>
      <c r="D163">
        <f t="shared" si="29"/>
        <v>658</v>
      </c>
      <c r="E163">
        <f t="shared" si="22"/>
        <v>6.538000000000002</v>
      </c>
      <c r="K163">
        <f t="shared" si="23"/>
        <v>2.9740661432310239E-5</v>
      </c>
      <c r="L163">
        <f t="shared" si="24"/>
        <v>3.2690000000000015E-3</v>
      </c>
      <c r="M163">
        <f t="shared" si="25"/>
        <v>1.6987074708541507E-4</v>
      </c>
      <c r="N163">
        <f t="shared" si="26"/>
        <v>6.538000000000002</v>
      </c>
      <c r="O163">
        <f t="shared" si="27"/>
        <v>1.4940330000000005E-3</v>
      </c>
      <c r="P163" s="4">
        <f t="shared" si="28"/>
        <v>1.9012795253191908</v>
      </c>
    </row>
    <row r="164" spans="1:16" x14ac:dyDescent="0.75">
      <c r="A164">
        <v>1.63</v>
      </c>
      <c r="B164">
        <f t="shared" si="21"/>
        <v>3.0018089999999997</v>
      </c>
      <c r="C164">
        <f t="shared" si="30"/>
        <v>16.592499999999994</v>
      </c>
      <c r="D164">
        <f t="shared" si="29"/>
        <v>667</v>
      </c>
      <c r="E164">
        <f t="shared" si="22"/>
        <v>6.6369999999999978</v>
      </c>
      <c r="K164">
        <f t="shared" si="23"/>
        <v>2.9297038487937996E-5</v>
      </c>
      <c r="L164">
        <f t="shared" si="24"/>
        <v>3.318499999999999E-3</v>
      </c>
      <c r="M164">
        <f t="shared" si="25"/>
        <v>1.6694012103862189E-4</v>
      </c>
      <c r="N164">
        <f t="shared" si="26"/>
        <v>6.6369999999999978</v>
      </c>
      <c r="O164">
        <f t="shared" si="27"/>
        <v>1.5008044999999999E-3</v>
      </c>
      <c r="P164" s="4">
        <f t="shared" si="28"/>
        <v>1.9029472699402294</v>
      </c>
    </row>
    <row r="165" spans="1:16" x14ac:dyDescent="0.75">
      <c r="A165">
        <v>1.64</v>
      </c>
      <c r="B165">
        <f t="shared" si="21"/>
        <v>3.015352</v>
      </c>
      <c r="C165">
        <f t="shared" si="30"/>
        <v>16.839999999999996</v>
      </c>
      <c r="D165">
        <f t="shared" ref="D165:D200" si="31">900*A165-800</f>
        <v>676</v>
      </c>
      <c r="E165">
        <f t="shared" si="22"/>
        <v>6.7359999999999989</v>
      </c>
      <c r="K165">
        <f t="shared" si="23"/>
        <v>2.8866455529163365E-5</v>
      </c>
      <c r="L165">
        <f t="shared" si="24"/>
        <v>3.3679999999999995E-3</v>
      </c>
      <c r="M165">
        <f t="shared" si="25"/>
        <v>1.6409563869094744E-4</v>
      </c>
      <c r="N165">
        <f t="shared" si="26"/>
        <v>6.7359999999999989</v>
      </c>
      <c r="O165">
        <f t="shared" si="27"/>
        <v>1.5075760000000001E-3</v>
      </c>
      <c r="P165" s="4">
        <f t="shared" si="28"/>
        <v>1.9046189415789205</v>
      </c>
    </row>
    <row r="166" spans="1:16" x14ac:dyDescent="0.75">
      <c r="A166">
        <v>1.65</v>
      </c>
      <c r="B166">
        <f t="shared" si="21"/>
        <v>3.0288950000000003</v>
      </c>
      <c r="C166">
        <f t="shared" si="30"/>
        <v>17.087499999999999</v>
      </c>
      <c r="D166">
        <f t="shared" si="31"/>
        <v>685</v>
      </c>
      <c r="E166">
        <f t="shared" si="22"/>
        <v>6.8349999999999991</v>
      </c>
      <c r="K166">
        <f t="shared" si="23"/>
        <v>2.8448345931886529E-5</v>
      </c>
      <c r="L166">
        <f t="shared" si="24"/>
        <v>3.4175E-3</v>
      </c>
      <c r="M166">
        <f t="shared" si="25"/>
        <v>1.6133355685605134E-4</v>
      </c>
      <c r="N166">
        <f t="shared" si="26"/>
        <v>6.8349999999999991</v>
      </c>
      <c r="O166">
        <f t="shared" si="27"/>
        <v>1.5143475000000003E-3</v>
      </c>
      <c r="P166" s="4">
        <f t="shared" si="28"/>
        <v>1.9062946226357764</v>
      </c>
    </row>
    <row r="167" spans="1:16" x14ac:dyDescent="0.75">
      <c r="A167">
        <v>1.66</v>
      </c>
      <c r="B167">
        <f t="shared" si="21"/>
        <v>3.0424379999999998</v>
      </c>
      <c r="C167">
        <f t="shared" si="30"/>
        <v>17.335000000000001</v>
      </c>
      <c r="D167">
        <f t="shared" si="31"/>
        <v>694</v>
      </c>
      <c r="E167">
        <f t="shared" si="22"/>
        <v>6.9340000000000002</v>
      </c>
      <c r="K167">
        <f t="shared" si="23"/>
        <v>2.8042175431849495E-5</v>
      </c>
      <c r="L167">
        <f t="shared" si="24"/>
        <v>3.4670000000000005E-3</v>
      </c>
      <c r="M167">
        <f t="shared" si="25"/>
        <v>1.5865034612056527E-4</v>
      </c>
      <c r="N167">
        <f t="shared" si="26"/>
        <v>6.9340000000000002</v>
      </c>
      <c r="O167">
        <f t="shared" si="27"/>
        <v>1.5211189999999998E-3</v>
      </c>
      <c r="P167" s="4">
        <f t="shared" si="28"/>
        <v>1.907974391981897</v>
      </c>
    </row>
    <row r="168" spans="1:16" x14ac:dyDescent="0.75">
      <c r="A168">
        <v>1.67</v>
      </c>
      <c r="B168">
        <f t="shared" si="21"/>
        <v>3.0559810000000001</v>
      </c>
      <c r="C168">
        <f t="shared" si="30"/>
        <v>17.582499999999996</v>
      </c>
      <c r="D168">
        <f t="shared" si="31"/>
        <v>703</v>
      </c>
      <c r="E168">
        <f t="shared" si="22"/>
        <v>7.0329999999999986</v>
      </c>
      <c r="K168">
        <f t="shared" si="23"/>
        <v>2.7647439847070161E-5</v>
      </c>
      <c r="L168">
        <f t="shared" si="24"/>
        <v>3.5164999999999992E-3</v>
      </c>
      <c r="M168">
        <f t="shared" si="25"/>
        <v>1.5604267579822108E-4</v>
      </c>
      <c r="N168">
        <f t="shared" si="26"/>
        <v>7.0329999999999986</v>
      </c>
      <c r="O168">
        <f t="shared" si="27"/>
        <v>1.5278905E-3</v>
      </c>
      <c r="P168" s="4">
        <f t="shared" si="28"/>
        <v>1.9096583251576953</v>
      </c>
    </row>
    <row r="169" spans="1:16" x14ac:dyDescent="0.75">
      <c r="A169">
        <v>1.68</v>
      </c>
      <c r="B169">
        <f t="shared" si="21"/>
        <v>3.0695240000000004</v>
      </c>
      <c r="C169">
        <f t="shared" si="30"/>
        <v>17.829999999999998</v>
      </c>
      <c r="D169">
        <f t="shared" si="31"/>
        <v>712</v>
      </c>
      <c r="E169">
        <f t="shared" si="22"/>
        <v>7.1319999999999997</v>
      </c>
      <c r="K169">
        <f t="shared" si="23"/>
        <v>2.7263662989966969E-5</v>
      </c>
      <c r="L169">
        <f t="shared" si="24"/>
        <v>3.5659999999999997E-3</v>
      </c>
      <c r="M169">
        <f t="shared" si="25"/>
        <v>1.5350740013709722E-4</v>
      </c>
      <c r="N169">
        <f t="shared" si="26"/>
        <v>7.1319999999999997</v>
      </c>
      <c r="O169">
        <f t="shared" si="27"/>
        <v>1.5346620000000002E-3</v>
      </c>
      <c r="P169" s="4">
        <f t="shared" si="28"/>
        <v>1.9113464945578325</v>
      </c>
    </row>
    <row r="170" spans="1:16" x14ac:dyDescent="0.75">
      <c r="A170">
        <v>1.69</v>
      </c>
      <c r="B170">
        <f t="shared" si="21"/>
        <v>3.0830669999999998</v>
      </c>
      <c r="C170">
        <f t="shared" si="30"/>
        <v>18.077500000000001</v>
      </c>
      <c r="D170">
        <f t="shared" si="31"/>
        <v>721</v>
      </c>
      <c r="E170">
        <f t="shared" si="22"/>
        <v>7.2309999999999999</v>
      </c>
      <c r="K170">
        <f t="shared" si="23"/>
        <v>2.6890394750994938E-5</v>
      </c>
      <c r="L170">
        <f t="shared" si="24"/>
        <v>3.6155000000000002E-3</v>
      </c>
      <c r="M170">
        <f t="shared" si="25"/>
        <v>1.5104154565989024E-4</v>
      </c>
      <c r="N170">
        <f t="shared" si="26"/>
        <v>7.2309999999999999</v>
      </c>
      <c r="O170">
        <f t="shared" si="27"/>
        <v>1.5414335E-3</v>
      </c>
      <c r="P170" s="4">
        <f t="shared" si="28"/>
        <v>1.9130389696034922</v>
      </c>
    </row>
    <row r="171" spans="1:16" x14ac:dyDescent="0.75">
      <c r="A171">
        <v>1.7</v>
      </c>
      <c r="B171">
        <f t="shared" si="21"/>
        <v>3.0966100000000001</v>
      </c>
      <c r="C171">
        <f t="shared" si="30"/>
        <v>18.324999999999996</v>
      </c>
      <c r="D171">
        <f t="shared" si="31"/>
        <v>730</v>
      </c>
      <c r="E171">
        <f t="shared" si="22"/>
        <v>7.3299999999999983</v>
      </c>
      <c r="K171">
        <f t="shared" si="23"/>
        <v>2.6527209337577687E-5</v>
      </c>
      <c r="L171">
        <f t="shared" si="24"/>
        <v>3.6649999999999994E-3</v>
      </c>
      <c r="M171">
        <f t="shared" si="25"/>
        <v>1.4864229953008942E-4</v>
      </c>
      <c r="N171">
        <f t="shared" si="26"/>
        <v>7.3299999999999983</v>
      </c>
      <c r="O171">
        <f t="shared" si="27"/>
        <v>1.548205E-3</v>
      </c>
      <c r="P171" s="4">
        <f t="shared" si="28"/>
        <v>1.9147358169030222</v>
      </c>
    </row>
    <row r="172" spans="1:16" x14ac:dyDescent="0.75">
      <c r="A172">
        <v>1.71</v>
      </c>
      <c r="B172">
        <f t="shared" si="21"/>
        <v>3.1101530000000004</v>
      </c>
      <c r="C172">
        <f t="shared" si="30"/>
        <v>18.572499999999998</v>
      </c>
      <c r="D172">
        <f t="shared" si="31"/>
        <v>739</v>
      </c>
      <c r="E172">
        <f t="shared" si="22"/>
        <v>7.4289999999999994</v>
      </c>
      <c r="K172">
        <f t="shared" si="23"/>
        <v>2.6173703653849026E-5</v>
      </c>
      <c r="L172">
        <f t="shared" si="24"/>
        <v>3.7144999999999999E-3</v>
      </c>
      <c r="M172">
        <f t="shared" si="25"/>
        <v>1.4630699884835699E-4</v>
      </c>
      <c r="N172">
        <f t="shared" si="26"/>
        <v>7.4289999999999994</v>
      </c>
      <c r="O172">
        <f t="shared" si="27"/>
        <v>1.5549765000000002E-3</v>
      </c>
      <c r="P172" s="4">
        <f t="shared" si="28"/>
        <v>1.9164371004018705</v>
      </c>
    </row>
    <row r="173" spans="1:16" x14ac:dyDescent="0.75">
      <c r="A173">
        <v>1.72</v>
      </c>
      <c r="B173">
        <f t="shared" si="21"/>
        <v>3.1236959999999998</v>
      </c>
      <c r="C173">
        <f t="shared" si="30"/>
        <v>18.82</v>
      </c>
      <c r="D173">
        <f t="shared" si="31"/>
        <v>748</v>
      </c>
      <c r="E173">
        <f t="shared" si="22"/>
        <v>7.5280000000000005</v>
      </c>
      <c r="K173">
        <f t="shared" si="23"/>
        <v>2.5829495808241817E-5</v>
      </c>
      <c r="L173">
        <f t="shared" si="24"/>
        <v>3.7640000000000004E-3</v>
      </c>
      <c r="M173">
        <f t="shared" si="25"/>
        <v>1.4403312079348205E-4</v>
      </c>
      <c r="N173">
        <f t="shared" si="26"/>
        <v>7.5280000000000005</v>
      </c>
      <c r="O173">
        <f t="shared" si="27"/>
        <v>1.561748E-3</v>
      </c>
      <c r="P173" s="4">
        <f t="shared" si="28"/>
        <v>1.9181428815226642</v>
      </c>
    </row>
    <row r="174" spans="1:16" x14ac:dyDescent="0.75">
      <c r="A174">
        <v>1.73</v>
      </c>
      <c r="B174">
        <f t="shared" si="21"/>
        <v>3.1372390000000001</v>
      </c>
      <c r="C174">
        <f t="shared" si="30"/>
        <v>19.067500000000003</v>
      </c>
      <c r="D174">
        <f t="shared" si="31"/>
        <v>757</v>
      </c>
      <c r="E174">
        <f t="shared" si="22"/>
        <v>7.6270000000000007</v>
      </c>
      <c r="K174">
        <f t="shared" si="23"/>
        <v>2.549422373730751E-5</v>
      </c>
      <c r="L174">
        <f t="shared" si="24"/>
        <v>3.8135000000000005E-3</v>
      </c>
      <c r="M174">
        <f t="shared" si="25"/>
        <v>1.4181827353116844E-4</v>
      </c>
      <c r="N174">
        <f t="shared" si="26"/>
        <v>7.6270000000000007</v>
      </c>
      <c r="O174">
        <f t="shared" si="27"/>
        <v>1.5685195000000002E-3</v>
      </c>
      <c r="P174" s="4">
        <f t="shared" si="28"/>
        <v>1.9198532192961952</v>
      </c>
    </row>
    <row r="175" spans="1:16" x14ac:dyDescent="0.75">
      <c r="A175">
        <v>1.74</v>
      </c>
      <c r="B175">
        <f t="shared" si="21"/>
        <v>3.1507820000000004</v>
      </c>
      <c r="C175">
        <f t="shared" si="30"/>
        <v>19.314999999999998</v>
      </c>
      <c r="D175">
        <f t="shared" si="31"/>
        <v>766</v>
      </c>
      <c r="E175">
        <f t="shared" si="22"/>
        <v>7.7259999999999991</v>
      </c>
      <c r="K175">
        <f t="shared" si="23"/>
        <v>2.5167543935340984E-5</v>
      </c>
      <c r="L175">
        <f t="shared" si="24"/>
        <v>3.8629999999999997E-3</v>
      </c>
      <c r="M175">
        <f t="shared" si="25"/>
        <v>1.3966018782178501E-4</v>
      </c>
      <c r="N175">
        <f t="shared" si="26"/>
        <v>7.7259999999999991</v>
      </c>
      <c r="O175">
        <f t="shared" si="27"/>
        <v>1.5752910000000001E-3</v>
      </c>
      <c r="P175" s="4">
        <f t="shared" si="28"/>
        <v>1.9215681704840171</v>
      </c>
    </row>
    <row r="176" spans="1:16" x14ac:dyDescent="0.75">
      <c r="A176">
        <v>1.75</v>
      </c>
      <c r="B176">
        <f t="shared" si="21"/>
        <v>3.1643249999999998</v>
      </c>
      <c r="C176">
        <f t="shared" si="30"/>
        <v>19.5625</v>
      </c>
      <c r="D176">
        <f t="shared" si="31"/>
        <v>775</v>
      </c>
      <c r="E176">
        <f t="shared" si="22"/>
        <v>7.8250000000000002</v>
      </c>
      <c r="K176">
        <f t="shared" si="23"/>
        <v>2.4849130280440179E-5</v>
      </c>
      <c r="L176">
        <f t="shared" si="24"/>
        <v>3.9125000000000002E-3</v>
      </c>
      <c r="M176">
        <f t="shared" si="25"/>
        <v>1.3755670926517567E-4</v>
      </c>
      <c r="N176">
        <f t="shared" si="26"/>
        <v>7.8250000000000002</v>
      </c>
      <c r="O176">
        <f t="shared" si="27"/>
        <v>1.5820624999999999E-3</v>
      </c>
      <c r="P176" s="4">
        <f t="shared" si="28"/>
        <v>1.9232877896932823</v>
      </c>
    </row>
    <row r="177" spans="1:16" x14ac:dyDescent="0.75">
      <c r="A177">
        <v>1.76</v>
      </c>
      <c r="B177">
        <f t="shared" si="21"/>
        <v>3.1778680000000001</v>
      </c>
      <c r="C177">
        <f t="shared" si="30"/>
        <v>19.810000000000002</v>
      </c>
      <c r="D177">
        <f t="shared" si="31"/>
        <v>784</v>
      </c>
      <c r="E177">
        <f t="shared" si="22"/>
        <v>7.9240000000000013</v>
      </c>
      <c r="K177">
        <f t="shared" si="23"/>
        <v>2.4538672948566932E-5</v>
      </c>
      <c r="L177">
        <f t="shared" si="24"/>
        <v>3.9620000000000002E-3</v>
      </c>
      <c r="M177">
        <f t="shared" si="25"/>
        <v>1.3550579112681579E-4</v>
      </c>
      <c r="N177">
        <f t="shared" si="26"/>
        <v>7.9240000000000013</v>
      </c>
      <c r="O177">
        <f t="shared" si="27"/>
        <v>1.5888339999999997E-3</v>
      </c>
      <c r="P177" s="4">
        <f t="shared" si="28"/>
        <v>1.9250121294844091</v>
      </c>
    </row>
    <row r="178" spans="1:16" x14ac:dyDescent="0.75">
      <c r="A178">
        <v>1.77</v>
      </c>
      <c r="B178">
        <f t="shared" si="21"/>
        <v>3.1914110000000004</v>
      </c>
      <c r="C178">
        <f t="shared" si="30"/>
        <v>20.057499999999997</v>
      </c>
      <c r="D178">
        <f t="shared" si="31"/>
        <v>793</v>
      </c>
      <c r="E178">
        <f t="shared" si="22"/>
        <v>8.0229999999999997</v>
      </c>
      <c r="K178">
        <f t="shared" si="23"/>
        <v>2.4235877408007531E-5</v>
      </c>
      <c r="L178">
        <f t="shared" si="24"/>
        <v>4.0114999999999994E-3</v>
      </c>
      <c r="M178">
        <f t="shared" si="25"/>
        <v>1.3350548769509876E-4</v>
      </c>
      <c r="N178">
        <f t="shared" si="26"/>
        <v>8.0229999999999997</v>
      </c>
      <c r="O178">
        <f t="shared" si="27"/>
        <v>1.5956054999999999E-3</v>
      </c>
      <c r="P178" s="4">
        <f t="shared" si="28"/>
        <v>1.9267412404721043</v>
      </c>
    </row>
    <row r="179" spans="1:16" x14ac:dyDescent="0.75">
      <c r="A179">
        <v>1.78</v>
      </c>
      <c r="B179">
        <f t="shared" si="21"/>
        <v>3.2049539999999999</v>
      </c>
      <c r="C179">
        <f t="shared" si="30"/>
        <v>20.305</v>
      </c>
      <c r="D179">
        <f t="shared" si="31"/>
        <v>802</v>
      </c>
      <c r="E179">
        <f t="shared" si="22"/>
        <v>8.1219999999999999</v>
      </c>
      <c r="K179">
        <f t="shared" si="23"/>
        <v>2.3940463487373109E-5</v>
      </c>
      <c r="L179">
        <f t="shared" si="24"/>
        <v>4.0610000000000004E-3</v>
      </c>
      <c r="M179">
        <f t="shared" si="25"/>
        <v>1.3155394812443564E-4</v>
      </c>
      <c r="N179">
        <f t="shared" si="26"/>
        <v>8.1219999999999999</v>
      </c>
      <c r="O179">
        <f t="shared" si="27"/>
        <v>1.6023769999999999E-3</v>
      </c>
      <c r="P179" s="4">
        <f t="shared" si="28"/>
        <v>1.9284751714202286</v>
      </c>
    </row>
    <row r="180" spans="1:16" x14ac:dyDescent="0.75">
      <c r="A180">
        <v>1.79</v>
      </c>
      <c r="B180">
        <f t="shared" si="21"/>
        <v>3.2184970000000002</v>
      </c>
      <c r="C180">
        <f t="shared" si="30"/>
        <v>20.552500000000002</v>
      </c>
      <c r="D180">
        <f t="shared" si="31"/>
        <v>811</v>
      </c>
      <c r="E180">
        <f t="shared" si="22"/>
        <v>8.2210000000000001</v>
      </c>
      <c r="K180">
        <f t="shared" si="23"/>
        <v>2.3652164510940809E-5</v>
      </c>
      <c r="L180">
        <f t="shared" si="24"/>
        <v>4.1105000000000004E-3</v>
      </c>
      <c r="M180">
        <f t="shared" si="25"/>
        <v>1.2964941072321555E-4</v>
      </c>
      <c r="N180">
        <f t="shared" si="26"/>
        <v>8.2210000000000001</v>
      </c>
      <c r="O180">
        <f t="shared" si="27"/>
        <v>1.6091485000000001E-3</v>
      </c>
      <c r="P180" s="4">
        <f t="shared" si="28"/>
        <v>1.9302139693309519</v>
      </c>
    </row>
    <row r="181" spans="1:16" x14ac:dyDescent="0.75">
      <c r="A181">
        <v>1.8</v>
      </c>
      <c r="B181">
        <f t="shared" si="21"/>
        <v>3.2320400000000005</v>
      </c>
      <c r="C181">
        <f t="shared" si="30"/>
        <v>20.800000000000004</v>
      </c>
      <c r="D181">
        <f t="shared" si="31"/>
        <v>820</v>
      </c>
      <c r="E181">
        <f t="shared" si="22"/>
        <v>8.3200000000000021</v>
      </c>
      <c r="K181">
        <f t="shared" si="23"/>
        <v>2.3370726495726484E-5</v>
      </c>
      <c r="L181">
        <f t="shared" si="24"/>
        <v>4.1600000000000014E-3</v>
      </c>
      <c r="M181">
        <f t="shared" si="25"/>
        <v>1.2779019764957257E-4</v>
      </c>
      <c r="N181">
        <f t="shared" si="26"/>
        <v>8.3200000000000021</v>
      </c>
      <c r="O181">
        <f t="shared" si="27"/>
        <v>1.6159200000000003E-3</v>
      </c>
      <c r="P181" s="4">
        <f t="shared" si="28"/>
        <v>1.9319576795286015</v>
      </c>
    </row>
    <row r="182" spans="1:16" x14ac:dyDescent="0.75">
      <c r="A182">
        <v>1.81</v>
      </c>
      <c r="B182">
        <f t="shared" si="21"/>
        <v>3.2455829999999999</v>
      </c>
      <c r="C182">
        <f t="shared" si="30"/>
        <v>21.047499999999999</v>
      </c>
      <c r="D182">
        <f t="shared" si="31"/>
        <v>829</v>
      </c>
      <c r="E182">
        <f t="shared" si="22"/>
        <v>8.4190000000000005</v>
      </c>
      <c r="K182">
        <f t="shared" si="23"/>
        <v>2.3095907405207791E-5</v>
      </c>
      <c r="L182">
        <f t="shared" si="24"/>
        <v>4.2094999999999997E-3</v>
      </c>
      <c r="M182">
        <f t="shared" si="25"/>
        <v>1.2597470998139125E-4</v>
      </c>
      <c r="N182">
        <f t="shared" si="26"/>
        <v>8.4190000000000005</v>
      </c>
      <c r="O182">
        <f t="shared" si="27"/>
        <v>1.6226914999999996E-3</v>
      </c>
      <c r="P182" s="4">
        <f t="shared" si="28"/>
        <v>1.9337063457385828</v>
      </c>
    </row>
    <row r="183" spans="1:16" x14ac:dyDescent="0.75">
      <c r="A183">
        <v>1.82</v>
      </c>
      <c r="B183">
        <f t="shared" si="21"/>
        <v>3.2591260000000002</v>
      </c>
      <c r="C183">
        <f t="shared" si="30"/>
        <v>21.295000000000002</v>
      </c>
      <c r="D183">
        <f t="shared" si="31"/>
        <v>838</v>
      </c>
      <c r="E183">
        <f t="shared" si="22"/>
        <v>8.5180000000000007</v>
      </c>
      <c r="K183">
        <f t="shared" si="23"/>
        <v>2.2827476455088565E-5</v>
      </c>
      <c r="L183">
        <f t="shared" si="24"/>
        <v>4.2590000000000006E-3</v>
      </c>
      <c r="M183">
        <f t="shared" si="25"/>
        <v>1.2420142313010352E-4</v>
      </c>
      <c r="N183">
        <f t="shared" si="26"/>
        <v>8.5180000000000007</v>
      </c>
      <c r="O183">
        <f t="shared" si="27"/>
        <v>1.629463E-3</v>
      </c>
      <c r="P183" s="4">
        <f t="shared" si="28"/>
        <v>1.935460010161713</v>
      </c>
    </row>
    <row r="184" spans="1:16" x14ac:dyDescent="0.75">
      <c r="A184">
        <v>1.83</v>
      </c>
      <c r="B184">
        <f t="shared" si="21"/>
        <v>3.2726690000000005</v>
      </c>
      <c r="C184">
        <f t="shared" si="30"/>
        <v>21.542500000000004</v>
      </c>
      <c r="D184">
        <f t="shared" si="31"/>
        <v>847</v>
      </c>
      <c r="E184">
        <f t="shared" si="22"/>
        <v>8.6170000000000009</v>
      </c>
      <c r="K184">
        <f t="shared" si="23"/>
        <v>2.2565213466919391E-5</v>
      </c>
      <c r="L184">
        <f t="shared" si="24"/>
        <v>4.3085000000000007E-3</v>
      </c>
      <c r="M184">
        <f t="shared" si="25"/>
        <v>1.2246888257062905E-4</v>
      </c>
      <c r="N184">
        <f t="shared" si="26"/>
        <v>8.6170000000000009</v>
      </c>
      <c r="O184">
        <f t="shared" si="27"/>
        <v>1.6362345000000003E-3</v>
      </c>
      <c r="P184" s="4">
        <f t="shared" si="28"/>
        <v>1.9372187135442838</v>
      </c>
    </row>
    <row r="185" spans="1:16" x14ac:dyDescent="0.75">
      <c r="A185">
        <v>1.84</v>
      </c>
      <c r="B185">
        <f t="shared" si="21"/>
        <v>3.2862119999999999</v>
      </c>
      <c r="C185">
        <f t="shared" si="30"/>
        <v>21.79</v>
      </c>
      <c r="D185">
        <f t="shared" si="31"/>
        <v>856</v>
      </c>
      <c r="E185">
        <f t="shared" si="22"/>
        <v>8.7159999999999993</v>
      </c>
      <c r="K185">
        <f t="shared" si="23"/>
        <v>2.2308908265769209E-5</v>
      </c>
      <c r="L185">
        <f t="shared" si="24"/>
        <v>4.3579999999999999E-3</v>
      </c>
      <c r="M185">
        <f t="shared" si="25"/>
        <v>1.2077569986232214E-4</v>
      </c>
      <c r="N185">
        <f t="shared" si="26"/>
        <v>8.7159999999999993</v>
      </c>
      <c r="O185">
        <f t="shared" si="27"/>
        <v>1.643006E-3</v>
      </c>
      <c r="P185" s="4">
        <f t="shared" si="28"/>
        <v>1.9389824952441459</v>
      </c>
    </row>
    <row r="186" spans="1:16" x14ac:dyDescent="0.75">
      <c r="A186">
        <v>1.85</v>
      </c>
      <c r="B186">
        <f t="shared" si="21"/>
        <v>3.2997550000000002</v>
      </c>
      <c r="C186">
        <f t="shared" si="30"/>
        <v>22.037500000000001</v>
      </c>
      <c r="D186">
        <f t="shared" si="31"/>
        <v>865</v>
      </c>
      <c r="E186">
        <f t="shared" si="22"/>
        <v>8.8150000000000013</v>
      </c>
      <c r="K186">
        <f t="shared" si="23"/>
        <v>2.2058360118484899E-5</v>
      </c>
      <c r="L186">
        <f t="shared" si="24"/>
        <v>4.4075000000000008E-3</v>
      </c>
      <c r="M186">
        <f t="shared" si="25"/>
        <v>1.1912054893804747E-4</v>
      </c>
      <c r="N186">
        <f t="shared" si="26"/>
        <v>8.8150000000000013</v>
      </c>
      <c r="O186">
        <f t="shared" si="27"/>
        <v>1.6497775000000002E-3</v>
      </c>
      <c r="P186" s="4">
        <f t="shared" si="28"/>
        <v>1.940751393293084</v>
      </c>
    </row>
    <row r="187" spans="1:16" x14ac:dyDescent="0.75">
      <c r="A187">
        <v>1.86</v>
      </c>
      <c r="B187">
        <f t="shared" si="21"/>
        <v>3.3132980000000005</v>
      </c>
      <c r="C187">
        <f t="shared" si="30"/>
        <v>22.285000000000004</v>
      </c>
      <c r="D187">
        <f t="shared" si="31"/>
        <v>874</v>
      </c>
      <c r="E187">
        <f t="shared" si="22"/>
        <v>8.9140000000000015</v>
      </c>
      <c r="K187">
        <f t="shared" si="23"/>
        <v>2.1813377209383482E-5</v>
      </c>
      <c r="L187">
        <f t="shared" si="24"/>
        <v>4.4570000000000009E-3</v>
      </c>
      <c r="M187">
        <f t="shared" si="25"/>
        <v>1.175021626405404E-4</v>
      </c>
      <c r="N187">
        <f t="shared" si="26"/>
        <v>8.9140000000000015</v>
      </c>
      <c r="O187">
        <f t="shared" si="27"/>
        <v>1.6565490000000002E-3</v>
      </c>
      <c r="P187" s="4">
        <f t="shared" si="28"/>
        <v>1.9425254444557245</v>
      </c>
    </row>
    <row r="188" spans="1:16" x14ac:dyDescent="0.75">
      <c r="A188">
        <v>1.87</v>
      </c>
      <c r="B188">
        <f t="shared" si="21"/>
        <v>3.3268409999999999</v>
      </c>
      <c r="C188">
        <f t="shared" si="30"/>
        <v>22.532500000000006</v>
      </c>
      <c r="D188">
        <f t="shared" si="31"/>
        <v>883</v>
      </c>
      <c r="E188">
        <f t="shared" si="22"/>
        <v>9.0130000000000017</v>
      </c>
      <c r="K188">
        <f t="shared" si="23"/>
        <v>2.1573776150498653E-5</v>
      </c>
      <c r="L188">
        <f t="shared" si="24"/>
        <v>4.5065000000000018E-3</v>
      </c>
      <c r="M188">
        <f t="shared" si="25"/>
        <v>1.1591932948703718E-4</v>
      </c>
      <c r="N188">
        <f t="shared" si="26"/>
        <v>9.0130000000000017</v>
      </c>
      <c r="O188">
        <f t="shared" si="27"/>
        <v>1.6633205000000004E-3</v>
      </c>
      <c r="P188" s="4">
        <f t="shared" si="28"/>
        <v>1.9443046842852116</v>
      </c>
    </row>
    <row r="189" spans="1:16" x14ac:dyDescent="0.75">
      <c r="A189">
        <v>1.88</v>
      </c>
      <c r="B189">
        <f t="shared" si="21"/>
        <v>3.3403840000000002</v>
      </c>
      <c r="C189">
        <f t="shared" si="30"/>
        <v>22.779999999999994</v>
      </c>
      <c r="D189">
        <f t="shared" si="31"/>
        <v>892</v>
      </c>
      <c r="E189">
        <f t="shared" si="22"/>
        <v>9.1119999999999983</v>
      </c>
      <c r="K189">
        <f t="shared" si="23"/>
        <v>2.1339381523753779E-5</v>
      </c>
      <c r="L189">
        <f t="shared" si="24"/>
        <v>4.5559999999999993E-3</v>
      </c>
      <c r="M189">
        <f t="shared" si="25"/>
        <v>1.1437089064481512E-4</v>
      </c>
      <c r="N189">
        <f t="shared" si="26"/>
        <v>9.1119999999999983</v>
      </c>
      <c r="O189">
        <f t="shared" si="27"/>
        <v>1.6700920000000002E-3</v>
      </c>
      <c r="P189" s="4">
        <f t="shared" si="28"/>
        <v>1.9460891471758563</v>
      </c>
    </row>
    <row r="190" spans="1:16" x14ac:dyDescent="0.75">
      <c r="A190">
        <v>1.89</v>
      </c>
      <c r="B190">
        <f t="shared" si="21"/>
        <v>3.3539269999999997</v>
      </c>
      <c r="C190">
        <f t="shared" si="30"/>
        <v>23.027499999999996</v>
      </c>
      <c r="D190">
        <f t="shared" si="31"/>
        <v>901</v>
      </c>
      <c r="E190">
        <f t="shared" si="22"/>
        <v>9.2109999999999985</v>
      </c>
      <c r="K190">
        <f t="shared" si="23"/>
        <v>2.111002545265926E-5</v>
      </c>
      <c r="L190">
        <f t="shared" si="24"/>
        <v>4.6054999999999994E-3</v>
      </c>
      <c r="M190">
        <f t="shared" si="25"/>
        <v>1.1285573710177444E-4</v>
      </c>
      <c r="N190">
        <f t="shared" si="26"/>
        <v>9.2109999999999985</v>
      </c>
      <c r="O190">
        <f t="shared" si="27"/>
        <v>1.6768635E-3</v>
      </c>
      <c r="P190" s="4">
        <f t="shared" si="28"/>
        <v>1.947878866412958</v>
      </c>
    </row>
    <row r="191" spans="1:16" x14ac:dyDescent="0.75">
      <c r="A191">
        <v>1.9</v>
      </c>
      <c r="B191">
        <f t="shared" si="21"/>
        <v>3.36747</v>
      </c>
      <c r="C191">
        <f t="shared" si="30"/>
        <v>23.274999999999999</v>
      </c>
      <c r="D191">
        <f t="shared" si="31"/>
        <v>910</v>
      </c>
      <c r="E191">
        <f t="shared" si="22"/>
        <v>9.3099999999999987</v>
      </c>
      <c r="K191">
        <f t="shared" si="23"/>
        <v>2.0885547201336673E-5</v>
      </c>
      <c r="L191">
        <f t="shared" si="24"/>
        <v>4.6550000000000003E-3</v>
      </c>
      <c r="M191">
        <f t="shared" si="25"/>
        <v>1.1137280701754383E-4</v>
      </c>
      <c r="N191">
        <f t="shared" si="26"/>
        <v>9.3099999999999987</v>
      </c>
      <c r="O191">
        <f t="shared" si="27"/>
        <v>1.6836350000000004E-3</v>
      </c>
      <c r="P191" s="4">
        <f t="shared" si="28"/>
        <v>1.9496738742199755</v>
      </c>
    </row>
    <row r="192" spans="1:16" x14ac:dyDescent="0.75">
      <c r="A192">
        <v>1.91</v>
      </c>
      <c r="B192">
        <f t="shared" si="21"/>
        <v>3.3810130000000003</v>
      </c>
      <c r="C192">
        <f t="shared" si="30"/>
        <v>23.522500000000001</v>
      </c>
      <c r="D192">
        <f t="shared" si="31"/>
        <v>919</v>
      </c>
      <c r="E192">
        <f t="shared" si="22"/>
        <v>9.4090000000000007</v>
      </c>
      <c r="K192">
        <f t="shared" si="23"/>
        <v>2.066579279885688E-5</v>
      </c>
      <c r="L192">
        <f t="shared" si="24"/>
        <v>4.7045000000000003E-3</v>
      </c>
      <c r="M192">
        <f t="shared" si="25"/>
        <v>1.0992108324181334E-4</v>
      </c>
      <c r="N192">
        <f t="shared" si="26"/>
        <v>9.4090000000000007</v>
      </c>
      <c r="O192">
        <f t="shared" si="27"/>
        <v>1.6904065000000002E-3</v>
      </c>
      <c r="P192" s="4">
        <f t="shared" si="28"/>
        <v>1.9514742018032174</v>
      </c>
    </row>
    <row r="193" spans="1:16" x14ac:dyDescent="0.75">
      <c r="A193">
        <v>1.92</v>
      </c>
      <c r="B193">
        <f t="shared" si="21"/>
        <v>3.3945559999999997</v>
      </c>
      <c r="C193">
        <f t="shared" si="30"/>
        <v>23.769999999999996</v>
      </c>
      <c r="D193">
        <f t="shared" si="31"/>
        <v>928</v>
      </c>
      <c r="E193">
        <f t="shared" si="22"/>
        <v>9.5079999999999991</v>
      </c>
      <c r="K193">
        <f t="shared" si="23"/>
        <v>2.0450614687047162E-5</v>
      </c>
      <c r="L193">
        <f t="shared" si="24"/>
        <v>4.7539999999999995E-3</v>
      </c>
      <c r="M193">
        <f t="shared" si="25"/>
        <v>1.0849959098770623E-4</v>
      </c>
      <c r="N193">
        <f t="shared" si="26"/>
        <v>9.5079999999999991</v>
      </c>
      <c r="O193">
        <f t="shared" si="27"/>
        <v>1.6971779999999999E-3</v>
      </c>
      <c r="P193" s="4">
        <f t="shared" si="28"/>
        <v>1.953279879394205</v>
      </c>
    </row>
    <row r="194" spans="1:16" x14ac:dyDescent="0.75">
      <c r="A194">
        <v>1.93</v>
      </c>
      <c r="B194">
        <f t="shared" ref="B194:B257" si="32">1.3543*A194+0.7943</f>
        <v>3.408099</v>
      </c>
      <c r="C194">
        <f t="shared" si="30"/>
        <v>24.017499999999998</v>
      </c>
      <c r="D194">
        <f t="shared" si="31"/>
        <v>937</v>
      </c>
      <c r="E194">
        <f t="shared" ref="E194:E257" si="33">C194/($J$2*$J$4)</f>
        <v>9.6069999999999993</v>
      </c>
      <c r="K194">
        <f t="shared" ref="K194:K257" si="34">$I$501/E194</f>
        <v>2.0239871390074366E-5</v>
      </c>
      <c r="L194">
        <f t="shared" si="24"/>
        <v>4.8034999999999996E-3</v>
      </c>
      <c r="M194">
        <f t="shared" si="25"/>
        <v>1.0710739564900591E-4</v>
      </c>
      <c r="N194">
        <f t="shared" si="26"/>
        <v>9.6069999999999993</v>
      </c>
      <c r="O194">
        <f t="shared" si="27"/>
        <v>1.7039495000000001E-3</v>
      </c>
      <c r="P194" s="4">
        <f t="shared" si="28"/>
        <v>1.9550909362898539</v>
      </c>
    </row>
    <row r="195" spans="1:16" x14ac:dyDescent="0.75">
      <c r="A195">
        <v>1.94</v>
      </c>
      <c r="B195">
        <f t="shared" si="32"/>
        <v>3.4216420000000003</v>
      </c>
      <c r="C195">
        <f t="shared" si="30"/>
        <v>24.265000000000001</v>
      </c>
      <c r="D195">
        <f t="shared" si="31"/>
        <v>946</v>
      </c>
      <c r="E195">
        <f t="shared" si="33"/>
        <v>9.7059999999999995</v>
      </c>
      <c r="K195">
        <f t="shared" si="34"/>
        <v>2.0033427204249372E-5</v>
      </c>
      <c r="L195">
        <f t="shared" ref="L195:L258" si="35">$F$2*C195</f>
        <v>4.8530000000000005E-3</v>
      </c>
      <c r="M195">
        <f t="shared" ref="M195:M258" si="36">K195*($H$2-B195)</f>
        <v>1.0574360075096729E-4</v>
      </c>
      <c r="N195">
        <f t="shared" ref="N195:N258" si="37">C195/$J$2</f>
        <v>9.7059999999999995</v>
      </c>
      <c r="O195">
        <f t="shared" ref="O195:O258" si="38">L195/N195*(B195-$F$2)</f>
        <v>1.7107210000000006E-3</v>
      </c>
      <c r="P195" s="4">
        <f t="shared" si="28"/>
        <v>1.9569074008906049</v>
      </c>
    </row>
    <row r="196" spans="1:16" x14ac:dyDescent="0.75">
      <c r="A196">
        <v>1.95</v>
      </c>
      <c r="B196">
        <f t="shared" si="32"/>
        <v>3.4351849999999997</v>
      </c>
      <c r="C196">
        <f t="shared" si="30"/>
        <v>24.512499999999996</v>
      </c>
      <c r="D196">
        <f t="shared" si="31"/>
        <v>955</v>
      </c>
      <c r="E196">
        <f t="shared" si="33"/>
        <v>9.8049999999999979</v>
      </c>
      <c r="K196">
        <f t="shared" si="34"/>
        <v>1.9831151906623606E-5</v>
      </c>
      <c r="L196">
        <f t="shared" si="35"/>
        <v>4.9024999999999997E-3</v>
      </c>
      <c r="M196">
        <f t="shared" si="36"/>
        <v>1.0440734602527055E-4</v>
      </c>
      <c r="N196">
        <f t="shared" si="37"/>
        <v>9.8049999999999979</v>
      </c>
      <c r="O196">
        <f t="shared" si="38"/>
        <v>1.7174925000000003E-3</v>
      </c>
      <c r="P196" s="4">
        <f t="shared" ref="P196:P259" si="39">P195+O196+M196</f>
        <v>1.9587293007366302</v>
      </c>
    </row>
    <row r="197" spans="1:16" x14ac:dyDescent="0.75">
      <c r="A197">
        <v>1.96</v>
      </c>
      <c r="B197">
        <f t="shared" si="32"/>
        <v>3.448728</v>
      </c>
      <c r="C197">
        <f t="shared" si="30"/>
        <v>24.759999999999998</v>
      </c>
      <c r="D197">
        <f t="shared" si="31"/>
        <v>964</v>
      </c>
      <c r="E197">
        <f t="shared" si="33"/>
        <v>9.9039999999999999</v>
      </c>
      <c r="K197">
        <f t="shared" si="34"/>
        <v>1.9632920481062643E-5</v>
      </c>
      <c r="L197">
        <f t="shared" si="35"/>
        <v>4.9519999999999998E-3</v>
      </c>
      <c r="M197">
        <f t="shared" si="36"/>
        <v>1.0309780560043077E-4</v>
      </c>
      <c r="N197">
        <f t="shared" si="37"/>
        <v>9.9039999999999999</v>
      </c>
      <c r="O197">
        <f t="shared" si="38"/>
        <v>1.7242640000000001E-3</v>
      </c>
      <c r="P197" s="4">
        <f t="shared" si="39"/>
        <v>1.9605566625422306</v>
      </c>
    </row>
    <row r="198" spans="1:16" x14ac:dyDescent="0.75">
      <c r="A198">
        <v>1.97</v>
      </c>
      <c r="B198">
        <f t="shared" si="32"/>
        <v>3.4622710000000003</v>
      </c>
      <c r="C198">
        <f t="shared" si="30"/>
        <v>25.0075</v>
      </c>
      <c r="D198">
        <f t="shared" si="31"/>
        <v>973</v>
      </c>
      <c r="E198">
        <f t="shared" si="33"/>
        <v>10.003</v>
      </c>
      <c r="K198">
        <f t="shared" si="34"/>
        <v>1.9438612860586264E-5</v>
      </c>
      <c r="L198">
        <f t="shared" si="35"/>
        <v>5.0014999999999999E-3</v>
      </c>
      <c r="M198">
        <f t="shared" si="36"/>
        <v>1.0181418629966561E-4</v>
      </c>
      <c r="N198">
        <f t="shared" si="37"/>
        <v>10.003</v>
      </c>
      <c r="O198">
        <f t="shared" si="38"/>
        <v>1.7310355000000003E-3</v>
      </c>
      <c r="P198" s="4">
        <f t="shared" si="39"/>
        <v>1.9623895122285302</v>
      </c>
    </row>
    <row r="199" spans="1:16" x14ac:dyDescent="0.75">
      <c r="A199">
        <v>1.98</v>
      </c>
      <c r="B199">
        <f t="shared" si="32"/>
        <v>3.4758139999999997</v>
      </c>
      <c r="C199">
        <f t="shared" si="30"/>
        <v>25.255000000000003</v>
      </c>
      <c r="D199">
        <f t="shared" si="31"/>
        <v>982</v>
      </c>
      <c r="E199">
        <f t="shared" si="33"/>
        <v>10.102</v>
      </c>
      <c r="K199">
        <f t="shared" si="34"/>
        <v>1.9248113684858879E-5</v>
      </c>
      <c r="L199">
        <f t="shared" si="35"/>
        <v>5.0510000000000008E-3</v>
      </c>
      <c r="M199">
        <f t="shared" si="36"/>
        <v>1.0055572603884816E-4</v>
      </c>
      <c r="N199">
        <f t="shared" si="37"/>
        <v>10.102</v>
      </c>
      <c r="O199">
        <f t="shared" si="38"/>
        <v>1.7378069999999999E-3</v>
      </c>
      <c r="P199" s="4">
        <f t="shared" si="39"/>
        <v>1.9642278749545692</v>
      </c>
    </row>
    <row r="200" spans="1:16" x14ac:dyDescent="0.75">
      <c r="A200">
        <v>1.99</v>
      </c>
      <c r="B200">
        <f t="shared" si="32"/>
        <v>3.489357</v>
      </c>
      <c r="C200">
        <f t="shared" si="30"/>
        <v>25.502499999999998</v>
      </c>
      <c r="D200">
        <f t="shared" si="31"/>
        <v>991</v>
      </c>
      <c r="E200">
        <f t="shared" si="33"/>
        <v>10.200999999999999</v>
      </c>
      <c r="K200">
        <f t="shared" si="34"/>
        <v>1.9061312071801237E-5</v>
      </c>
      <c r="L200">
        <f t="shared" si="35"/>
        <v>5.1005E-3</v>
      </c>
      <c r="M200">
        <f t="shared" si="36"/>
        <v>9.9321692317746595E-5</v>
      </c>
      <c r="N200">
        <f t="shared" si="37"/>
        <v>10.200999999999999</v>
      </c>
      <c r="O200">
        <f t="shared" si="38"/>
        <v>1.7445785000000001E-3</v>
      </c>
      <c r="P200" s="4">
        <f t="shared" si="39"/>
        <v>1.966071775146887</v>
      </c>
    </row>
    <row r="201" spans="1:16" x14ac:dyDescent="0.75">
      <c r="A201">
        <v>2</v>
      </c>
      <c r="B201">
        <f t="shared" si="32"/>
        <v>3.5029000000000003</v>
      </c>
      <c r="C201">
        <f t="shared" si="30"/>
        <v>25.75</v>
      </c>
      <c r="D201">
        <f t="shared" ref="D201:D237" si="40" xml:space="preserve"> 24324*A201 - 47649</f>
        <v>999</v>
      </c>
      <c r="E201">
        <f t="shared" si="33"/>
        <v>10.3</v>
      </c>
      <c r="K201">
        <f t="shared" si="34"/>
        <v>1.8878101402373241E-5</v>
      </c>
      <c r="L201">
        <f t="shared" si="35"/>
        <v>5.1500000000000001E-3</v>
      </c>
      <c r="M201">
        <f t="shared" si="36"/>
        <v>9.8111380798273945E-5</v>
      </c>
      <c r="N201">
        <f t="shared" si="37"/>
        <v>10.3</v>
      </c>
      <c r="O201">
        <f t="shared" si="38"/>
        <v>1.7513500000000003E-3</v>
      </c>
      <c r="P201" s="4">
        <f t="shared" si="39"/>
        <v>1.9679212365276852</v>
      </c>
    </row>
    <row r="202" spans="1:16" x14ac:dyDescent="0.75">
      <c r="A202">
        <v>2.0099999999999998</v>
      </c>
      <c r="B202">
        <f t="shared" si="32"/>
        <v>3.5164429999999998</v>
      </c>
      <c r="C202">
        <f t="shared" si="30"/>
        <v>25.997499999999995</v>
      </c>
      <c r="D202">
        <f t="shared" si="40"/>
        <v>1242.239999999998</v>
      </c>
      <c r="E202">
        <f t="shared" si="33"/>
        <v>10.398999999999997</v>
      </c>
      <c r="K202">
        <f t="shared" si="34"/>
        <v>1.8698379117650203E-5</v>
      </c>
      <c r="L202">
        <f t="shared" si="35"/>
        <v>5.1994999999999993E-3</v>
      </c>
      <c r="M202">
        <f t="shared" si="36"/>
        <v>9.692411396394952E-5</v>
      </c>
      <c r="N202">
        <f t="shared" si="37"/>
        <v>10.398999999999997</v>
      </c>
      <c r="O202">
        <f t="shared" si="38"/>
        <v>1.7581215E-3</v>
      </c>
      <c r="P202" s="4">
        <f t="shared" si="39"/>
        <v>1.9697762821416491</v>
      </c>
    </row>
    <row r="203" spans="1:16" x14ac:dyDescent="0.75">
      <c r="A203">
        <v>2.02</v>
      </c>
      <c r="B203">
        <f t="shared" si="32"/>
        <v>3.5299860000000001</v>
      </c>
      <c r="C203">
        <f t="shared" si="30"/>
        <v>26.244999999999997</v>
      </c>
      <c r="D203">
        <f t="shared" si="40"/>
        <v>1485.4800000000032</v>
      </c>
      <c r="E203">
        <f t="shared" si="33"/>
        <v>10.497999999999999</v>
      </c>
      <c r="K203">
        <f t="shared" si="34"/>
        <v>1.8522046527380876E-5</v>
      </c>
      <c r="L203">
        <f t="shared" si="35"/>
        <v>5.2489999999999993E-3</v>
      </c>
      <c r="M203">
        <f t="shared" si="36"/>
        <v>9.5759239855210498E-5</v>
      </c>
      <c r="N203">
        <f t="shared" si="37"/>
        <v>10.497999999999999</v>
      </c>
      <c r="O203">
        <f t="shared" si="38"/>
        <v>1.764893E-3</v>
      </c>
      <c r="P203" s="4">
        <f t="shared" si="39"/>
        <v>1.9716369343815043</v>
      </c>
    </row>
    <row r="204" spans="1:16" x14ac:dyDescent="0.75">
      <c r="A204">
        <v>2.0299999999999998</v>
      </c>
      <c r="B204">
        <f t="shared" si="32"/>
        <v>3.5435289999999995</v>
      </c>
      <c r="C204">
        <f t="shared" si="30"/>
        <v>26.492499999999993</v>
      </c>
      <c r="D204">
        <f t="shared" si="40"/>
        <v>1728.7199999999939</v>
      </c>
      <c r="E204">
        <f t="shared" si="33"/>
        <v>10.596999999999998</v>
      </c>
      <c r="K204">
        <f t="shared" si="34"/>
        <v>1.8349008629276631E-5</v>
      </c>
      <c r="L204">
        <f t="shared" si="35"/>
        <v>5.2984999999999985E-3</v>
      </c>
      <c r="M204">
        <f t="shared" si="36"/>
        <v>9.4616130875614698E-5</v>
      </c>
      <c r="N204">
        <f t="shared" si="37"/>
        <v>10.596999999999998</v>
      </c>
      <c r="O204">
        <f t="shared" si="38"/>
        <v>1.7716644999999998E-3</v>
      </c>
      <c r="P204" s="4">
        <f t="shared" si="39"/>
        <v>1.9735032150123801</v>
      </c>
    </row>
    <row r="205" spans="1:16" x14ac:dyDescent="0.75">
      <c r="A205">
        <v>2.04</v>
      </c>
      <c r="B205">
        <f t="shared" si="32"/>
        <v>3.5570719999999998</v>
      </c>
      <c r="C205">
        <f t="shared" si="30"/>
        <v>26.740000000000002</v>
      </c>
      <c r="D205">
        <f t="shared" si="40"/>
        <v>1971.9599999999991</v>
      </c>
      <c r="E205">
        <f t="shared" si="33"/>
        <v>10.696000000000002</v>
      </c>
      <c r="K205">
        <f t="shared" si="34"/>
        <v>1.8179173938336234E-5</v>
      </c>
      <c r="L205">
        <f t="shared" si="35"/>
        <v>5.3480000000000003E-3</v>
      </c>
      <c r="M205">
        <f t="shared" si="36"/>
        <v>9.3494182664339678E-5</v>
      </c>
      <c r="N205">
        <f t="shared" si="37"/>
        <v>10.696000000000002</v>
      </c>
      <c r="O205">
        <f t="shared" si="38"/>
        <v>1.778436E-3</v>
      </c>
      <c r="P205" s="4">
        <f t="shared" si="39"/>
        <v>1.9753751451950443</v>
      </c>
    </row>
    <row r="206" spans="1:16" x14ac:dyDescent="0.75">
      <c r="A206">
        <v>2.0499999999999998</v>
      </c>
      <c r="B206">
        <f t="shared" si="32"/>
        <v>3.5706150000000001</v>
      </c>
      <c r="C206">
        <f t="shared" si="30"/>
        <v>26.987499999999997</v>
      </c>
      <c r="D206">
        <f t="shared" si="40"/>
        <v>2215.1999999999971</v>
      </c>
      <c r="E206">
        <f t="shared" si="33"/>
        <v>10.794999999999998</v>
      </c>
      <c r="K206">
        <f t="shared" si="34"/>
        <v>1.8012454325562245E-5</v>
      </c>
      <c r="L206">
        <f t="shared" si="35"/>
        <v>5.3974999999999995E-3</v>
      </c>
      <c r="M206">
        <f t="shared" si="36"/>
        <v>9.2392813030724077E-5</v>
      </c>
      <c r="N206">
        <f t="shared" si="37"/>
        <v>10.794999999999998</v>
      </c>
      <c r="O206">
        <f t="shared" si="38"/>
        <v>1.7852075000000002E-3</v>
      </c>
      <c r="P206" s="4">
        <f t="shared" si="39"/>
        <v>1.9772527455080751</v>
      </c>
    </row>
    <row r="207" spans="1:16" x14ac:dyDescent="0.75">
      <c r="A207">
        <v>2.06</v>
      </c>
      <c r="B207">
        <f t="shared" si="32"/>
        <v>3.5841580000000004</v>
      </c>
      <c r="C207">
        <f t="shared" si="30"/>
        <v>27.234999999999999</v>
      </c>
      <c r="D207">
        <f t="shared" si="40"/>
        <v>2458.4400000000023</v>
      </c>
      <c r="E207">
        <f t="shared" si="33"/>
        <v>10.894</v>
      </c>
      <c r="K207">
        <f t="shared" si="34"/>
        <v>1.7848764865471305E-5</v>
      </c>
      <c r="L207">
        <f t="shared" si="35"/>
        <v>5.4470000000000005E-3</v>
      </c>
      <c r="M207">
        <f t="shared" si="36"/>
        <v>9.131146094690244E-5</v>
      </c>
      <c r="N207">
        <f t="shared" si="37"/>
        <v>10.894</v>
      </c>
      <c r="O207">
        <f t="shared" si="38"/>
        <v>1.7919790000000002E-3</v>
      </c>
      <c r="P207" s="4">
        <f t="shared" si="39"/>
        <v>1.979136035969022</v>
      </c>
    </row>
    <row r="208" spans="1:16" x14ac:dyDescent="0.75">
      <c r="A208">
        <v>2.0699999999999998</v>
      </c>
      <c r="B208">
        <f t="shared" si="32"/>
        <v>3.5977009999999998</v>
      </c>
      <c r="C208">
        <f t="shared" si="30"/>
        <v>27.482499999999995</v>
      </c>
      <c r="D208">
        <f t="shared" si="40"/>
        <v>2701.679999999993</v>
      </c>
      <c r="E208">
        <f t="shared" si="33"/>
        <v>10.992999999999999</v>
      </c>
      <c r="K208">
        <f t="shared" si="34"/>
        <v>1.7688023691844304E-5</v>
      </c>
      <c r="L208">
        <f t="shared" si="35"/>
        <v>5.4964999999999988E-3</v>
      </c>
      <c r="M208">
        <f t="shared" si="36"/>
        <v>9.0249585594873492E-5</v>
      </c>
      <c r="N208">
        <f t="shared" si="37"/>
        <v>10.992999999999999</v>
      </c>
      <c r="O208">
        <f t="shared" si="38"/>
        <v>1.7987504999999995E-3</v>
      </c>
      <c r="P208" s="4">
        <f t="shared" si="39"/>
        <v>1.9810250360546167</v>
      </c>
    </row>
    <row r="209" spans="1:16" x14ac:dyDescent="0.75">
      <c r="A209">
        <v>2.08</v>
      </c>
      <c r="B209">
        <f t="shared" si="32"/>
        <v>3.6112440000000001</v>
      </c>
      <c r="C209">
        <f t="shared" si="30"/>
        <v>27.730000000000004</v>
      </c>
      <c r="D209">
        <f t="shared" si="40"/>
        <v>2944.9199999999983</v>
      </c>
      <c r="E209">
        <f t="shared" si="33"/>
        <v>11.092000000000002</v>
      </c>
      <c r="K209">
        <f t="shared" si="34"/>
        <v>1.753015186120126E-5</v>
      </c>
      <c r="L209">
        <f t="shared" si="35"/>
        <v>5.5460000000000014E-3</v>
      </c>
      <c r="M209">
        <f t="shared" si="36"/>
        <v>8.9206665464599061E-5</v>
      </c>
      <c r="N209">
        <f t="shared" si="37"/>
        <v>11.092000000000002</v>
      </c>
      <c r="O209">
        <f t="shared" si="38"/>
        <v>1.8055220000000002E-3</v>
      </c>
      <c r="P209" s="4">
        <f t="shared" si="39"/>
        <v>1.9829197647200811</v>
      </c>
    </row>
    <row r="210" spans="1:16" x14ac:dyDescent="0.75">
      <c r="A210">
        <v>2.09</v>
      </c>
      <c r="B210">
        <f t="shared" si="32"/>
        <v>3.6247869999999995</v>
      </c>
      <c r="C210">
        <f t="shared" si="30"/>
        <v>27.977499999999999</v>
      </c>
      <c r="D210">
        <f t="shared" si="40"/>
        <v>3188.1599999999962</v>
      </c>
      <c r="E210">
        <f t="shared" si="33"/>
        <v>11.190999999999999</v>
      </c>
      <c r="K210">
        <f t="shared" si="34"/>
        <v>1.7375073223522869E-5</v>
      </c>
      <c r="L210">
        <f t="shared" si="35"/>
        <v>5.5954999999999998E-3</v>
      </c>
      <c r="M210">
        <f t="shared" si="36"/>
        <v>8.8182197499975172E-5</v>
      </c>
      <c r="N210">
        <f t="shared" si="37"/>
        <v>11.190999999999999</v>
      </c>
      <c r="O210">
        <f t="shared" si="38"/>
        <v>1.8122934999999997E-3</v>
      </c>
      <c r="P210" s="4">
        <f t="shared" si="39"/>
        <v>1.9848202404175812</v>
      </c>
    </row>
    <row r="211" spans="1:16" x14ac:dyDescent="0.75">
      <c r="A211">
        <v>2.1</v>
      </c>
      <c r="B211">
        <f t="shared" si="32"/>
        <v>3.6383299999999998</v>
      </c>
      <c r="C211">
        <f t="shared" si="30"/>
        <v>28.225000000000001</v>
      </c>
      <c r="D211">
        <f t="shared" si="40"/>
        <v>3431.4000000000015</v>
      </c>
      <c r="E211">
        <f t="shared" si="33"/>
        <v>11.290000000000001</v>
      </c>
      <c r="K211">
        <f t="shared" si="34"/>
        <v>1.7222714299773639E-5</v>
      </c>
      <c r="L211">
        <f t="shared" si="35"/>
        <v>5.6450000000000007E-3</v>
      </c>
      <c r="M211">
        <f t="shared" si="36"/>
        <v>8.7175696289735225E-5</v>
      </c>
      <c r="N211">
        <f t="shared" si="37"/>
        <v>11.290000000000001</v>
      </c>
      <c r="O211">
        <f t="shared" si="38"/>
        <v>1.8190649999999999E-3</v>
      </c>
      <c r="P211" s="4">
        <f t="shared" si="39"/>
        <v>1.986726481113871</v>
      </c>
    </row>
    <row r="212" spans="1:16" x14ac:dyDescent="0.75">
      <c r="A212">
        <v>2.11</v>
      </c>
      <c r="B212">
        <f t="shared" si="32"/>
        <v>3.6518730000000001</v>
      </c>
      <c r="C212">
        <f t="shared" si="30"/>
        <v>28.472499999999997</v>
      </c>
      <c r="D212">
        <f t="shared" si="40"/>
        <v>3674.6399999999994</v>
      </c>
      <c r="E212">
        <f t="shared" si="33"/>
        <v>11.388999999999999</v>
      </c>
      <c r="K212">
        <f t="shared" si="34"/>
        <v>1.7073004165813013E-5</v>
      </c>
      <c r="L212">
        <f t="shared" si="35"/>
        <v>5.6944999999999999E-3</v>
      </c>
      <c r="M212">
        <f t="shared" si="36"/>
        <v>8.6186693300553135E-5</v>
      </c>
      <c r="N212">
        <f t="shared" si="37"/>
        <v>11.388999999999999</v>
      </c>
      <c r="O212">
        <f t="shared" si="38"/>
        <v>1.8258365000000001E-3</v>
      </c>
      <c r="P212" s="4">
        <f t="shared" si="39"/>
        <v>1.9886385043071715</v>
      </c>
    </row>
    <row r="213" spans="1:16" x14ac:dyDescent="0.75">
      <c r="A213">
        <v>2.12</v>
      </c>
      <c r="B213">
        <f t="shared" si="32"/>
        <v>3.6654160000000005</v>
      </c>
      <c r="C213">
        <f t="shared" si="30"/>
        <v>28.720000000000006</v>
      </c>
      <c r="D213">
        <f t="shared" si="40"/>
        <v>3917.8800000000047</v>
      </c>
      <c r="E213">
        <f t="shared" si="33"/>
        <v>11.488000000000003</v>
      </c>
      <c r="K213">
        <f t="shared" si="34"/>
        <v>1.6925874342308876E-5</v>
      </c>
      <c r="L213">
        <f t="shared" si="35"/>
        <v>5.7440000000000017E-3</v>
      </c>
      <c r="M213">
        <f t="shared" si="36"/>
        <v>8.5214736149798767E-5</v>
      </c>
      <c r="N213">
        <f t="shared" si="37"/>
        <v>11.488000000000003</v>
      </c>
      <c r="O213">
        <f t="shared" si="38"/>
        <v>1.8326080000000003E-3</v>
      </c>
      <c r="P213" s="4">
        <f t="shared" si="39"/>
        <v>1.9905563270433213</v>
      </c>
    </row>
    <row r="214" spans="1:16" x14ac:dyDescent="0.75">
      <c r="A214">
        <v>2.13</v>
      </c>
      <c r="B214">
        <f t="shared" si="32"/>
        <v>3.6789589999999999</v>
      </c>
      <c r="C214">
        <f t="shared" si="30"/>
        <v>28.967499999999994</v>
      </c>
      <c r="D214">
        <f t="shared" si="40"/>
        <v>4161.1199999999953</v>
      </c>
      <c r="E214">
        <f t="shared" si="33"/>
        <v>11.586999999999998</v>
      </c>
      <c r="K214">
        <f t="shared" si="34"/>
        <v>1.6781258690294677E-5</v>
      </c>
      <c r="L214">
        <f t="shared" si="35"/>
        <v>5.7934999999999992E-3</v>
      </c>
      <c r="M214">
        <f t="shared" si="36"/>
        <v>8.4259387915575862E-5</v>
      </c>
      <c r="N214">
        <f t="shared" si="37"/>
        <v>11.586999999999998</v>
      </c>
      <c r="O214">
        <f t="shared" si="38"/>
        <v>1.8393794999999999E-3</v>
      </c>
      <c r="P214" s="4">
        <f t="shared" si="39"/>
        <v>1.9924799659312369</v>
      </c>
    </row>
    <row r="215" spans="1:16" x14ac:dyDescent="0.75">
      <c r="A215">
        <v>2.14</v>
      </c>
      <c r="B215">
        <f t="shared" si="32"/>
        <v>3.6925020000000002</v>
      </c>
      <c r="C215">
        <f t="shared" si="30"/>
        <v>29.215000000000003</v>
      </c>
      <c r="D215">
        <f t="shared" si="40"/>
        <v>4404.3600000000006</v>
      </c>
      <c r="E215">
        <f t="shared" si="33"/>
        <v>11.686000000000002</v>
      </c>
      <c r="K215">
        <f t="shared" si="34"/>
        <v>1.6639093312035288E-5</v>
      </c>
      <c r="L215">
        <f t="shared" si="35"/>
        <v>5.843000000000001E-3</v>
      </c>
      <c r="M215">
        <f t="shared" si="36"/>
        <v>8.3320226481830071E-5</v>
      </c>
      <c r="N215">
        <f t="shared" si="37"/>
        <v>11.686000000000002</v>
      </c>
      <c r="O215">
        <f t="shared" si="38"/>
        <v>1.8461510000000001E-3</v>
      </c>
      <c r="P215" s="4">
        <f t="shared" si="39"/>
        <v>1.9944094371577188</v>
      </c>
    </row>
    <row r="216" spans="1:16" x14ac:dyDescent="0.75">
      <c r="A216">
        <v>2.15</v>
      </c>
      <c r="B216">
        <f t="shared" si="32"/>
        <v>3.7060449999999996</v>
      </c>
      <c r="C216">
        <f t="shared" si="30"/>
        <v>29.462499999999999</v>
      </c>
      <c r="D216">
        <f t="shared" si="40"/>
        <v>4647.5999999999985</v>
      </c>
      <c r="E216">
        <f t="shared" si="33"/>
        <v>11.785</v>
      </c>
      <c r="K216">
        <f t="shared" si="34"/>
        <v>1.649931645688964E-5</v>
      </c>
      <c r="L216">
        <f t="shared" si="35"/>
        <v>5.8925000000000002E-3</v>
      </c>
      <c r="M216">
        <f t="shared" si="36"/>
        <v>8.2396843916466292E-5</v>
      </c>
      <c r="N216">
        <f t="shared" si="37"/>
        <v>11.785</v>
      </c>
      <c r="O216">
        <f t="shared" si="38"/>
        <v>1.8529224999999999E-3</v>
      </c>
      <c r="P216" s="4">
        <f t="shared" si="39"/>
        <v>1.9963447565016352</v>
      </c>
    </row>
    <row r="217" spans="1:16" x14ac:dyDescent="0.75">
      <c r="A217">
        <v>2.16</v>
      </c>
      <c r="B217">
        <f t="shared" si="32"/>
        <v>3.7195879999999999</v>
      </c>
      <c r="C217">
        <f t="shared" si="30"/>
        <v>29.71</v>
      </c>
      <c r="D217">
        <f t="shared" si="40"/>
        <v>4890.8400000000038</v>
      </c>
      <c r="E217">
        <f t="shared" si="33"/>
        <v>11.884</v>
      </c>
      <c r="K217">
        <f t="shared" si="34"/>
        <v>1.6361868431878524E-5</v>
      </c>
      <c r="L217">
        <f t="shared" si="35"/>
        <v>5.9420000000000002E-3</v>
      </c>
      <c r="M217">
        <f t="shared" si="36"/>
        <v>8.1488845880548972E-5</v>
      </c>
      <c r="N217">
        <f t="shared" si="37"/>
        <v>11.884</v>
      </c>
      <c r="O217">
        <f t="shared" si="38"/>
        <v>1.8596940000000001E-3</v>
      </c>
      <c r="P217" s="4">
        <f t="shared" si="39"/>
        <v>1.9982859393475156</v>
      </c>
    </row>
    <row r="218" spans="1:16" x14ac:dyDescent="0.75">
      <c r="A218">
        <v>2.17</v>
      </c>
      <c r="B218">
        <f t="shared" si="32"/>
        <v>3.7331310000000002</v>
      </c>
      <c r="C218">
        <f t="shared" si="30"/>
        <v>29.957499999999996</v>
      </c>
      <c r="D218">
        <f t="shared" si="40"/>
        <v>5134.0800000000017</v>
      </c>
      <c r="E218">
        <f t="shared" si="33"/>
        <v>11.982999999999999</v>
      </c>
      <c r="K218">
        <f t="shared" si="34"/>
        <v>1.6226691516685673E-5</v>
      </c>
      <c r="L218">
        <f t="shared" si="35"/>
        <v>5.9914999999999994E-3</v>
      </c>
      <c r="M218">
        <f t="shared" si="36"/>
        <v>8.0595851066789034E-5</v>
      </c>
      <c r="N218">
        <f t="shared" si="37"/>
        <v>11.982999999999999</v>
      </c>
      <c r="O218">
        <f t="shared" si="38"/>
        <v>1.8664655E-3</v>
      </c>
      <c r="P218" s="4">
        <f t="shared" si="39"/>
        <v>2.0002330006985822</v>
      </c>
    </row>
    <row r="219" spans="1:16" x14ac:dyDescent="0.75">
      <c r="A219">
        <v>2.1800000000000002</v>
      </c>
      <c r="B219">
        <f t="shared" si="32"/>
        <v>3.7466740000000005</v>
      </c>
      <c r="C219">
        <f t="shared" si="30"/>
        <v>30.205000000000005</v>
      </c>
      <c r="D219">
        <f t="shared" si="40"/>
        <v>5377.320000000007</v>
      </c>
      <c r="E219">
        <f t="shared" si="33"/>
        <v>12.082000000000003</v>
      </c>
      <c r="K219">
        <f t="shared" si="34"/>
        <v>1.6093729882837641E-5</v>
      </c>
      <c r="L219">
        <f t="shared" si="35"/>
        <v>6.0410000000000012E-3</v>
      </c>
      <c r="M219">
        <f t="shared" si="36"/>
        <v>7.9717490665636616E-5</v>
      </c>
      <c r="N219">
        <f t="shared" si="37"/>
        <v>12.082000000000003</v>
      </c>
      <c r="O219">
        <f t="shared" si="38"/>
        <v>1.8732370000000003E-3</v>
      </c>
      <c r="P219" s="4">
        <f t="shared" si="39"/>
        <v>2.0021859551892476</v>
      </c>
    </row>
    <row r="220" spans="1:16" x14ac:dyDescent="0.75">
      <c r="A220">
        <v>2.19</v>
      </c>
      <c r="B220">
        <f t="shared" si="32"/>
        <v>3.7602169999999999</v>
      </c>
      <c r="C220">
        <f t="shared" si="30"/>
        <v>30.452500000000001</v>
      </c>
      <c r="D220">
        <f t="shared" si="40"/>
        <v>5620.5599999999977</v>
      </c>
      <c r="E220">
        <f t="shared" si="33"/>
        <v>12.181000000000001</v>
      </c>
      <c r="K220">
        <f t="shared" si="34"/>
        <v>1.5962929516824924E-5</v>
      </c>
      <c r="L220">
        <f t="shared" si="35"/>
        <v>6.0905000000000004E-3</v>
      </c>
      <c r="M220">
        <f t="shared" si="36"/>
        <v>7.8853407857409967E-5</v>
      </c>
      <c r="N220">
        <f t="shared" si="37"/>
        <v>12.181000000000001</v>
      </c>
      <c r="O220">
        <f t="shared" si="38"/>
        <v>1.8800085E-3</v>
      </c>
      <c r="P220" s="4">
        <f t="shared" si="39"/>
        <v>2.0041448170971052</v>
      </c>
    </row>
    <row r="221" spans="1:16" x14ac:dyDescent="0.75">
      <c r="A221">
        <v>2.2000000000000002</v>
      </c>
      <c r="B221">
        <f t="shared" si="32"/>
        <v>3.7737600000000002</v>
      </c>
      <c r="C221">
        <f t="shared" si="30"/>
        <v>30.700000000000003</v>
      </c>
      <c r="D221">
        <f t="shared" si="40"/>
        <v>5863.8000000000029</v>
      </c>
      <c r="E221">
        <f t="shared" si="33"/>
        <v>12.280000000000001</v>
      </c>
      <c r="K221">
        <f t="shared" si="34"/>
        <v>1.5834238146941726E-5</v>
      </c>
      <c r="L221">
        <f t="shared" si="35"/>
        <v>6.1400000000000005E-3</v>
      </c>
      <c r="M221">
        <f t="shared" si="36"/>
        <v>7.8003257328990193E-5</v>
      </c>
      <c r="N221">
        <f t="shared" si="37"/>
        <v>12.280000000000001</v>
      </c>
      <c r="O221">
        <f t="shared" si="38"/>
        <v>1.8867800000000002E-3</v>
      </c>
      <c r="P221" s="4">
        <f t="shared" si="39"/>
        <v>2.0061096003544341</v>
      </c>
    </row>
    <row r="222" spans="1:16" x14ac:dyDescent="0.75">
      <c r="A222">
        <v>2.21</v>
      </c>
      <c r="B222">
        <f t="shared" si="32"/>
        <v>3.7873030000000005</v>
      </c>
      <c r="C222">
        <f t="shared" si="30"/>
        <v>30.947499999999998</v>
      </c>
      <c r="D222">
        <f t="shared" si="40"/>
        <v>6107.0400000000009</v>
      </c>
      <c r="E222">
        <f t="shared" si="33"/>
        <v>12.379</v>
      </c>
      <c r="K222">
        <f t="shared" si="34"/>
        <v>1.5707605173636352E-5</v>
      </c>
      <c r="L222">
        <f t="shared" si="35"/>
        <v>6.1894999999999997E-3</v>
      </c>
      <c r="M222">
        <f t="shared" si="36"/>
        <v>7.7166704813707763E-5</v>
      </c>
      <c r="N222">
        <f t="shared" si="37"/>
        <v>12.379</v>
      </c>
      <c r="O222">
        <f t="shared" si="38"/>
        <v>1.8935515000000002E-3</v>
      </c>
      <c r="P222" s="4">
        <f t="shared" si="39"/>
        <v>2.0080803185592475</v>
      </c>
    </row>
    <row r="223" spans="1:16" x14ac:dyDescent="0.75">
      <c r="A223">
        <v>2.2200000000000002</v>
      </c>
      <c r="B223">
        <f t="shared" si="32"/>
        <v>3.8008460000000008</v>
      </c>
      <c r="C223">
        <f t="shared" si="30"/>
        <v>31.195000000000007</v>
      </c>
      <c r="D223">
        <f t="shared" si="40"/>
        <v>6350.2800000000061</v>
      </c>
      <c r="E223">
        <f t="shared" si="33"/>
        <v>12.478000000000003</v>
      </c>
      <c r="K223">
        <f t="shared" si="34"/>
        <v>1.558298160317714E-5</v>
      </c>
      <c r="L223">
        <f t="shared" si="35"/>
        <v>6.2390000000000015E-3</v>
      </c>
      <c r="M223">
        <f t="shared" si="36"/>
        <v>7.6343426653131672E-5</v>
      </c>
      <c r="N223">
        <f t="shared" si="37"/>
        <v>12.478000000000003</v>
      </c>
      <c r="O223">
        <f t="shared" si="38"/>
        <v>1.9003230000000004E-3</v>
      </c>
      <c r="P223" s="4">
        <f t="shared" si="39"/>
        <v>2.0100569849859009</v>
      </c>
    </row>
    <row r="224" spans="1:16" x14ac:dyDescent="0.75">
      <c r="A224">
        <v>2.23</v>
      </c>
      <c r="B224">
        <f t="shared" si="32"/>
        <v>3.8143890000000003</v>
      </c>
      <c r="C224">
        <f t="shared" si="30"/>
        <v>31.442500000000003</v>
      </c>
      <c r="D224">
        <f t="shared" si="40"/>
        <v>6593.5199999999968</v>
      </c>
      <c r="E224">
        <f t="shared" si="33"/>
        <v>12.577000000000002</v>
      </c>
      <c r="K224">
        <f t="shared" si="34"/>
        <v>1.5460319984451331E-5</v>
      </c>
      <c r="L224">
        <f t="shared" si="35"/>
        <v>6.2885000000000007E-3</v>
      </c>
      <c r="M224">
        <f t="shared" si="36"/>
        <v>7.5533109379555242E-5</v>
      </c>
      <c r="N224">
        <f t="shared" si="37"/>
        <v>12.577000000000002</v>
      </c>
      <c r="O224">
        <f t="shared" si="38"/>
        <v>1.9070945000000002E-3</v>
      </c>
      <c r="P224" s="4">
        <f t="shared" si="39"/>
        <v>2.0120396125952804</v>
      </c>
    </row>
    <row r="225" spans="1:16" x14ac:dyDescent="0.75">
      <c r="A225">
        <v>2.2400000000000002</v>
      </c>
      <c r="B225">
        <f t="shared" si="32"/>
        <v>3.8279320000000006</v>
      </c>
      <c r="C225">
        <f t="shared" si="30"/>
        <v>31.690000000000005</v>
      </c>
      <c r="D225">
        <f t="shared" si="40"/>
        <v>6836.760000000002</v>
      </c>
      <c r="E225">
        <f t="shared" si="33"/>
        <v>12.676000000000002</v>
      </c>
      <c r="K225">
        <f t="shared" si="34"/>
        <v>1.5339574348725494E-5</v>
      </c>
      <c r="L225">
        <f t="shared" si="35"/>
        <v>6.3380000000000016E-3</v>
      </c>
      <c r="M225">
        <f t="shared" si="36"/>
        <v>7.4735449318046306E-5</v>
      </c>
      <c r="N225">
        <f t="shared" si="37"/>
        <v>12.676000000000002</v>
      </c>
      <c r="O225">
        <f t="shared" si="38"/>
        <v>1.9138660000000004E-3</v>
      </c>
      <c r="P225" s="4">
        <f t="shared" si="39"/>
        <v>2.0140282140445986</v>
      </c>
    </row>
    <row r="226" spans="1:16" x14ac:dyDescent="0.75">
      <c r="A226">
        <v>2.25</v>
      </c>
      <c r="B226">
        <f t="shared" si="32"/>
        <v>3.841475</v>
      </c>
      <c r="C226">
        <f t="shared" ref="C226:C289" si="41">24.75* A226- 23.75</f>
        <v>31.9375</v>
      </c>
      <c r="D226">
        <f t="shared" si="40"/>
        <v>7080</v>
      </c>
      <c r="E226">
        <f t="shared" si="33"/>
        <v>12.775</v>
      </c>
      <c r="K226">
        <f t="shared" si="34"/>
        <v>1.5220700152206997E-5</v>
      </c>
      <c r="L226">
        <f t="shared" si="35"/>
        <v>6.3874999999999999E-3</v>
      </c>
      <c r="M226">
        <f t="shared" si="36"/>
        <v>7.3950152207001487E-5</v>
      </c>
      <c r="N226">
        <f t="shared" si="37"/>
        <v>12.775</v>
      </c>
      <c r="O226">
        <f t="shared" si="38"/>
        <v>1.9206374999999999E-3</v>
      </c>
      <c r="P226" s="4">
        <f t="shared" si="39"/>
        <v>2.0160228016968058</v>
      </c>
    </row>
    <row r="227" spans="1:16" x14ac:dyDescent="0.75">
      <c r="A227">
        <v>2.2599999999999998</v>
      </c>
      <c r="B227">
        <f t="shared" si="32"/>
        <v>3.8550180000000003</v>
      </c>
      <c r="C227">
        <f t="shared" si="41"/>
        <v>32.184999999999995</v>
      </c>
      <c r="D227">
        <f t="shared" si="40"/>
        <v>7323.239999999998</v>
      </c>
      <c r="E227">
        <f t="shared" si="33"/>
        <v>12.873999999999999</v>
      </c>
      <c r="K227">
        <f t="shared" si="34"/>
        <v>1.5103654221255587E-5</v>
      </c>
      <c r="L227">
        <f t="shared" si="35"/>
        <v>6.4369999999999991E-3</v>
      </c>
      <c r="M227">
        <f t="shared" si="36"/>
        <v>7.3176932836207319E-5</v>
      </c>
      <c r="N227">
        <f t="shared" si="37"/>
        <v>12.873999999999999</v>
      </c>
      <c r="O227">
        <f t="shared" si="38"/>
        <v>1.9274090000000002E-3</v>
      </c>
      <c r="P227" s="4">
        <f t="shared" si="39"/>
        <v>2.0180233876296421</v>
      </c>
    </row>
    <row r="228" spans="1:16" x14ac:dyDescent="0.75">
      <c r="A228">
        <v>2.27</v>
      </c>
      <c r="B228">
        <f t="shared" si="32"/>
        <v>3.8685610000000006</v>
      </c>
      <c r="C228">
        <f t="shared" si="41"/>
        <v>32.432499999999997</v>
      </c>
      <c r="D228">
        <f t="shared" si="40"/>
        <v>7566.4800000000032</v>
      </c>
      <c r="E228">
        <f t="shared" si="33"/>
        <v>12.972999999999999</v>
      </c>
      <c r="K228">
        <f t="shared" si="34"/>
        <v>1.4988394700103633E-5</v>
      </c>
      <c r="L228">
        <f t="shared" si="35"/>
        <v>6.4865000000000001E-3</v>
      </c>
      <c r="M228">
        <f t="shared" si="36"/>
        <v>7.2415514701473977E-5</v>
      </c>
      <c r="N228">
        <f t="shared" si="37"/>
        <v>12.972999999999999</v>
      </c>
      <c r="O228">
        <f t="shared" si="38"/>
        <v>1.9341805000000004E-3</v>
      </c>
      <c r="P228" s="4">
        <f t="shared" si="39"/>
        <v>2.0200299836443438</v>
      </c>
    </row>
    <row r="229" spans="1:16" x14ac:dyDescent="0.75">
      <c r="A229">
        <v>2.2799999999999998</v>
      </c>
      <c r="B229">
        <f t="shared" si="32"/>
        <v>3.882104</v>
      </c>
      <c r="C229">
        <f t="shared" si="41"/>
        <v>32.679999999999993</v>
      </c>
      <c r="D229">
        <f t="shared" si="40"/>
        <v>7809.7199999999939</v>
      </c>
      <c r="E229">
        <f t="shared" si="33"/>
        <v>13.071999999999997</v>
      </c>
      <c r="K229">
        <f t="shared" si="34"/>
        <v>1.4874881000951992E-5</v>
      </c>
      <c r="L229">
        <f t="shared" si="35"/>
        <v>6.5359999999999984E-3</v>
      </c>
      <c r="M229">
        <f t="shared" si="36"/>
        <v>7.1665629674962588E-5</v>
      </c>
      <c r="N229">
        <f t="shared" si="37"/>
        <v>13.071999999999997</v>
      </c>
      <c r="O229">
        <f t="shared" si="38"/>
        <v>1.9409520000000001E-3</v>
      </c>
      <c r="P229" s="4">
        <f t="shared" si="39"/>
        <v>2.0220426012740189</v>
      </c>
    </row>
    <row r="230" spans="1:16" x14ac:dyDescent="0.75">
      <c r="A230">
        <v>2.29</v>
      </c>
      <c r="B230">
        <f t="shared" si="32"/>
        <v>3.8956470000000003</v>
      </c>
      <c r="C230">
        <f t="shared" si="41"/>
        <v>32.927500000000002</v>
      </c>
      <c r="D230">
        <f t="shared" si="40"/>
        <v>8052.9599999999991</v>
      </c>
      <c r="E230">
        <f t="shared" si="33"/>
        <v>13.171000000000001</v>
      </c>
      <c r="K230">
        <f t="shared" si="34"/>
        <v>1.4763073756316483E-5</v>
      </c>
      <c r="L230">
        <f t="shared" si="35"/>
        <v>6.5855000000000011E-3</v>
      </c>
      <c r="M230">
        <f t="shared" si="36"/>
        <v>7.092701769038035E-5</v>
      </c>
      <c r="N230">
        <f t="shared" si="37"/>
        <v>13.171000000000001</v>
      </c>
      <c r="O230">
        <f t="shared" si="38"/>
        <v>1.9477235000000001E-3</v>
      </c>
      <c r="P230" s="4">
        <f t="shared" si="39"/>
        <v>2.0240612517917089</v>
      </c>
    </row>
    <row r="231" spans="1:16" x14ac:dyDescent="0.75">
      <c r="A231">
        <v>2.2999999999999998</v>
      </c>
      <c r="B231">
        <f t="shared" si="32"/>
        <v>3.9091899999999997</v>
      </c>
      <c r="C231">
        <f t="shared" si="41"/>
        <v>33.174999999999997</v>
      </c>
      <c r="D231">
        <f t="shared" si="40"/>
        <v>8296.1999999999971</v>
      </c>
      <c r="E231">
        <f t="shared" si="33"/>
        <v>13.27</v>
      </c>
      <c r="K231">
        <f t="shared" si="34"/>
        <v>1.4652934773507492E-5</v>
      </c>
      <c r="L231">
        <f t="shared" si="35"/>
        <v>6.6349999999999994E-3</v>
      </c>
      <c r="M231">
        <f t="shared" si="36"/>
        <v>7.0199426442267427E-5</v>
      </c>
      <c r="N231">
        <f t="shared" si="37"/>
        <v>13.27</v>
      </c>
      <c r="O231">
        <f t="shared" si="38"/>
        <v>1.9544950000000001E-3</v>
      </c>
      <c r="P231" s="4">
        <f t="shared" si="39"/>
        <v>2.0260859462181515</v>
      </c>
    </row>
    <row r="232" spans="1:16" x14ac:dyDescent="0.75">
      <c r="A232">
        <v>2.31</v>
      </c>
      <c r="B232">
        <f t="shared" si="32"/>
        <v>3.922733</v>
      </c>
      <c r="C232">
        <f t="shared" si="41"/>
        <v>33.422499999999999</v>
      </c>
      <c r="D232">
        <f t="shared" si="40"/>
        <v>8539.4400000000023</v>
      </c>
      <c r="E232">
        <f t="shared" si="33"/>
        <v>13.369</v>
      </c>
      <c r="K232">
        <f t="shared" si="34"/>
        <v>1.4544426991132053E-5</v>
      </c>
      <c r="L232">
        <f t="shared" si="35"/>
        <v>6.6845000000000003E-3</v>
      </c>
      <c r="M232">
        <f t="shared" si="36"/>
        <v>6.9482611098644435E-5</v>
      </c>
      <c r="N232">
        <f t="shared" si="37"/>
        <v>13.369</v>
      </c>
      <c r="O232">
        <f t="shared" si="38"/>
        <v>1.9612664999999999E-3</v>
      </c>
      <c r="P232" s="4">
        <f t="shared" si="39"/>
        <v>2.02811669532925</v>
      </c>
    </row>
    <row r="233" spans="1:16" x14ac:dyDescent="0.75">
      <c r="A233">
        <v>2.3199999999999998</v>
      </c>
      <c r="B233">
        <f t="shared" si="32"/>
        <v>3.9362760000000003</v>
      </c>
      <c r="C233">
        <f t="shared" si="41"/>
        <v>33.669999999999995</v>
      </c>
      <c r="D233">
        <f t="shared" si="40"/>
        <v>8782.679999999993</v>
      </c>
      <c r="E233">
        <f t="shared" si="33"/>
        <v>13.467999999999998</v>
      </c>
      <c r="K233">
        <f t="shared" si="34"/>
        <v>1.4437514437514437E-5</v>
      </c>
      <c r="L233">
        <f t="shared" si="35"/>
        <v>6.7339999999999995E-3</v>
      </c>
      <c r="M233">
        <f t="shared" si="36"/>
        <v>6.8776334026334011E-5</v>
      </c>
      <c r="N233">
        <f t="shared" si="37"/>
        <v>13.467999999999998</v>
      </c>
      <c r="O233">
        <f t="shared" si="38"/>
        <v>1.9680380000000001E-3</v>
      </c>
      <c r="P233" s="4">
        <f t="shared" si="39"/>
        <v>2.0301535096632759</v>
      </c>
    </row>
    <row r="234" spans="1:16" x14ac:dyDescent="0.75">
      <c r="A234">
        <v>2.33</v>
      </c>
      <c r="B234">
        <f t="shared" si="32"/>
        <v>3.9498190000000006</v>
      </c>
      <c r="C234">
        <f t="shared" si="41"/>
        <v>33.917500000000004</v>
      </c>
      <c r="D234">
        <f t="shared" si="40"/>
        <v>9025.9199999999983</v>
      </c>
      <c r="E234">
        <f t="shared" si="33"/>
        <v>13.567000000000002</v>
      </c>
      <c r="K234">
        <f t="shared" si="34"/>
        <v>1.4332162190937155E-5</v>
      </c>
      <c r="L234">
        <f t="shared" si="35"/>
        <v>6.7835000000000013E-3</v>
      </c>
      <c r="M234">
        <f t="shared" si="36"/>
        <v>6.8080364528308023E-5</v>
      </c>
      <c r="N234">
        <f t="shared" si="37"/>
        <v>13.567000000000002</v>
      </c>
      <c r="O234">
        <f t="shared" si="38"/>
        <v>1.9748095000000003E-3</v>
      </c>
      <c r="P234" s="4">
        <f t="shared" si="39"/>
        <v>2.0321963995278041</v>
      </c>
    </row>
    <row r="235" spans="1:16" x14ac:dyDescent="0.75">
      <c r="A235">
        <v>2.34</v>
      </c>
      <c r="B235">
        <f t="shared" si="32"/>
        <v>3.9633620000000001</v>
      </c>
      <c r="C235">
        <f t="shared" si="41"/>
        <v>34.164999999999999</v>
      </c>
      <c r="D235">
        <f t="shared" si="40"/>
        <v>9269.1599999999962</v>
      </c>
      <c r="E235">
        <f t="shared" si="33"/>
        <v>13.666</v>
      </c>
      <c r="K235">
        <f t="shared" si="34"/>
        <v>1.4228336341610157E-5</v>
      </c>
      <c r="L235">
        <f t="shared" si="35"/>
        <v>6.8330000000000005E-3</v>
      </c>
      <c r="M235">
        <f t="shared" si="36"/>
        <v>6.7394478592451638E-5</v>
      </c>
      <c r="N235">
        <f t="shared" si="37"/>
        <v>13.666</v>
      </c>
      <c r="O235">
        <f t="shared" si="38"/>
        <v>1.9815810000000001E-3</v>
      </c>
      <c r="P235" s="4">
        <f t="shared" si="39"/>
        <v>2.0342453750063965</v>
      </c>
    </row>
    <row r="236" spans="1:16" x14ac:dyDescent="0.75">
      <c r="A236">
        <v>2.35</v>
      </c>
      <c r="B236">
        <f t="shared" si="32"/>
        <v>3.9769050000000004</v>
      </c>
      <c r="C236">
        <f t="shared" si="41"/>
        <v>34.412500000000001</v>
      </c>
      <c r="D236">
        <f t="shared" si="40"/>
        <v>9512.4000000000015</v>
      </c>
      <c r="E236">
        <f t="shared" si="33"/>
        <v>13.765000000000001</v>
      </c>
      <c r="K236">
        <f t="shared" si="34"/>
        <v>1.4126003955281105E-5</v>
      </c>
      <c r="L236">
        <f t="shared" si="35"/>
        <v>6.8825000000000006E-3</v>
      </c>
      <c r="M236">
        <f t="shared" si="36"/>
        <v>6.6718458651168389E-5</v>
      </c>
      <c r="N236">
        <f t="shared" si="37"/>
        <v>13.765000000000001</v>
      </c>
      <c r="O236">
        <f t="shared" si="38"/>
        <v>1.9883525000000003E-3</v>
      </c>
      <c r="P236" s="4">
        <f t="shared" si="39"/>
        <v>2.0363004459650478</v>
      </c>
    </row>
    <row r="237" spans="1:16" x14ac:dyDescent="0.75">
      <c r="A237">
        <v>2.36</v>
      </c>
      <c r="B237">
        <f t="shared" si="32"/>
        <v>3.9904479999999998</v>
      </c>
      <c r="C237">
        <f t="shared" si="41"/>
        <v>34.659999999999997</v>
      </c>
      <c r="D237">
        <f t="shared" si="40"/>
        <v>9755.64</v>
      </c>
      <c r="E237">
        <f t="shared" si="33"/>
        <v>13.863999999999999</v>
      </c>
      <c r="K237">
        <f t="shared" si="34"/>
        <v>1.402513303840482E-5</v>
      </c>
      <c r="L237">
        <f t="shared" si="35"/>
        <v>6.9319999999999998E-3</v>
      </c>
      <c r="M237">
        <f t="shared" si="36"/>
        <v>6.6052093351285493E-5</v>
      </c>
      <c r="N237">
        <f t="shared" si="37"/>
        <v>13.863999999999999</v>
      </c>
      <c r="O237">
        <f t="shared" si="38"/>
        <v>1.995124E-3</v>
      </c>
      <c r="P237" s="4">
        <f t="shared" si="39"/>
        <v>2.0383616220583991</v>
      </c>
    </row>
    <row r="238" spans="1:16" x14ac:dyDescent="0.75">
      <c r="A238">
        <v>2.37</v>
      </c>
      <c r="B238">
        <f t="shared" si="32"/>
        <v>4.0039910000000001</v>
      </c>
      <c r="C238">
        <f t="shared" si="41"/>
        <v>34.907500000000006</v>
      </c>
      <c r="D238">
        <f t="shared" ref="D238:D301" si="42" xml:space="preserve"> 6756.8*A238 - 6013.5</f>
        <v>10000.116000000002</v>
      </c>
      <c r="E238">
        <f t="shared" si="33"/>
        <v>13.963000000000003</v>
      </c>
      <c r="K238">
        <f t="shared" si="34"/>
        <v>1.3925692504794412E-5</v>
      </c>
      <c r="L238">
        <f t="shared" si="35"/>
        <v>6.9815000000000016E-3</v>
      </c>
      <c r="M238">
        <f t="shared" si="36"/>
        <v>6.5395177333747086E-5</v>
      </c>
      <c r="N238">
        <f t="shared" si="37"/>
        <v>13.963000000000003</v>
      </c>
      <c r="O238">
        <f t="shared" si="38"/>
        <v>2.0018954999999998E-3</v>
      </c>
      <c r="P238" s="4">
        <f t="shared" si="39"/>
        <v>2.0404289127357327</v>
      </c>
    </row>
    <row r="239" spans="1:16" x14ac:dyDescent="0.75">
      <c r="A239">
        <v>2.38</v>
      </c>
      <c r="B239">
        <f t="shared" si="32"/>
        <v>4.0175340000000004</v>
      </c>
      <c r="C239">
        <f t="shared" si="41"/>
        <v>35.154999999999994</v>
      </c>
      <c r="D239">
        <f t="shared" si="42"/>
        <v>10067.683999999999</v>
      </c>
      <c r="E239">
        <f t="shared" si="33"/>
        <v>14.061999999999998</v>
      </c>
      <c r="K239">
        <f t="shared" si="34"/>
        <v>1.3827652143681157E-5</v>
      </c>
      <c r="L239">
        <f t="shared" si="35"/>
        <v>7.0309999999999991E-3</v>
      </c>
      <c r="M239">
        <f t="shared" si="36"/>
        <v>6.4747511022614113E-5</v>
      </c>
      <c r="N239">
        <f t="shared" si="37"/>
        <v>14.061999999999998</v>
      </c>
      <c r="O239">
        <f t="shared" si="38"/>
        <v>2.008667E-3</v>
      </c>
      <c r="P239" s="4">
        <f t="shared" si="39"/>
        <v>2.0425023272467553</v>
      </c>
    </row>
    <row r="240" spans="1:16" x14ac:dyDescent="0.75">
      <c r="A240">
        <v>2.39</v>
      </c>
      <c r="B240">
        <f t="shared" si="32"/>
        <v>4.0310770000000007</v>
      </c>
      <c r="C240">
        <f t="shared" si="41"/>
        <v>35.402500000000003</v>
      </c>
      <c r="D240">
        <f t="shared" si="42"/>
        <v>10135.252</v>
      </c>
      <c r="E240">
        <f t="shared" si="33"/>
        <v>14.161000000000001</v>
      </c>
      <c r="K240">
        <f t="shared" si="34"/>
        <v>1.3730982589114073E-5</v>
      </c>
      <c r="L240">
        <f t="shared" si="35"/>
        <v>7.0805000000000009E-3</v>
      </c>
      <c r="M240">
        <f t="shared" si="36"/>
        <v>6.4108900422914225E-5</v>
      </c>
      <c r="N240">
        <f t="shared" si="37"/>
        <v>14.161000000000001</v>
      </c>
      <c r="O240">
        <f t="shared" si="38"/>
        <v>2.0154385000000002E-3</v>
      </c>
      <c r="P240" s="4">
        <f t="shared" si="39"/>
        <v>2.0445818746471782</v>
      </c>
    </row>
    <row r="241" spans="1:16" x14ac:dyDescent="0.75">
      <c r="A241">
        <v>2.4</v>
      </c>
      <c r="B241">
        <f t="shared" si="32"/>
        <v>4.0446200000000001</v>
      </c>
      <c r="C241">
        <f t="shared" si="41"/>
        <v>35.65</v>
      </c>
      <c r="D241">
        <f t="shared" si="42"/>
        <v>10202.82</v>
      </c>
      <c r="E241">
        <f t="shared" si="33"/>
        <v>14.26</v>
      </c>
      <c r="K241">
        <f t="shared" si="34"/>
        <v>1.3635655290634251E-5</v>
      </c>
      <c r="L241">
        <f t="shared" si="35"/>
        <v>7.1300000000000001E-3</v>
      </c>
      <c r="M241">
        <f t="shared" si="36"/>
        <v>6.3479156926912864E-5</v>
      </c>
      <c r="N241">
        <f t="shared" si="37"/>
        <v>14.26</v>
      </c>
      <c r="O241">
        <f t="shared" si="38"/>
        <v>2.02221E-3</v>
      </c>
      <c r="P241" s="4">
        <f t="shared" si="39"/>
        <v>2.046667563804105</v>
      </c>
    </row>
    <row r="242" spans="1:16" x14ac:dyDescent="0.75">
      <c r="A242">
        <v>2.41</v>
      </c>
      <c r="B242">
        <f t="shared" si="32"/>
        <v>4.0581630000000004</v>
      </c>
      <c r="C242">
        <f t="shared" si="41"/>
        <v>35.897500000000001</v>
      </c>
      <c r="D242">
        <f t="shared" si="42"/>
        <v>10270.388000000001</v>
      </c>
      <c r="E242">
        <f t="shared" si="33"/>
        <v>14.359</v>
      </c>
      <c r="K242">
        <f t="shared" si="34"/>
        <v>1.3541642485162226E-5</v>
      </c>
      <c r="L242">
        <f t="shared" si="35"/>
        <v>7.1795000000000001E-3</v>
      </c>
      <c r="M242">
        <f t="shared" si="36"/>
        <v>6.2858097128397963E-5</v>
      </c>
      <c r="N242">
        <f t="shared" si="37"/>
        <v>14.359</v>
      </c>
      <c r="O242">
        <f t="shared" si="38"/>
        <v>2.0289815000000002E-3</v>
      </c>
      <c r="P242" s="4">
        <f t="shared" si="39"/>
        <v>2.0487594034012333</v>
      </c>
    </row>
    <row r="243" spans="1:16" x14ac:dyDescent="0.75">
      <c r="A243">
        <v>2.42</v>
      </c>
      <c r="B243">
        <f t="shared" si="32"/>
        <v>4.0717059999999998</v>
      </c>
      <c r="C243">
        <f t="shared" si="41"/>
        <v>36.144999999999996</v>
      </c>
      <c r="D243">
        <f t="shared" si="42"/>
        <v>10337.956</v>
      </c>
      <c r="E243">
        <f t="shared" si="33"/>
        <v>14.457999999999998</v>
      </c>
      <c r="K243">
        <f t="shared" si="34"/>
        <v>1.3448917170040422E-5</v>
      </c>
      <c r="L243">
        <f t="shared" si="35"/>
        <v>7.2289999999999993E-3</v>
      </c>
      <c r="M243">
        <f t="shared" si="36"/>
        <v>6.2245542644595055E-5</v>
      </c>
      <c r="N243">
        <f t="shared" si="37"/>
        <v>14.457999999999998</v>
      </c>
      <c r="O243">
        <f t="shared" si="38"/>
        <v>2.035753E-3</v>
      </c>
      <c r="P243" s="4">
        <f t="shared" si="39"/>
        <v>2.0508574019438779</v>
      </c>
    </row>
    <row r="244" spans="1:16" x14ac:dyDescent="0.75">
      <c r="A244">
        <v>2.4300000000000002</v>
      </c>
      <c r="B244">
        <f t="shared" si="32"/>
        <v>4.0852490000000001</v>
      </c>
      <c r="C244">
        <f t="shared" si="41"/>
        <v>36.392500000000005</v>
      </c>
      <c r="D244">
        <f t="shared" si="42"/>
        <v>10405.524000000001</v>
      </c>
      <c r="E244">
        <f t="shared" si="33"/>
        <v>14.557000000000002</v>
      </c>
      <c r="K244">
        <f t="shared" si="34"/>
        <v>1.3357453077175542E-5</v>
      </c>
      <c r="L244">
        <f t="shared" si="35"/>
        <v>7.2785000000000011E-3</v>
      </c>
      <c r="M244">
        <f t="shared" si="36"/>
        <v>6.1641319945348903E-5</v>
      </c>
      <c r="N244">
        <f t="shared" si="37"/>
        <v>14.557000000000002</v>
      </c>
      <c r="O244">
        <f t="shared" si="38"/>
        <v>2.0425244999999997E-3</v>
      </c>
      <c r="P244" s="4">
        <f t="shared" si="39"/>
        <v>2.0529615677638233</v>
      </c>
    </row>
    <row r="245" spans="1:16" x14ac:dyDescent="0.75">
      <c r="A245">
        <v>2.44</v>
      </c>
      <c r="B245">
        <f t="shared" si="32"/>
        <v>4.0987920000000004</v>
      </c>
      <c r="C245">
        <f t="shared" si="41"/>
        <v>36.64</v>
      </c>
      <c r="D245">
        <f t="shared" si="42"/>
        <v>10473.092000000001</v>
      </c>
      <c r="E245">
        <f t="shared" si="33"/>
        <v>14.656000000000001</v>
      </c>
      <c r="K245">
        <f t="shared" si="34"/>
        <v>1.3267224648229012E-5</v>
      </c>
      <c r="L245">
        <f t="shared" si="35"/>
        <v>7.3280000000000003E-3</v>
      </c>
      <c r="M245">
        <f t="shared" si="36"/>
        <v>6.1045260189228503E-5</v>
      </c>
      <c r="N245">
        <f t="shared" si="37"/>
        <v>14.656000000000001</v>
      </c>
      <c r="O245">
        <f t="shared" si="38"/>
        <v>2.0492959999999999E-3</v>
      </c>
      <c r="P245" s="4">
        <f t="shared" si="39"/>
        <v>2.0550719090240124</v>
      </c>
    </row>
    <row r="246" spans="1:16" x14ac:dyDescent="0.75">
      <c r="A246">
        <v>2.4500000000000002</v>
      </c>
      <c r="B246">
        <f t="shared" si="32"/>
        <v>4.1123350000000007</v>
      </c>
      <c r="C246">
        <f t="shared" si="41"/>
        <v>36.887500000000003</v>
      </c>
      <c r="D246">
        <f t="shared" si="42"/>
        <v>10540.66</v>
      </c>
      <c r="E246">
        <f t="shared" si="33"/>
        <v>14.755000000000001</v>
      </c>
      <c r="K246">
        <f t="shared" si="34"/>
        <v>1.3178207010806127E-5</v>
      </c>
      <c r="L246">
        <f t="shared" si="35"/>
        <v>7.3775000000000012E-3</v>
      </c>
      <c r="M246">
        <f t="shared" si="36"/>
        <v>6.045719906622987E-5</v>
      </c>
      <c r="N246">
        <f t="shared" si="37"/>
        <v>14.755000000000001</v>
      </c>
      <c r="O246">
        <f t="shared" si="38"/>
        <v>2.0560675000000001E-3</v>
      </c>
      <c r="P246" s="4">
        <f t="shared" si="39"/>
        <v>2.0571884337230784</v>
      </c>
    </row>
    <row r="247" spans="1:16" x14ac:dyDescent="0.75">
      <c r="A247">
        <v>2.46</v>
      </c>
      <c r="B247">
        <f t="shared" si="32"/>
        <v>4.1258780000000002</v>
      </c>
      <c r="C247">
        <f t="shared" si="41"/>
        <v>37.134999999999998</v>
      </c>
      <c r="D247">
        <f t="shared" si="42"/>
        <v>10608.227999999999</v>
      </c>
      <c r="E247">
        <f t="shared" si="33"/>
        <v>14.853999999999999</v>
      </c>
      <c r="K247">
        <f t="shared" si="34"/>
        <v>1.3090375955597442E-5</v>
      </c>
      <c r="L247">
        <f t="shared" si="35"/>
        <v>7.4269999999999996E-3</v>
      </c>
      <c r="M247">
        <f t="shared" si="36"/>
        <v>5.987697664676927E-5</v>
      </c>
      <c r="N247">
        <f t="shared" si="37"/>
        <v>14.853999999999999</v>
      </c>
      <c r="O247">
        <f t="shared" si="38"/>
        <v>2.0628389999999999E-3</v>
      </c>
      <c r="P247" s="4">
        <f t="shared" si="39"/>
        <v>2.0593111496997252</v>
      </c>
    </row>
    <row r="248" spans="1:16" x14ac:dyDescent="0.75">
      <c r="A248">
        <v>2.4700000000000002</v>
      </c>
      <c r="B248">
        <f t="shared" si="32"/>
        <v>4.1394210000000005</v>
      </c>
      <c r="C248">
        <f t="shared" si="41"/>
        <v>37.382500000000007</v>
      </c>
      <c r="D248">
        <f t="shared" si="42"/>
        <v>10675.796000000002</v>
      </c>
      <c r="E248">
        <f t="shared" si="33"/>
        <v>14.953000000000003</v>
      </c>
      <c r="K248">
        <f t="shared" si="34"/>
        <v>1.3003707914428167E-5</v>
      </c>
      <c r="L248">
        <f t="shared" si="35"/>
        <v>7.4765000000000022E-3</v>
      </c>
      <c r="M248">
        <f t="shared" si="36"/>
        <v>5.9304437236674879E-5</v>
      </c>
      <c r="N248">
        <f t="shared" si="37"/>
        <v>14.953000000000003</v>
      </c>
      <c r="O248">
        <f t="shared" si="38"/>
        <v>2.0696105000000001E-3</v>
      </c>
      <c r="P248" s="4">
        <f t="shared" si="39"/>
        <v>2.0614400646369617</v>
      </c>
    </row>
    <row r="249" spans="1:16" x14ac:dyDescent="0.75">
      <c r="A249">
        <v>2.48</v>
      </c>
      <c r="B249">
        <f t="shared" si="32"/>
        <v>4.1529639999999999</v>
      </c>
      <c r="C249">
        <f t="shared" si="41"/>
        <v>37.630000000000003</v>
      </c>
      <c r="D249">
        <f t="shared" si="42"/>
        <v>10743.364000000001</v>
      </c>
      <c r="E249">
        <f t="shared" si="33"/>
        <v>15.052000000000001</v>
      </c>
      <c r="K249">
        <f t="shared" si="34"/>
        <v>1.2918179939173823E-5</v>
      </c>
      <c r="L249">
        <f t="shared" si="35"/>
        <v>7.5260000000000006E-3</v>
      </c>
      <c r="M249">
        <f t="shared" si="36"/>
        <v>5.8739429237901178E-5</v>
      </c>
      <c r="N249">
        <f t="shared" si="37"/>
        <v>15.052000000000001</v>
      </c>
      <c r="O249">
        <f t="shared" si="38"/>
        <v>2.0763819999999999E-3</v>
      </c>
      <c r="P249" s="4">
        <f t="shared" si="39"/>
        <v>2.0635751860661995</v>
      </c>
    </row>
    <row r="250" spans="1:16" x14ac:dyDescent="0.75">
      <c r="A250">
        <v>2.4900000000000002</v>
      </c>
      <c r="B250">
        <f t="shared" si="32"/>
        <v>4.1665070000000002</v>
      </c>
      <c r="C250">
        <f t="shared" si="41"/>
        <v>37.877500000000005</v>
      </c>
      <c r="D250">
        <f t="shared" si="42"/>
        <v>10810.932000000001</v>
      </c>
      <c r="E250">
        <f t="shared" si="33"/>
        <v>15.151000000000002</v>
      </c>
      <c r="K250">
        <f t="shared" si="34"/>
        <v>1.28337696815025E-5</v>
      </c>
      <c r="L250">
        <f t="shared" si="35"/>
        <v>7.5755000000000015E-3</v>
      </c>
      <c r="M250">
        <f t="shared" si="36"/>
        <v>5.81818050147038E-5</v>
      </c>
      <c r="N250">
        <f t="shared" si="37"/>
        <v>15.151000000000002</v>
      </c>
      <c r="O250">
        <f t="shared" si="38"/>
        <v>2.0831535000000001E-3</v>
      </c>
      <c r="P250" s="4">
        <f t="shared" si="39"/>
        <v>2.0657165213712143</v>
      </c>
    </row>
    <row r="251" spans="1:16" x14ac:dyDescent="0.75">
      <c r="A251">
        <v>2.5</v>
      </c>
      <c r="B251">
        <f t="shared" si="32"/>
        <v>4.1800500000000005</v>
      </c>
      <c r="C251">
        <f t="shared" si="41"/>
        <v>38.125</v>
      </c>
      <c r="D251">
        <f t="shared" si="42"/>
        <v>10878.5</v>
      </c>
      <c r="E251">
        <f t="shared" si="33"/>
        <v>15.25</v>
      </c>
      <c r="K251">
        <f t="shared" si="34"/>
        <v>1.275045537340619E-5</v>
      </c>
      <c r="L251">
        <f t="shared" si="35"/>
        <v>7.6250000000000007E-3</v>
      </c>
      <c r="M251">
        <f t="shared" si="36"/>
        <v>5.7631420765027296E-5</v>
      </c>
      <c r="N251">
        <f t="shared" si="37"/>
        <v>15.25</v>
      </c>
      <c r="O251">
        <f t="shared" si="38"/>
        <v>2.0899250000000003E-3</v>
      </c>
      <c r="P251" s="4">
        <f t="shared" si="39"/>
        <v>2.0678640777919792</v>
      </c>
    </row>
    <row r="252" spans="1:16" x14ac:dyDescent="0.75">
      <c r="A252">
        <v>2.5099999999999998</v>
      </c>
      <c r="B252">
        <f t="shared" si="32"/>
        <v>4.1935929999999999</v>
      </c>
      <c r="C252">
        <f t="shared" si="41"/>
        <v>38.372499999999995</v>
      </c>
      <c r="D252">
        <f t="shared" si="42"/>
        <v>10946.067999999999</v>
      </c>
      <c r="E252">
        <f t="shared" si="33"/>
        <v>15.348999999999998</v>
      </c>
      <c r="K252">
        <f t="shared" si="34"/>
        <v>1.2668215808485531E-5</v>
      </c>
      <c r="L252">
        <f t="shared" si="35"/>
        <v>7.674499999999999E-3</v>
      </c>
      <c r="M252">
        <f t="shared" si="36"/>
        <v>5.7088136396869845E-5</v>
      </c>
      <c r="N252">
        <f t="shared" si="37"/>
        <v>15.348999999999998</v>
      </c>
      <c r="O252">
        <f t="shared" si="38"/>
        <v>2.0966964999999996E-3</v>
      </c>
      <c r="P252" s="4">
        <f t="shared" si="39"/>
        <v>2.0700178624283763</v>
      </c>
    </row>
    <row r="253" spans="1:16" x14ac:dyDescent="0.75">
      <c r="A253">
        <v>2.52</v>
      </c>
      <c r="B253">
        <f t="shared" si="32"/>
        <v>4.2071360000000002</v>
      </c>
      <c r="C253">
        <f t="shared" si="41"/>
        <v>38.619999999999997</v>
      </c>
      <c r="D253">
        <f t="shared" si="42"/>
        <v>11013.636000000002</v>
      </c>
      <c r="E253">
        <f t="shared" si="33"/>
        <v>15.447999999999999</v>
      </c>
      <c r="K253">
        <f t="shared" si="34"/>
        <v>1.2587030323954197E-5</v>
      </c>
      <c r="L253">
        <f t="shared" si="35"/>
        <v>7.724E-3</v>
      </c>
      <c r="M253">
        <f t="shared" si="36"/>
        <v>5.6551815409402137E-5</v>
      </c>
      <c r="N253">
        <f t="shared" si="37"/>
        <v>15.447999999999999</v>
      </c>
      <c r="O253">
        <f t="shared" si="38"/>
        <v>2.1034679999999998E-3</v>
      </c>
      <c r="P253" s="4">
        <f t="shared" si="39"/>
        <v>2.0721778822437855</v>
      </c>
    </row>
    <row r="254" spans="1:16" x14ac:dyDescent="0.75">
      <c r="A254">
        <v>2.5299999999999998</v>
      </c>
      <c r="B254">
        <f t="shared" si="32"/>
        <v>4.2206789999999996</v>
      </c>
      <c r="C254">
        <f t="shared" si="41"/>
        <v>38.867499999999993</v>
      </c>
      <c r="D254">
        <f t="shared" si="42"/>
        <v>11081.203999999998</v>
      </c>
      <c r="E254">
        <f t="shared" si="33"/>
        <v>15.546999999999997</v>
      </c>
      <c r="K254">
        <f t="shared" si="34"/>
        <v>1.2506878783330832E-5</v>
      </c>
      <c r="L254">
        <f t="shared" si="35"/>
        <v>7.7734999999999992E-3</v>
      </c>
      <c r="M254">
        <f t="shared" si="36"/>
        <v>5.602232477862824E-5</v>
      </c>
      <c r="N254">
        <f t="shared" si="37"/>
        <v>15.546999999999997</v>
      </c>
      <c r="O254">
        <f t="shared" si="38"/>
        <v>2.1102394999999996E-3</v>
      </c>
      <c r="P254" s="4">
        <f t="shared" si="39"/>
        <v>2.0743441440685642</v>
      </c>
    </row>
    <row r="255" spans="1:16" x14ac:dyDescent="0.75">
      <c r="A255">
        <v>2.54</v>
      </c>
      <c r="B255">
        <f t="shared" si="32"/>
        <v>4.2342219999999999</v>
      </c>
      <c r="C255">
        <f t="shared" si="41"/>
        <v>39.115000000000002</v>
      </c>
      <c r="D255">
        <f t="shared" si="42"/>
        <v>11148.772000000001</v>
      </c>
      <c r="E255">
        <f t="shared" si="33"/>
        <v>15.646000000000001</v>
      </c>
      <c r="K255">
        <f t="shared" si="34"/>
        <v>1.2427741559788086E-5</v>
      </c>
      <c r="L255">
        <f t="shared" si="35"/>
        <v>7.8230000000000001E-3</v>
      </c>
      <c r="M255">
        <f t="shared" si="36"/>
        <v>5.5499534847387311E-5</v>
      </c>
      <c r="N255">
        <f t="shared" si="37"/>
        <v>15.646000000000001</v>
      </c>
      <c r="O255">
        <f t="shared" si="38"/>
        <v>2.1170109999999998E-3</v>
      </c>
      <c r="P255" s="4">
        <f t="shared" si="39"/>
        <v>2.0765166546034117</v>
      </c>
    </row>
    <row r="256" spans="1:16" x14ac:dyDescent="0.75">
      <c r="A256">
        <v>2.5499999999999998</v>
      </c>
      <c r="B256">
        <f t="shared" si="32"/>
        <v>4.2477650000000002</v>
      </c>
      <c r="C256">
        <f t="shared" si="41"/>
        <v>39.362499999999997</v>
      </c>
      <c r="D256">
        <f t="shared" si="42"/>
        <v>11216.34</v>
      </c>
      <c r="E256">
        <f t="shared" si="33"/>
        <v>15.744999999999999</v>
      </c>
      <c r="K256">
        <f t="shared" si="34"/>
        <v>1.2349599520129846E-5</v>
      </c>
      <c r="L256">
        <f t="shared" si="35"/>
        <v>7.8724999999999993E-3</v>
      </c>
      <c r="M256">
        <f t="shared" si="36"/>
        <v>5.4983319219505293E-5</v>
      </c>
      <c r="N256">
        <f t="shared" si="37"/>
        <v>15.744999999999999</v>
      </c>
      <c r="O256">
        <f t="shared" si="38"/>
        <v>2.1237825E-3</v>
      </c>
      <c r="P256" s="4">
        <f t="shared" si="39"/>
        <v>2.0786954204226311</v>
      </c>
    </row>
    <row r="257" spans="1:16" x14ac:dyDescent="0.75">
      <c r="A257">
        <v>2.56</v>
      </c>
      <c r="B257">
        <f t="shared" si="32"/>
        <v>4.2613080000000005</v>
      </c>
      <c r="C257">
        <f t="shared" si="41"/>
        <v>39.61</v>
      </c>
      <c r="D257">
        <f t="shared" si="42"/>
        <v>11283.907999999999</v>
      </c>
      <c r="E257">
        <f t="shared" si="33"/>
        <v>15.843999999999999</v>
      </c>
      <c r="K257">
        <f t="shared" si="34"/>
        <v>1.2272434009369126E-5</v>
      </c>
      <c r="L257">
        <f t="shared" si="35"/>
        <v>7.9220000000000002E-3</v>
      </c>
      <c r="M257">
        <f t="shared" si="36"/>
        <v>5.4473554657914648E-5</v>
      </c>
      <c r="N257">
        <f t="shared" si="37"/>
        <v>15.843999999999999</v>
      </c>
      <c r="O257">
        <f t="shared" si="38"/>
        <v>2.1305540000000002E-3</v>
      </c>
      <c r="P257" s="4">
        <f t="shared" si="39"/>
        <v>2.0808804479772887</v>
      </c>
    </row>
    <row r="258" spans="1:16" x14ac:dyDescent="0.75">
      <c r="A258">
        <v>2.57</v>
      </c>
      <c r="B258">
        <f t="shared" ref="B258:B321" si="43">1.3543*A258+0.7943</f>
        <v>4.274851</v>
      </c>
      <c r="C258">
        <f t="shared" si="41"/>
        <v>39.857499999999995</v>
      </c>
      <c r="D258">
        <f t="shared" si="42"/>
        <v>11351.475999999999</v>
      </c>
      <c r="E258">
        <f t="shared" ref="E258:E321" si="44">C258/($J$2*$J$4)</f>
        <v>15.942999999999998</v>
      </c>
      <c r="K258">
        <f t="shared" ref="K258:K321" si="45">$I$501/E258</f>
        <v>1.2196226835880601E-5</v>
      </c>
      <c r="L258">
        <f t="shared" si="35"/>
        <v>7.9714999999999994E-3</v>
      </c>
      <c r="M258">
        <f t="shared" si="36"/>
        <v>5.3970120986570195E-5</v>
      </c>
      <c r="N258">
        <f t="shared" si="37"/>
        <v>15.942999999999998</v>
      </c>
      <c r="O258">
        <f t="shared" si="38"/>
        <v>2.1373255E-3</v>
      </c>
      <c r="P258" s="4">
        <f t="shared" si="39"/>
        <v>2.0830717435982753</v>
      </c>
    </row>
    <row r="259" spans="1:16" x14ac:dyDescent="0.75">
      <c r="A259">
        <v>2.58</v>
      </c>
      <c r="B259">
        <f t="shared" si="43"/>
        <v>4.2883940000000003</v>
      </c>
      <c r="C259">
        <f t="shared" si="41"/>
        <v>40.105000000000004</v>
      </c>
      <c r="D259">
        <f t="shared" si="42"/>
        <v>11419.044000000002</v>
      </c>
      <c r="E259">
        <f t="shared" si="44"/>
        <v>16.042000000000002</v>
      </c>
      <c r="K259">
        <f t="shared" si="45"/>
        <v>1.2120960257102879E-5</v>
      </c>
      <c r="L259">
        <f t="shared" ref="L259:L322" si="46">$F$2*C259</f>
        <v>8.0210000000000004E-3</v>
      </c>
      <c r="M259">
        <f t="shared" ref="M259:M322" si="47">K259*($H$2-B259)</f>
        <v>5.3472900995996594E-5</v>
      </c>
      <c r="N259">
        <f t="shared" ref="N259:N322" si="48">C259/$J$2</f>
        <v>16.042000000000002</v>
      </c>
      <c r="O259">
        <f t="shared" ref="O259:O322" si="49">L259/N259*(B259-$F$2)</f>
        <v>2.1440969999999998E-3</v>
      </c>
      <c r="P259" s="4">
        <f t="shared" si="39"/>
        <v>2.0852693134992712</v>
      </c>
    </row>
    <row r="260" spans="1:16" x14ac:dyDescent="0.75">
      <c r="A260">
        <v>2.59</v>
      </c>
      <c r="B260">
        <f t="shared" si="43"/>
        <v>4.3019369999999997</v>
      </c>
      <c r="C260">
        <f t="shared" si="41"/>
        <v>40.352499999999992</v>
      </c>
      <c r="D260">
        <f t="shared" si="42"/>
        <v>11486.612000000001</v>
      </c>
      <c r="E260">
        <f t="shared" si="44"/>
        <v>16.140999999999998</v>
      </c>
      <c r="K260">
        <f t="shared" si="45"/>
        <v>1.2046616965766956E-5</v>
      </c>
      <c r="L260">
        <f t="shared" si="46"/>
        <v>8.0704999999999995E-3</v>
      </c>
      <c r="M260">
        <f t="shared" si="47"/>
        <v>5.2981780352311909E-5</v>
      </c>
      <c r="N260">
        <f t="shared" si="48"/>
        <v>16.140999999999998</v>
      </c>
      <c r="O260">
        <f t="shared" si="49"/>
        <v>2.1508684999999995E-3</v>
      </c>
      <c r="P260" s="4">
        <f t="shared" ref="P260:P323" si="50">P259+O260+M260</f>
        <v>2.0874731637796233</v>
      </c>
    </row>
    <row r="261" spans="1:16" x14ac:dyDescent="0.75">
      <c r="A261">
        <v>2.6</v>
      </c>
      <c r="B261">
        <f t="shared" si="43"/>
        <v>4.31548</v>
      </c>
      <c r="C261">
        <f t="shared" si="41"/>
        <v>40.600000000000009</v>
      </c>
      <c r="D261">
        <f t="shared" si="42"/>
        <v>11554.18</v>
      </c>
      <c r="E261">
        <f t="shared" si="44"/>
        <v>16.240000000000002</v>
      </c>
      <c r="K261">
        <f t="shared" si="45"/>
        <v>1.197318007662835E-5</v>
      </c>
      <c r="L261">
        <f t="shared" si="46"/>
        <v>8.1200000000000022E-3</v>
      </c>
      <c r="M261">
        <f t="shared" si="47"/>
        <v>5.2496647509578521E-5</v>
      </c>
      <c r="N261">
        <f t="shared" si="48"/>
        <v>16.240000000000002</v>
      </c>
      <c r="O261">
        <f t="shared" si="49"/>
        <v>2.1576400000000002E-3</v>
      </c>
      <c r="P261" s="4">
        <f t="shared" si="50"/>
        <v>2.0896833004271329</v>
      </c>
    </row>
    <row r="262" spans="1:16" x14ac:dyDescent="0.75">
      <c r="A262">
        <v>2.61</v>
      </c>
      <c r="B262">
        <f t="shared" si="43"/>
        <v>4.3290230000000003</v>
      </c>
      <c r="C262">
        <f t="shared" si="41"/>
        <v>40.847499999999997</v>
      </c>
      <c r="D262">
        <f t="shared" si="42"/>
        <v>11621.748</v>
      </c>
      <c r="E262">
        <f t="shared" si="44"/>
        <v>16.338999999999999</v>
      </c>
      <c r="K262">
        <f t="shared" si="45"/>
        <v>1.1900633113681647E-5</v>
      </c>
      <c r="L262">
        <f t="shared" si="46"/>
        <v>8.1694999999999997E-3</v>
      </c>
      <c r="M262">
        <f t="shared" si="47"/>
        <v>5.2017393625340852E-5</v>
      </c>
      <c r="N262">
        <f t="shared" si="48"/>
        <v>16.338999999999999</v>
      </c>
      <c r="O262">
        <f t="shared" si="49"/>
        <v>2.1644114999999999E-3</v>
      </c>
      <c r="P262" s="4">
        <f t="shared" si="50"/>
        <v>2.0918997293207582</v>
      </c>
    </row>
    <row r="263" spans="1:16" x14ac:dyDescent="0.75">
      <c r="A263">
        <v>2.62</v>
      </c>
      <c r="B263">
        <f t="shared" si="43"/>
        <v>4.3425660000000006</v>
      </c>
      <c r="C263">
        <f t="shared" si="41"/>
        <v>41.094999999999999</v>
      </c>
      <c r="D263">
        <f t="shared" si="42"/>
        <v>11689.316000000003</v>
      </c>
      <c r="E263">
        <f t="shared" si="44"/>
        <v>16.437999999999999</v>
      </c>
      <c r="K263">
        <f t="shared" si="45"/>
        <v>1.1828959997836988E-5</v>
      </c>
      <c r="L263">
        <f t="shared" si="46"/>
        <v>8.2190000000000006E-3</v>
      </c>
      <c r="M263">
        <f t="shared" si="47"/>
        <v>5.1543912479214805E-5</v>
      </c>
      <c r="N263">
        <f t="shared" si="48"/>
        <v>16.437999999999999</v>
      </c>
      <c r="O263">
        <f t="shared" si="49"/>
        <v>2.1711830000000006E-3</v>
      </c>
      <c r="P263" s="4">
        <f t="shared" si="50"/>
        <v>2.0941224562332375</v>
      </c>
    </row>
    <row r="264" spans="1:16" x14ac:dyDescent="0.75">
      <c r="A264">
        <v>2.63</v>
      </c>
      <c r="B264">
        <f t="shared" si="43"/>
        <v>4.356109</v>
      </c>
      <c r="C264">
        <f t="shared" si="41"/>
        <v>41.342500000000001</v>
      </c>
      <c r="D264">
        <f t="shared" si="42"/>
        <v>11756.883999999998</v>
      </c>
      <c r="E264">
        <f t="shared" si="44"/>
        <v>16.536999999999999</v>
      </c>
      <c r="K264">
        <f t="shared" si="45"/>
        <v>1.1758145035039271E-5</v>
      </c>
      <c r="L264">
        <f t="shared" si="46"/>
        <v>8.2684999999999998E-3</v>
      </c>
      <c r="M264">
        <f t="shared" si="47"/>
        <v>5.1076100394401766E-5</v>
      </c>
      <c r="N264">
        <f t="shared" si="48"/>
        <v>16.536999999999999</v>
      </c>
      <c r="O264">
        <f t="shared" si="49"/>
        <v>2.1779544999999999E-3</v>
      </c>
      <c r="P264" s="4">
        <f t="shared" si="50"/>
        <v>2.0963514868336319</v>
      </c>
    </row>
    <row r="265" spans="1:16" x14ac:dyDescent="0.75">
      <c r="A265">
        <v>2.64</v>
      </c>
      <c r="B265">
        <f t="shared" si="43"/>
        <v>4.3696520000000003</v>
      </c>
      <c r="C265">
        <f t="shared" si="41"/>
        <v>41.59</v>
      </c>
      <c r="D265">
        <f t="shared" si="42"/>
        <v>11824.452000000001</v>
      </c>
      <c r="E265">
        <f t="shared" si="44"/>
        <v>16.636000000000003</v>
      </c>
      <c r="K265">
        <f t="shared" si="45"/>
        <v>1.1688172904811515E-5</v>
      </c>
      <c r="L265">
        <f t="shared" si="46"/>
        <v>8.3180000000000007E-3</v>
      </c>
      <c r="M265">
        <f t="shared" si="47"/>
        <v>5.0613856162004721E-5</v>
      </c>
      <c r="N265">
        <f t="shared" si="48"/>
        <v>16.636000000000003</v>
      </c>
      <c r="O265">
        <f t="shared" si="49"/>
        <v>2.1847260000000001E-3</v>
      </c>
      <c r="P265" s="4">
        <f t="shared" si="50"/>
        <v>2.0985868266897936</v>
      </c>
    </row>
    <row r="266" spans="1:16" x14ac:dyDescent="0.75">
      <c r="A266">
        <v>2.65</v>
      </c>
      <c r="B266">
        <f t="shared" si="43"/>
        <v>4.3831949999999997</v>
      </c>
      <c r="C266">
        <f t="shared" si="41"/>
        <v>41.837499999999991</v>
      </c>
      <c r="D266">
        <f t="shared" si="42"/>
        <v>11892.02</v>
      </c>
      <c r="E266">
        <f t="shared" si="44"/>
        <v>16.734999999999996</v>
      </c>
      <c r="K266">
        <f t="shared" si="45"/>
        <v>1.1619028649204928E-5</v>
      </c>
      <c r="L266">
        <f t="shared" si="46"/>
        <v>8.3674999999999982E-3</v>
      </c>
      <c r="M266">
        <f t="shared" si="47"/>
        <v>5.0157080968031075E-5</v>
      </c>
      <c r="N266">
        <f t="shared" si="48"/>
        <v>16.734999999999996</v>
      </c>
      <c r="O266">
        <f t="shared" si="49"/>
        <v>2.1914974999999999E-3</v>
      </c>
      <c r="P266" s="4">
        <f t="shared" si="50"/>
        <v>2.1008284812707618</v>
      </c>
    </row>
    <row r="267" spans="1:16" x14ac:dyDescent="0.75">
      <c r="A267">
        <v>2.66</v>
      </c>
      <c r="B267">
        <f t="shared" si="43"/>
        <v>4.396738</v>
      </c>
      <c r="C267">
        <f t="shared" si="41"/>
        <v>42.085000000000008</v>
      </c>
      <c r="D267">
        <f t="shared" si="42"/>
        <v>11959.588</v>
      </c>
      <c r="E267">
        <f t="shared" si="44"/>
        <v>16.834000000000003</v>
      </c>
      <c r="K267">
        <f t="shared" si="45"/>
        <v>1.1550697662138788E-5</v>
      </c>
      <c r="L267">
        <f t="shared" si="46"/>
        <v>8.4170000000000026E-3</v>
      </c>
      <c r="M267">
        <f t="shared" si="47"/>
        <v>4.9705678322970682E-5</v>
      </c>
      <c r="N267">
        <f t="shared" si="48"/>
        <v>16.834000000000003</v>
      </c>
      <c r="O267">
        <f t="shared" si="49"/>
        <v>2.1982689999999997E-3</v>
      </c>
      <c r="P267" s="4">
        <f t="shared" si="50"/>
        <v>2.1030764559490849</v>
      </c>
    </row>
    <row r="268" spans="1:16" x14ac:dyDescent="0.75">
      <c r="A268">
        <v>2.67</v>
      </c>
      <c r="B268">
        <f t="shared" si="43"/>
        <v>4.4102810000000003</v>
      </c>
      <c r="C268">
        <f t="shared" si="41"/>
        <v>42.332499999999996</v>
      </c>
      <c r="D268">
        <f t="shared" si="42"/>
        <v>12027.155999999999</v>
      </c>
      <c r="E268">
        <f t="shared" si="44"/>
        <v>16.933</v>
      </c>
      <c r="K268">
        <f t="shared" si="45"/>
        <v>1.1483165679114417E-5</v>
      </c>
      <c r="L268">
        <f t="shared" si="46"/>
        <v>8.4665000000000001E-3</v>
      </c>
      <c r="M268">
        <f t="shared" si="47"/>
        <v>4.9259553993845004E-5</v>
      </c>
      <c r="N268">
        <f t="shared" si="48"/>
        <v>16.933</v>
      </c>
      <c r="O268">
        <f t="shared" si="49"/>
        <v>2.2050404999999999E-3</v>
      </c>
      <c r="P268" s="4">
        <f t="shared" si="50"/>
        <v>2.1053307560030787</v>
      </c>
    </row>
    <row r="269" spans="1:16" x14ac:dyDescent="0.75">
      <c r="A269">
        <v>2.68</v>
      </c>
      <c r="B269">
        <f t="shared" si="43"/>
        <v>4.4238240000000006</v>
      </c>
      <c r="C269">
        <f t="shared" si="41"/>
        <v>42.58</v>
      </c>
      <c r="D269">
        <f t="shared" si="42"/>
        <v>12094.724000000002</v>
      </c>
      <c r="E269">
        <f t="shared" si="44"/>
        <v>17.032</v>
      </c>
      <c r="K269">
        <f t="shared" si="45"/>
        <v>1.1416418767287718E-5</v>
      </c>
      <c r="L269">
        <f t="shared" si="46"/>
        <v>8.5159999999999993E-3</v>
      </c>
      <c r="M269">
        <f t="shared" si="47"/>
        <v>4.8818615938625312E-5</v>
      </c>
      <c r="N269">
        <f t="shared" si="48"/>
        <v>17.032</v>
      </c>
      <c r="O269">
        <f t="shared" si="49"/>
        <v>2.2118119999999996E-3</v>
      </c>
      <c r="P269" s="4">
        <f t="shared" si="50"/>
        <v>2.1075913866190175</v>
      </c>
    </row>
    <row r="270" spans="1:16" x14ac:dyDescent="0.75">
      <c r="A270">
        <v>2.69</v>
      </c>
      <c r="B270">
        <f t="shared" si="43"/>
        <v>4.4373670000000001</v>
      </c>
      <c r="C270">
        <f t="shared" si="41"/>
        <v>42.827500000000001</v>
      </c>
      <c r="D270">
        <f t="shared" si="42"/>
        <v>12162.292000000001</v>
      </c>
      <c r="E270">
        <f t="shared" si="44"/>
        <v>17.131</v>
      </c>
      <c r="K270">
        <f t="shared" si="45"/>
        <v>1.1350443315886079E-5</v>
      </c>
      <c r="L270">
        <f t="shared" si="46"/>
        <v>8.5655000000000002E-3</v>
      </c>
      <c r="M270">
        <f t="shared" si="47"/>
        <v>4.8382774242925413E-5</v>
      </c>
      <c r="N270">
        <f t="shared" si="48"/>
        <v>17.131</v>
      </c>
      <c r="O270">
        <f t="shared" si="49"/>
        <v>2.2185834999999998E-3</v>
      </c>
      <c r="P270" s="4">
        <f t="shared" si="50"/>
        <v>2.1098583528932604</v>
      </c>
    </row>
    <row r="271" spans="1:16" x14ac:dyDescent="0.75">
      <c r="A271">
        <v>2.7</v>
      </c>
      <c r="B271">
        <f t="shared" si="43"/>
        <v>4.4509100000000004</v>
      </c>
      <c r="C271">
        <f t="shared" si="41"/>
        <v>43.075000000000003</v>
      </c>
      <c r="D271">
        <f t="shared" si="42"/>
        <v>12229.86</v>
      </c>
      <c r="E271">
        <f t="shared" si="44"/>
        <v>17.23</v>
      </c>
      <c r="K271">
        <f t="shared" si="45"/>
        <v>1.1285226026955566E-5</v>
      </c>
      <c r="L271">
        <f t="shared" si="46"/>
        <v>8.6150000000000011E-3</v>
      </c>
      <c r="M271">
        <f t="shared" si="47"/>
        <v>4.7951941058876613E-5</v>
      </c>
      <c r="N271">
        <f t="shared" si="48"/>
        <v>17.23</v>
      </c>
      <c r="O271">
        <f t="shared" si="49"/>
        <v>2.225355E-3</v>
      </c>
      <c r="P271" s="4">
        <f t="shared" si="50"/>
        <v>2.1121316598343194</v>
      </c>
    </row>
    <row r="272" spans="1:16" x14ac:dyDescent="0.75">
      <c r="A272">
        <v>2.71</v>
      </c>
      <c r="B272">
        <f t="shared" si="43"/>
        <v>4.4644529999999998</v>
      </c>
      <c r="C272">
        <f t="shared" si="41"/>
        <v>43.322500000000005</v>
      </c>
      <c r="D272">
        <f t="shared" si="42"/>
        <v>12297.428</v>
      </c>
      <c r="E272">
        <f t="shared" si="44"/>
        <v>17.329000000000001</v>
      </c>
      <c r="K272">
        <f t="shared" si="45"/>
        <v>1.1220753906425321E-5</v>
      </c>
      <c r="L272">
        <f t="shared" si="46"/>
        <v>8.6645000000000021E-3</v>
      </c>
      <c r="M272">
        <f t="shared" si="47"/>
        <v>4.7526030546098046E-5</v>
      </c>
      <c r="N272">
        <f t="shared" si="48"/>
        <v>17.329000000000001</v>
      </c>
      <c r="O272">
        <f t="shared" si="49"/>
        <v>2.2321265000000002E-3</v>
      </c>
      <c r="P272" s="4">
        <f t="shared" si="50"/>
        <v>2.1144113123648656</v>
      </c>
    </row>
    <row r="273" spans="1:16" x14ac:dyDescent="0.75">
      <c r="A273">
        <v>2.72</v>
      </c>
      <c r="B273">
        <f t="shared" si="43"/>
        <v>4.4779960000000001</v>
      </c>
      <c r="C273">
        <f t="shared" si="41"/>
        <v>43.570000000000007</v>
      </c>
      <c r="D273">
        <f t="shared" si="42"/>
        <v>12364.996000000003</v>
      </c>
      <c r="E273">
        <f t="shared" si="44"/>
        <v>17.428000000000004</v>
      </c>
      <c r="K273">
        <f t="shared" si="45"/>
        <v>1.1157014255476496E-5</v>
      </c>
      <c r="L273">
        <f t="shared" si="46"/>
        <v>8.7140000000000013E-3</v>
      </c>
      <c r="M273">
        <f t="shared" si="47"/>
        <v>4.7104958814678778E-5</v>
      </c>
      <c r="N273">
        <f t="shared" si="48"/>
        <v>17.428000000000004</v>
      </c>
      <c r="O273">
        <f t="shared" si="49"/>
        <v>2.2388979999999996E-3</v>
      </c>
      <c r="P273" s="4">
        <f t="shared" si="50"/>
        <v>2.1166973153236803</v>
      </c>
    </row>
    <row r="274" spans="1:16" x14ac:dyDescent="0.75">
      <c r="A274">
        <v>2.73</v>
      </c>
      <c r="B274">
        <f t="shared" si="43"/>
        <v>4.4915390000000004</v>
      </c>
      <c r="C274">
        <f t="shared" si="41"/>
        <v>43.817499999999995</v>
      </c>
      <c r="D274">
        <f t="shared" si="42"/>
        <v>12432.564000000002</v>
      </c>
      <c r="E274">
        <f t="shared" si="44"/>
        <v>17.526999999999997</v>
      </c>
      <c r="K274">
        <f t="shared" si="45"/>
        <v>1.109399466220371E-5</v>
      </c>
      <c r="L274">
        <f t="shared" si="46"/>
        <v>8.7634999999999987E-3</v>
      </c>
      <c r="M274">
        <f t="shared" si="47"/>
        <v>4.6688643870092474E-5</v>
      </c>
      <c r="N274">
        <f t="shared" si="48"/>
        <v>17.526999999999997</v>
      </c>
      <c r="O274">
        <f t="shared" si="49"/>
        <v>2.2456695000000002E-3</v>
      </c>
      <c r="P274" s="4">
        <f t="shared" si="50"/>
        <v>2.1189896734675506</v>
      </c>
    </row>
    <row r="275" spans="1:16" x14ac:dyDescent="0.75">
      <c r="A275">
        <v>2.74</v>
      </c>
      <c r="B275">
        <f t="shared" si="43"/>
        <v>4.5050820000000007</v>
      </c>
      <c r="C275">
        <f t="shared" si="41"/>
        <v>44.065000000000012</v>
      </c>
      <c r="D275">
        <f t="shared" si="42"/>
        <v>12500.132000000001</v>
      </c>
      <c r="E275">
        <f t="shared" si="44"/>
        <v>17.626000000000005</v>
      </c>
      <c r="K275">
        <f t="shared" si="45"/>
        <v>1.1031682993557493E-5</v>
      </c>
      <c r="L275">
        <f t="shared" si="46"/>
        <v>8.8130000000000031E-3</v>
      </c>
      <c r="M275">
        <f t="shared" si="47"/>
        <v>4.6277005559968194E-5</v>
      </c>
      <c r="N275">
        <f t="shared" si="48"/>
        <v>17.626000000000005</v>
      </c>
      <c r="O275">
        <f t="shared" si="49"/>
        <v>2.252441E-3</v>
      </c>
      <c r="P275" s="4">
        <f t="shared" si="50"/>
        <v>2.1212883914731107</v>
      </c>
    </row>
    <row r="276" spans="1:16" x14ac:dyDescent="0.75">
      <c r="A276">
        <v>2.75</v>
      </c>
      <c r="B276">
        <f t="shared" si="43"/>
        <v>4.5186250000000001</v>
      </c>
      <c r="C276">
        <f t="shared" si="41"/>
        <v>44.3125</v>
      </c>
      <c r="D276">
        <f t="shared" si="42"/>
        <v>12567.7</v>
      </c>
      <c r="E276">
        <f t="shared" si="44"/>
        <v>17.725000000000001</v>
      </c>
      <c r="K276">
        <f t="shared" si="45"/>
        <v>1.0970067387556806E-5</v>
      </c>
      <c r="L276">
        <f t="shared" si="46"/>
        <v>8.8625000000000006E-3</v>
      </c>
      <c r="M276">
        <f t="shared" si="47"/>
        <v>4.5869965522645333E-5</v>
      </c>
      <c r="N276">
        <f t="shared" si="48"/>
        <v>17.725000000000001</v>
      </c>
      <c r="O276">
        <f t="shared" si="49"/>
        <v>2.2592124999999998E-3</v>
      </c>
      <c r="P276" s="4">
        <f t="shared" si="50"/>
        <v>2.1235934739386333</v>
      </c>
    </row>
    <row r="277" spans="1:16" x14ac:dyDescent="0.75">
      <c r="A277">
        <v>2.76</v>
      </c>
      <c r="B277">
        <f t="shared" si="43"/>
        <v>4.5321679999999995</v>
      </c>
      <c r="C277">
        <f t="shared" si="41"/>
        <v>44.559999999999988</v>
      </c>
      <c r="D277">
        <f t="shared" si="42"/>
        <v>12635.268</v>
      </c>
      <c r="E277">
        <f t="shared" si="44"/>
        <v>17.823999999999995</v>
      </c>
      <c r="K277">
        <f t="shared" si="45"/>
        <v>1.0909136245761023E-5</v>
      </c>
      <c r="L277">
        <f t="shared" si="46"/>
        <v>8.911999999999998E-3</v>
      </c>
      <c r="M277">
        <f t="shared" si="47"/>
        <v>4.5467447137442656E-5</v>
      </c>
      <c r="N277">
        <f t="shared" si="48"/>
        <v>17.823999999999995</v>
      </c>
      <c r="O277">
        <f t="shared" si="49"/>
        <v>2.2659839999999995E-3</v>
      </c>
      <c r="P277" s="4">
        <f t="shared" si="50"/>
        <v>2.1259049253857709</v>
      </c>
    </row>
    <row r="278" spans="1:16" x14ac:dyDescent="0.75">
      <c r="A278">
        <v>2.77</v>
      </c>
      <c r="B278">
        <f t="shared" si="43"/>
        <v>4.5457109999999998</v>
      </c>
      <c r="C278">
        <f t="shared" si="41"/>
        <v>44.807500000000005</v>
      </c>
      <c r="D278">
        <f t="shared" si="42"/>
        <v>12702.835999999999</v>
      </c>
      <c r="E278">
        <f t="shared" si="44"/>
        <v>17.923000000000002</v>
      </c>
      <c r="K278">
        <f t="shared" si="45"/>
        <v>1.084887822599143E-5</v>
      </c>
      <c r="L278">
        <f t="shared" si="46"/>
        <v>8.9615000000000007E-3</v>
      </c>
      <c r="M278">
        <f t="shared" si="47"/>
        <v>4.5069375476575706E-5</v>
      </c>
      <c r="N278">
        <f t="shared" si="48"/>
        <v>17.923000000000002</v>
      </c>
      <c r="O278">
        <f t="shared" si="49"/>
        <v>2.2727554999999997E-3</v>
      </c>
      <c r="P278" s="4">
        <f t="shared" si="50"/>
        <v>2.1282227502612474</v>
      </c>
    </row>
    <row r="279" spans="1:16" x14ac:dyDescent="0.75">
      <c r="A279">
        <v>2.78</v>
      </c>
      <c r="B279">
        <f t="shared" si="43"/>
        <v>4.5592540000000001</v>
      </c>
      <c r="C279">
        <f t="shared" si="41"/>
        <v>45.054999999999993</v>
      </c>
      <c r="D279">
        <f t="shared" si="42"/>
        <v>12770.403999999999</v>
      </c>
      <c r="E279">
        <f t="shared" si="44"/>
        <v>18.021999999999998</v>
      </c>
      <c r="K279">
        <f t="shared" si="45"/>
        <v>1.0789282235292665E-5</v>
      </c>
      <c r="L279">
        <f t="shared" si="46"/>
        <v>9.0109999999999982E-3</v>
      </c>
      <c r="M279">
        <f t="shared" si="47"/>
        <v>4.4675677258659156E-5</v>
      </c>
      <c r="N279">
        <f t="shared" si="48"/>
        <v>18.021999999999998</v>
      </c>
      <c r="O279">
        <f t="shared" si="49"/>
        <v>2.2795269999999995E-3</v>
      </c>
      <c r="P279" s="4">
        <f t="shared" si="50"/>
        <v>2.1305469529385057</v>
      </c>
    </row>
    <row r="280" spans="1:16" x14ac:dyDescent="0.75">
      <c r="A280">
        <v>2.79</v>
      </c>
      <c r="B280">
        <f t="shared" si="43"/>
        <v>4.5727970000000004</v>
      </c>
      <c r="C280">
        <f t="shared" si="41"/>
        <v>45.302499999999995</v>
      </c>
      <c r="D280">
        <f t="shared" si="42"/>
        <v>12837.972000000002</v>
      </c>
      <c r="E280">
        <f t="shared" si="44"/>
        <v>18.120999999999999</v>
      </c>
      <c r="K280">
        <f t="shared" si="45"/>
        <v>1.0730337423124796E-5</v>
      </c>
      <c r="L280">
        <f t="shared" si="46"/>
        <v>9.0604999999999991E-3</v>
      </c>
      <c r="M280">
        <f t="shared" si="47"/>
        <v>4.4286280803732916E-5</v>
      </c>
      <c r="N280">
        <f t="shared" si="48"/>
        <v>18.120999999999999</v>
      </c>
      <c r="O280">
        <f t="shared" si="49"/>
        <v>2.2862985000000001E-3</v>
      </c>
      <c r="P280" s="4">
        <f t="shared" si="50"/>
        <v>2.1328775377193097</v>
      </c>
    </row>
    <row r="281" spans="1:16" x14ac:dyDescent="0.75">
      <c r="A281">
        <v>2.8</v>
      </c>
      <c r="B281">
        <f t="shared" si="43"/>
        <v>4.5863399999999999</v>
      </c>
      <c r="C281">
        <f t="shared" si="41"/>
        <v>45.55</v>
      </c>
      <c r="D281">
        <f t="shared" si="42"/>
        <v>12905.54</v>
      </c>
      <c r="E281">
        <f t="shared" si="44"/>
        <v>18.22</v>
      </c>
      <c r="K281">
        <f t="shared" si="45"/>
        <v>1.0672033174777411E-5</v>
      </c>
      <c r="L281">
        <f t="shared" si="46"/>
        <v>9.11E-3</v>
      </c>
      <c r="M281">
        <f t="shared" si="47"/>
        <v>4.3901115989754841E-5</v>
      </c>
      <c r="N281">
        <f t="shared" si="48"/>
        <v>18.22</v>
      </c>
      <c r="O281">
        <f t="shared" si="49"/>
        <v>2.2930699999999999E-3</v>
      </c>
      <c r="P281" s="4">
        <f t="shared" si="50"/>
        <v>2.1352145088352992</v>
      </c>
    </row>
    <row r="282" spans="1:16" x14ac:dyDescent="0.75">
      <c r="A282">
        <v>2.81</v>
      </c>
      <c r="B282">
        <f t="shared" si="43"/>
        <v>4.5998830000000002</v>
      </c>
      <c r="C282">
        <f t="shared" si="41"/>
        <v>45.797499999999999</v>
      </c>
      <c r="D282">
        <f t="shared" si="42"/>
        <v>12973.108</v>
      </c>
      <c r="E282">
        <f t="shared" si="44"/>
        <v>18.318999999999999</v>
      </c>
      <c r="K282">
        <f t="shared" si="45"/>
        <v>1.0614359104997239E-5</v>
      </c>
      <c r="L282">
        <f t="shared" si="46"/>
        <v>9.159500000000001E-3</v>
      </c>
      <c r="M282">
        <f t="shared" si="47"/>
        <v>4.3520114210503959E-5</v>
      </c>
      <c r="N282">
        <f t="shared" si="48"/>
        <v>18.318999999999999</v>
      </c>
      <c r="O282">
        <f t="shared" si="49"/>
        <v>2.2998415000000006E-3</v>
      </c>
      <c r="P282" s="4">
        <f t="shared" si="50"/>
        <v>2.13755787044951</v>
      </c>
    </row>
    <row r="283" spans="1:16" x14ac:dyDescent="0.75">
      <c r="A283">
        <v>2.82</v>
      </c>
      <c r="B283">
        <f t="shared" si="43"/>
        <v>4.6134259999999996</v>
      </c>
      <c r="C283">
        <f t="shared" si="41"/>
        <v>46.045000000000002</v>
      </c>
      <c r="D283">
        <f t="shared" si="42"/>
        <v>13040.675999999999</v>
      </c>
      <c r="E283">
        <f t="shared" si="44"/>
        <v>18.417999999999999</v>
      </c>
      <c r="K283">
        <f t="shared" si="45"/>
        <v>1.0557305051821284E-5</v>
      </c>
      <c r="L283">
        <f t="shared" si="46"/>
        <v>9.2090000000000002E-3</v>
      </c>
      <c r="M283">
        <f t="shared" si="47"/>
        <v>4.3143208334841508E-5</v>
      </c>
      <c r="N283">
        <f t="shared" si="48"/>
        <v>18.417999999999999</v>
      </c>
      <c r="O283">
        <f t="shared" si="49"/>
        <v>2.3066129999999995E-3</v>
      </c>
      <c r="P283" s="4">
        <f t="shared" si="50"/>
        <v>2.1399076266578447</v>
      </c>
    </row>
    <row r="284" spans="1:16" x14ac:dyDescent="0.75">
      <c r="A284">
        <v>2.83</v>
      </c>
      <c r="B284">
        <f t="shared" si="43"/>
        <v>4.6269689999999999</v>
      </c>
      <c r="C284">
        <f t="shared" si="41"/>
        <v>46.292500000000004</v>
      </c>
      <c r="D284">
        <f t="shared" si="42"/>
        <v>13108.244000000002</v>
      </c>
      <c r="E284">
        <f t="shared" si="44"/>
        <v>18.517000000000003</v>
      </c>
      <c r="K284">
        <f t="shared" si="45"/>
        <v>1.0500861070607785E-5</v>
      </c>
      <c r="L284">
        <f t="shared" si="46"/>
        <v>9.2585000000000011E-3</v>
      </c>
      <c r="M284">
        <f t="shared" si="47"/>
        <v>4.2770332667278692E-5</v>
      </c>
      <c r="N284">
        <f t="shared" si="48"/>
        <v>18.517000000000003</v>
      </c>
      <c r="O284">
        <f t="shared" si="49"/>
        <v>2.3133844999999997E-3</v>
      </c>
      <c r="P284" s="4">
        <f t="shared" si="50"/>
        <v>2.1422637814905117</v>
      </c>
    </row>
    <row r="285" spans="1:16" x14ac:dyDescent="0.75">
      <c r="A285">
        <v>2.84</v>
      </c>
      <c r="B285">
        <f t="shared" si="43"/>
        <v>4.6405120000000002</v>
      </c>
      <c r="C285">
        <f t="shared" si="41"/>
        <v>46.539999999999992</v>
      </c>
      <c r="D285">
        <f t="shared" si="42"/>
        <v>13175.811999999998</v>
      </c>
      <c r="E285">
        <f t="shared" si="44"/>
        <v>18.615999999999996</v>
      </c>
      <c r="K285">
        <f t="shared" si="45"/>
        <v>1.0445017428257651E-5</v>
      </c>
      <c r="L285">
        <f t="shared" si="46"/>
        <v>9.3079999999999986E-3</v>
      </c>
      <c r="M285">
        <f t="shared" si="47"/>
        <v>4.2401422909802788E-5</v>
      </c>
      <c r="N285">
        <f t="shared" si="48"/>
        <v>18.615999999999996</v>
      </c>
      <c r="O285">
        <f t="shared" si="49"/>
        <v>2.3201559999999999E-3</v>
      </c>
      <c r="P285" s="4">
        <f t="shared" si="50"/>
        <v>2.1446263389134215</v>
      </c>
    </row>
    <row r="286" spans="1:16" x14ac:dyDescent="0.75">
      <c r="A286">
        <v>2.85</v>
      </c>
      <c r="B286">
        <f t="shared" si="43"/>
        <v>4.6540550000000005</v>
      </c>
      <c r="C286">
        <f t="shared" si="41"/>
        <v>46.787500000000009</v>
      </c>
      <c r="D286">
        <f t="shared" si="42"/>
        <v>13243.380000000001</v>
      </c>
      <c r="E286">
        <f t="shared" si="44"/>
        <v>18.715000000000003</v>
      </c>
      <c r="K286">
        <f t="shared" si="45"/>
        <v>1.0389764597619256E-5</v>
      </c>
      <c r="L286">
        <f t="shared" si="46"/>
        <v>9.357500000000003E-3</v>
      </c>
      <c r="M286">
        <f t="shared" si="47"/>
        <v>4.2036416124914625E-5</v>
      </c>
      <c r="N286">
        <f t="shared" si="48"/>
        <v>18.715000000000003</v>
      </c>
      <c r="O286">
        <f t="shared" si="49"/>
        <v>2.3269275000000005E-3</v>
      </c>
      <c r="P286" s="4">
        <f t="shared" si="50"/>
        <v>2.1469953028295463</v>
      </c>
    </row>
    <row r="287" spans="1:16" x14ac:dyDescent="0.75">
      <c r="A287">
        <v>2.86</v>
      </c>
      <c r="B287">
        <f t="shared" si="43"/>
        <v>4.6675979999999999</v>
      </c>
      <c r="C287">
        <f t="shared" si="41"/>
        <v>47.034999999999997</v>
      </c>
      <c r="D287">
        <f t="shared" si="42"/>
        <v>13310.948</v>
      </c>
      <c r="E287">
        <f t="shared" si="44"/>
        <v>18.814</v>
      </c>
      <c r="K287">
        <f t="shared" si="45"/>
        <v>1.0335093252069969E-5</v>
      </c>
      <c r="L287">
        <f t="shared" si="46"/>
        <v>9.4070000000000004E-3</v>
      </c>
      <c r="M287">
        <f t="shared" si="47"/>
        <v>4.1675250699833441E-5</v>
      </c>
      <c r="N287">
        <f t="shared" si="48"/>
        <v>18.814</v>
      </c>
      <c r="O287">
        <f t="shared" si="49"/>
        <v>2.3336989999999998E-3</v>
      </c>
      <c r="P287" s="4">
        <f t="shared" si="50"/>
        <v>2.1493706770802459</v>
      </c>
    </row>
    <row r="288" spans="1:16" x14ac:dyDescent="0.75">
      <c r="A288">
        <v>2.87</v>
      </c>
      <c r="B288">
        <f t="shared" si="43"/>
        <v>4.6811410000000002</v>
      </c>
      <c r="C288">
        <f t="shared" si="41"/>
        <v>47.282499999999999</v>
      </c>
      <c r="D288">
        <f t="shared" si="42"/>
        <v>13378.516</v>
      </c>
      <c r="E288">
        <f t="shared" si="44"/>
        <v>18.913</v>
      </c>
      <c r="K288">
        <f t="shared" si="45"/>
        <v>1.0280994260267774E-5</v>
      </c>
      <c r="L288">
        <f t="shared" si="46"/>
        <v>9.4564999999999996E-3</v>
      </c>
      <c r="M288">
        <f t="shared" si="47"/>
        <v>4.1317866311825476E-5</v>
      </c>
      <c r="N288">
        <f t="shared" si="48"/>
        <v>18.913</v>
      </c>
      <c r="O288">
        <f t="shared" si="49"/>
        <v>2.3404705E-3</v>
      </c>
      <c r="P288" s="4">
        <f t="shared" si="50"/>
        <v>2.1517524654465578</v>
      </c>
    </row>
    <row r="289" spans="1:16" x14ac:dyDescent="0.75">
      <c r="A289">
        <v>2.88</v>
      </c>
      <c r="B289">
        <f t="shared" si="43"/>
        <v>4.6946839999999996</v>
      </c>
      <c r="C289">
        <f t="shared" si="41"/>
        <v>47.53</v>
      </c>
      <c r="D289">
        <f t="shared" si="42"/>
        <v>13446.083999999999</v>
      </c>
      <c r="E289">
        <f t="shared" si="44"/>
        <v>19.012</v>
      </c>
      <c r="K289">
        <f t="shared" si="45"/>
        <v>1.0227458681066926E-5</v>
      </c>
      <c r="L289">
        <f t="shared" si="46"/>
        <v>9.5060000000000006E-3</v>
      </c>
      <c r="M289">
        <f t="shared" si="47"/>
        <v>4.0964203894616254E-5</v>
      </c>
      <c r="N289">
        <f t="shared" si="48"/>
        <v>19.012</v>
      </c>
      <c r="O289">
        <f t="shared" si="49"/>
        <v>2.3472419999999998E-3</v>
      </c>
      <c r="P289" s="4">
        <f t="shared" si="50"/>
        <v>2.1541406716504525</v>
      </c>
    </row>
    <row r="290" spans="1:16" x14ac:dyDescent="0.75">
      <c r="A290">
        <v>2.89</v>
      </c>
      <c r="B290">
        <f t="shared" si="43"/>
        <v>4.7082269999999999</v>
      </c>
      <c r="C290">
        <f t="shared" ref="C290:C353" si="51">24.75* A290- 23.75</f>
        <v>47.777500000000003</v>
      </c>
      <c r="D290">
        <f t="shared" si="42"/>
        <v>13513.652000000002</v>
      </c>
      <c r="E290">
        <f t="shared" si="44"/>
        <v>19.111000000000001</v>
      </c>
      <c r="K290">
        <f t="shared" si="45"/>
        <v>1.0174477758591618E-5</v>
      </c>
      <c r="L290">
        <f t="shared" si="46"/>
        <v>9.5555000000000015E-3</v>
      </c>
      <c r="M290">
        <f t="shared" si="47"/>
        <v>4.0614205605846531E-5</v>
      </c>
      <c r="N290">
        <f t="shared" si="48"/>
        <v>19.111000000000001</v>
      </c>
      <c r="O290">
        <f t="shared" si="49"/>
        <v>2.3540135E-3</v>
      </c>
      <c r="P290" s="4">
        <f t="shared" si="50"/>
        <v>2.1565352993560585</v>
      </c>
    </row>
    <row r="291" spans="1:16" x14ac:dyDescent="0.75">
      <c r="A291">
        <v>2.9</v>
      </c>
      <c r="B291">
        <f t="shared" si="43"/>
        <v>4.7217700000000002</v>
      </c>
      <c r="C291">
        <f t="shared" si="51"/>
        <v>48.024999999999991</v>
      </c>
      <c r="D291">
        <f t="shared" si="42"/>
        <v>13581.220000000001</v>
      </c>
      <c r="E291">
        <f t="shared" si="44"/>
        <v>19.209999999999997</v>
      </c>
      <c r="K291">
        <f t="shared" si="45"/>
        <v>1.0122042917461969E-5</v>
      </c>
      <c r="L291">
        <f t="shared" si="46"/>
        <v>9.604999999999999E-3</v>
      </c>
      <c r="M291">
        <f t="shared" si="47"/>
        <v>4.0267814795534719E-5</v>
      </c>
      <c r="N291">
        <f t="shared" si="48"/>
        <v>19.209999999999997</v>
      </c>
      <c r="O291">
        <f t="shared" si="49"/>
        <v>2.3607849999999998E-3</v>
      </c>
      <c r="P291" s="4">
        <f t="shared" si="50"/>
        <v>2.158936352170854</v>
      </c>
    </row>
    <row r="292" spans="1:16" x14ac:dyDescent="0.75">
      <c r="A292">
        <v>2.91</v>
      </c>
      <c r="B292">
        <f t="shared" si="43"/>
        <v>4.7353130000000005</v>
      </c>
      <c r="C292">
        <f t="shared" si="51"/>
        <v>48.272500000000008</v>
      </c>
      <c r="D292">
        <f t="shared" si="42"/>
        <v>13648.788</v>
      </c>
      <c r="E292">
        <f t="shared" si="44"/>
        <v>19.309000000000005</v>
      </c>
      <c r="K292">
        <f t="shared" si="45"/>
        <v>1.0070145758166884E-5</v>
      </c>
      <c r="L292">
        <f t="shared" si="46"/>
        <v>9.6545000000000016E-3</v>
      </c>
      <c r="M292">
        <f t="shared" si="47"/>
        <v>3.9924975975509373E-5</v>
      </c>
      <c r="N292">
        <f t="shared" si="48"/>
        <v>19.309000000000005</v>
      </c>
      <c r="O292">
        <f t="shared" si="49"/>
        <v>2.3675565E-3</v>
      </c>
      <c r="P292" s="4">
        <f t="shared" si="50"/>
        <v>2.1613438336468294</v>
      </c>
    </row>
    <row r="293" spans="1:16" x14ac:dyDescent="0.75">
      <c r="A293">
        <v>2.92</v>
      </c>
      <c r="B293">
        <f t="shared" si="43"/>
        <v>4.748856</v>
      </c>
      <c r="C293">
        <f t="shared" si="51"/>
        <v>48.519999999999996</v>
      </c>
      <c r="D293">
        <f t="shared" si="42"/>
        <v>13716.356</v>
      </c>
      <c r="E293">
        <f t="shared" si="44"/>
        <v>19.407999999999998</v>
      </c>
      <c r="K293">
        <f t="shared" si="45"/>
        <v>1.0018778052578546E-5</v>
      </c>
      <c r="L293">
        <f t="shared" si="46"/>
        <v>9.7039999999999991E-3</v>
      </c>
      <c r="M293">
        <f t="shared" si="47"/>
        <v>3.9585634789777398E-5</v>
      </c>
      <c r="N293">
        <f t="shared" si="48"/>
        <v>19.407999999999998</v>
      </c>
      <c r="O293">
        <f t="shared" si="49"/>
        <v>2.3743279999999998E-3</v>
      </c>
      <c r="P293" s="4">
        <f t="shared" si="50"/>
        <v>2.1637577472816192</v>
      </c>
    </row>
    <row r="294" spans="1:16" x14ac:dyDescent="0.75">
      <c r="A294">
        <v>2.93</v>
      </c>
      <c r="B294">
        <f t="shared" si="43"/>
        <v>4.7623990000000003</v>
      </c>
      <c r="C294">
        <f t="shared" si="51"/>
        <v>48.767499999999998</v>
      </c>
      <c r="D294">
        <f t="shared" si="42"/>
        <v>13783.924000000003</v>
      </c>
      <c r="E294">
        <f t="shared" si="44"/>
        <v>19.506999999999998</v>
      </c>
      <c r="K294">
        <f t="shared" si="45"/>
        <v>9.9679317396034465E-6</v>
      </c>
      <c r="L294">
        <f t="shared" si="46"/>
        <v>9.7535E-3</v>
      </c>
      <c r="M294">
        <f t="shared" si="47"/>
        <v>3.9249737985794263E-5</v>
      </c>
      <c r="N294">
        <f t="shared" si="48"/>
        <v>19.506999999999998</v>
      </c>
      <c r="O294">
        <f t="shared" si="49"/>
        <v>2.3810995E-3</v>
      </c>
      <c r="P294" s="4">
        <f t="shared" si="50"/>
        <v>2.1661780965196051</v>
      </c>
    </row>
    <row r="295" spans="1:16" x14ac:dyDescent="0.75">
      <c r="A295">
        <v>2.94</v>
      </c>
      <c r="B295">
        <f t="shared" si="43"/>
        <v>4.7759419999999997</v>
      </c>
      <c r="C295">
        <f t="shared" si="51"/>
        <v>49.015000000000001</v>
      </c>
      <c r="D295">
        <f t="shared" si="42"/>
        <v>13851.491999999998</v>
      </c>
      <c r="E295">
        <f t="shared" si="44"/>
        <v>19.606000000000002</v>
      </c>
      <c r="K295">
        <f t="shared" si="45"/>
        <v>9.9175989209652347E-6</v>
      </c>
      <c r="L295">
        <f t="shared" si="46"/>
        <v>9.8030000000000009E-3</v>
      </c>
      <c r="M295">
        <f t="shared" si="47"/>
        <v>3.8917233386604991E-5</v>
      </c>
      <c r="N295">
        <f t="shared" si="48"/>
        <v>19.606000000000002</v>
      </c>
      <c r="O295">
        <f t="shared" si="49"/>
        <v>2.3878709999999997E-3</v>
      </c>
      <c r="P295" s="4">
        <f t="shared" si="50"/>
        <v>2.1686048847529915</v>
      </c>
    </row>
    <row r="296" spans="1:16" x14ac:dyDescent="0.75">
      <c r="A296">
        <v>2.95</v>
      </c>
      <c r="B296">
        <f t="shared" si="43"/>
        <v>4.789485</v>
      </c>
      <c r="C296">
        <f t="shared" si="51"/>
        <v>49.262500000000003</v>
      </c>
      <c r="D296">
        <f t="shared" si="42"/>
        <v>13919.060000000001</v>
      </c>
      <c r="E296">
        <f t="shared" si="44"/>
        <v>19.705000000000002</v>
      </c>
      <c r="K296">
        <f t="shared" si="45"/>
        <v>9.86777185711466E-6</v>
      </c>
      <c r="L296">
        <f t="shared" si="46"/>
        <v>9.8525000000000019E-3</v>
      </c>
      <c r="M296">
        <f t="shared" si="47"/>
        <v>3.8588069863824731E-5</v>
      </c>
      <c r="N296">
        <f t="shared" si="48"/>
        <v>19.705000000000002</v>
      </c>
      <c r="O296">
        <f t="shared" si="49"/>
        <v>2.3946424999999999E-3</v>
      </c>
      <c r="P296" s="4">
        <f t="shared" si="50"/>
        <v>2.1710381153228555</v>
      </c>
    </row>
    <row r="297" spans="1:16" x14ac:dyDescent="0.75">
      <c r="A297">
        <v>2.96</v>
      </c>
      <c r="B297">
        <f t="shared" si="43"/>
        <v>4.8030280000000003</v>
      </c>
      <c r="C297">
        <f t="shared" si="51"/>
        <v>49.510000000000005</v>
      </c>
      <c r="D297">
        <f t="shared" si="42"/>
        <v>13986.628000000001</v>
      </c>
      <c r="E297">
        <f t="shared" si="44"/>
        <v>19.804000000000002</v>
      </c>
      <c r="K297">
        <f t="shared" si="45"/>
        <v>9.8184429632621889E-6</v>
      </c>
      <c r="L297">
        <f t="shared" si="46"/>
        <v>9.9020000000000011E-3</v>
      </c>
      <c r="M297">
        <f t="shared" si="47"/>
        <v>3.8262197311429769E-5</v>
      </c>
      <c r="N297">
        <f t="shared" si="48"/>
        <v>19.804000000000002</v>
      </c>
      <c r="O297">
        <f t="shared" si="49"/>
        <v>2.4014140000000002E-3</v>
      </c>
      <c r="P297" s="4">
        <f t="shared" si="50"/>
        <v>2.1734777915201668</v>
      </c>
    </row>
    <row r="298" spans="1:16" x14ac:dyDescent="0.75">
      <c r="A298">
        <v>2.97</v>
      </c>
      <c r="B298">
        <f t="shared" si="43"/>
        <v>4.8165710000000006</v>
      </c>
      <c r="C298">
        <f t="shared" si="51"/>
        <v>49.757500000000007</v>
      </c>
      <c r="D298">
        <f t="shared" si="42"/>
        <v>14054.196000000004</v>
      </c>
      <c r="E298">
        <f t="shared" si="44"/>
        <v>19.903000000000002</v>
      </c>
      <c r="K298">
        <f t="shared" si="45"/>
        <v>9.7696048055290356E-6</v>
      </c>
      <c r="L298">
        <f t="shared" si="46"/>
        <v>9.951500000000002E-3</v>
      </c>
      <c r="M298">
        <f t="shared" si="47"/>
        <v>3.7939566620330805E-5</v>
      </c>
      <c r="N298">
        <f t="shared" si="48"/>
        <v>19.903000000000002</v>
      </c>
      <c r="O298">
        <f t="shared" si="49"/>
        <v>2.4081854999999999E-3</v>
      </c>
      <c r="P298" s="4">
        <f t="shared" si="50"/>
        <v>2.1759239165867874</v>
      </c>
    </row>
    <row r="299" spans="1:16" x14ac:dyDescent="0.75">
      <c r="A299">
        <v>2.98</v>
      </c>
      <c r="B299">
        <f t="shared" si="43"/>
        <v>4.830114</v>
      </c>
      <c r="C299">
        <f t="shared" si="51"/>
        <v>50.004999999999995</v>
      </c>
      <c r="D299">
        <f t="shared" si="42"/>
        <v>14121.763999999999</v>
      </c>
      <c r="E299">
        <f t="shared" si="44"/>
        <v>20.001999999999999</v>
      </c>
      <c r="K299">
        <f t="shared" si="45"/>
        <v>9.7212500972125004E-6</v>
      </c>
      <c r="L299">
        <f t="shared" si="46"/>
        <v>1.0000999999999999E-2</v>
      </c>
      <c r="M299">
        <f t="shared" si="47"/>
        <v>3.7620129653701284E-5</v>
      </c>
      <c r="N299">
        <f t="shared" si="48"/>
        <v>20.001999999999999</v>
      </c>
      <c r="O299">
        <f t="shared" si="49"/>
        <v>2.4149569999999997E-3</v>
      </c>
      <c r="P299" s="4">
        <f t="shared" si="50"/>
        <v>2.1783764937164412</v>
      </c>
    </row>
    <row r="300" spans="1:16" x14ac:dyDescent="0.75">
      <c r="A300">
        <v>2.99</v>
      </c>
      <c r="B300">
        <f t="shared" si="43"/>
        <v>4.8436570000000003</v>
      </c>
      <c r="C300">
        <f t="shared" si="51"/>
        <v>50.252500000000012</v>
      </c>
      <c r="D300">
        <f t="shared" si="42"/>
        <v>14189.332000000002</v>
      </c>
      <c r="E300">
        <f t="shared" si="44"/>
        <v>20.101000000000006</v>
      </c>
      <c r="K300">
        <f t="shared" si="45"/>
        <v>9.6733716951616511E-6</v>
      </c>
      <c r="L300">
        <f t="shared" si="46"/>
        <v>1.0050500000000002E-2</v>
      </c>
      <c r="M300">
        <f t="shared" si="47"/>
        <v>3.730383922303476E-5</v>
      </c>
      <c r="N300">
        <f t="shared" si="48"/>
        <v>20.101000000000006</v>
      </c>
      <c r="O300">
        <f t="shared" si="49"/>
        <v>2.4217284999999995E-3</v>
      </c>
      <c r="P300" s="4">
        <f t="shared" si="50"/>
        <v>2.180835526055664</v>
      </c>
    </row>
    <row r="301" spans="1:16" x14ac:dyDescent="0.75">
      <c r="A301">
        <v>3</v>
      </c>
      <c r="B301">
        <f t="shared" si="43"/>
        <v>4.8571999999999997</v>
      </c>
      <c r="C301">
        <f t="shared" si="51"/>
        <v>50.5</v>
      </c>
      <c r="D301">
        <f t="shared" si="42"/>
        <v>14256.900000000001</v>
      </c>
      <c r="E301">
        <f t="shared" si="44"/>
        <v>20.2</v>
      </c>
      <c r="K301">
        <f t="shared" si="45"/>
        <v>9.6259625962596242E-6</v>
      </c>
      <c r="L301">
        <f t="shared" si="46"/>
        <v>1.0100000000000001E-2</v>
      </c>
      <c r="M301">
        <f t="shared" si="47"/>
        <v>3.699064906490648E-5</v>
      </c>
      <c r="N301">
        <f t="shared" si="48"/>
        <v>20.2</v>
      </c>
      <c r="O301">
        <f t="shared" si="49"/>
        <v>2.4285000000000001E-3</v>
      </c>
      <c r="P301" s="4">
        <f t="shared" si="50"/>
        <v>2.1833010167047289</v>
      </c>
    </row>
    <row r="302" spans="1:16" x14ac:dyDescent="0.75">
      <c r="A302">
        <v>3.01</v>
      </c>
      <c r="B302">
        <f t="shared" si="43"/>
        <v>4.870743</v>
      </c>
      <c r="C302">
        <f t="shared" si="51"/>
        <v>50.747499999999988</v>
      </c>
      <c r="D302">
        <f t="shared" ref="D302:D365" si="52" xml:space="preserve"> 6756.8*A302 - 6013.5</f>
        <v>14324.468000000001</v>
      </c>
      <c r="E302">
        <f t="shared" si="44"/>
        <v>20.298999999999996</v>
      </c>
      <c r="K302">
        <f t="shared" si="45"/>
        <v>9.579015934008791E-6</v>
      </c>
      <c r="L302">
        <f t="shared" si="46"/>
        <v>1.0149499999999999E-2</v>
      </c>
      <c r="M302">
        <f t="shared" si="47"/>
        <v>3.6680513818414697E-5</v>
      </c>
      <c r="N302">
        <f t="shared" si="48"/>
        <v>20.298999999999996</v>
      </c>
      <c r="O302">
        <f t="shared" si="49"/>
        <v>2.4352714999999999E-3</v>
      </c>
      <c r="P302" s="4">
        <f t="shared" si="50"/>
        <v>2.1857729687185472</v>
      </c>
    </row>
    <row r="303" spans="1:16" x14ac:dyDescent="0.75">
      <c r="A303">
        <v>3.02</v>
      </c>
      <c r="B303">
        <f t="shared" si="43"/>
        <v>4.8842860000000003</v>
      </c>
      <c r="C303">
        <f t="shared" si="51"/>
        <v>50.995000000000005</v>
      </c>
      <c r="D303">
        <f t="shared" si="52"/>
        <v>14392.036</v>
      </c>
      <c r="E303">
        <f t="shared" si="44"/>
        <v>20.398000000000003</v>
      </c>
      <c r="K303">
        <f t="shared" si="45"/>
        <v>9.5325249752154321E-6</v>
      </c>
      <c r="L303">
        <f t="shared" si="46"/>
        <v>1.0199000000000001E-2</v>
      </c>
      <c r="M303">
        <f t="shared" si="47"/>
        <v>3.6373389003279166E-5</v>
      </c>
      <c r="N303">
        <f t="shared" si="48"/>
        <v>20.398000000000003</v>
      </c>
      <c r="O303">
        <f t="shared" si="49"/>
        <v>2.4420430000000001E-3</v>
      </c>
      <c r="P303" s="4">
        <f t="shared" si="50"/>
        <v>2.1882513851075505</v>
      </c>
    </row>
    <row r="304" spans="1:16" x14ac:dyDescent="0.75">
      <c r="A304">
        <v>3.03</v>
      </c>
      <c r="B304">
        <f t="shared" si="43"/>
        <v>4.8978289999999998</v>
      </c>
      <c r="C304">
        <f t="shared" si="51"/>
        <v>51.242499999999993</v>
      </c>
      <c r="D304">
        <f t="shared" si="52"/>
        <v>14459.603999999999</v>
      </c>
      <c r="E304">
        <f t="shared" si="44"/>
        <v>20.496999999999996</v>
      </c>
      <c r="K304">
        <f t="shared" si="45"/>
        <v>9.4864831167704763E-6</v>
      </c>
      <c r="L304">
        <f t="shared" si="46"/>
        <v>1.0248499999999999E-2</v>
      </c>
      <c r="M304">
        <f t="shared" si="47"/>
        <v>3.6069230998574316E-5</v>
      </c>
      <c r="N304">
        <f t="shared" si="48"/>
        <v>20.496999999999996</v>
      </c>
      <c r="O304">
        <f t="shared" si="49"/>
        <v>2.4488144999999998E-3</v>
      </c>
      <c r="P304" s="4">
        <f t="shared" si="50"/>
        <v>2.190736268838549</v>
      </c>
    </row>
    <row r="305" spans="1:16" x14ac:dyDescent="0.75">
      <c r="A305">
        <v>3.04</v>
      </c>
      <c r="B305">
        <f t="shared" si="43"/>
        <v>4.9113720000000001</v>
      </c>
      <c r="C305">
        <f t="shared" si="51"/>
        <v>51.489999999999995</v>
      </c>
      <c r="D305">
        <f t="shared" si="52"/>
        <v>14527.172000000002</v>
      </c>
      <c r="E305">
        <f t="shared" si="44"/>
        <v>20.595999999999997</v>
      </c>
      <c r="K305">
        <f t="shared" si="45"/>
        <v>9.4408838825230347E-6</v>
      </c>
      <c r="L305">
        <f t="shared" si="46"/>
        <v>1.0298E-2</v>
      </c>
      <c r="M305">
        <f t="shared" si="47"/>
        <v>3.5767997022075473E-5</v>
      </c>
      <c r="N305">
        <f t="shared" si="48"/>
        <v>20.595999999999997</v>
      </c>
      <c r="O305">
        <f t="shared" si="49"/>
        <v>2.4555860000000005E-3</v>
      </c>
      <c r="P305" s="4">
        <f t="shared" si="50"/>
        <v>2.1932276228355709</v>
      </c>
    </row>
    <row r="306" spans="1:16" x14ac:dyDescent="0.75">
      <c r="A306">
        <v>3.05</v>
      </c>
      <c r="B306">
        <f t="shared" si="43"/>
        <v>4.9249149999999995</v>
      </c>
      <c r="C306">
        <f t="shared" si="51"/>
        <v>51.737499999999997</v>
      </c>
      <c r="D306">
        <f t="shared" si="52"/>
        <v>14594.739999999998</v>
      </c>
      <c r="E306">
        <f t="shared" si="44"/>
        <v>20.695</v>
      </c>
      <c r="K306">
        <f t="shared" si="45"/>
        <v>9.39572092024375E-6</v>
      </c>
      <c r="L306">
        <f t="shared" si="46"/>
        <v>1.0347500000000001E-2</v>
      </c>
      <c r="M306">
        <f t="shared" si="47"/>
        <v>3.5469645110198376E-5</v>
      </c>
      <c r="N306">
        <f t="shared" si="48"/>
        <v>20.695</v>
      </c>
      <c r="O306">
        <f t="shared" si="49"/>
        <v>2.4623574999999994E-3</v>
      </c>
      <c r="P306" s="4">
        <f t="shared" si="50"/>
        <v>2.1957254499806811</v>
      </c>
    </row>
    <row r="307" spans="1:16" x14ac:dyDescent="0.75">
      <c r="A307">
        <v>3.06</v>
      </c>
      <c r="B307">
        <f t="shared" si="43"/>
        <v>4.9384579999999998</v>
      </c>
      <c r="C307">
        <f t="shared" si="51"/>
        <v>51.984999999999999</v>
      </c>
      <c r="D307">
        <f t="shared" si="52"/>
        <v>14662.308000000001</v>
      </c>
      <c r="E307">
        <f t="shared" si="44"/>
        <v>20.794</v>
      </c>
      <c r="K307">
        <f t="shared" si="45"/>
        <v>9.3509879986748301E-6</v>
      </c>
      <c r="L307">
        <f t="shared" si="46"/>
        <v>1.0397E-2</v>
      </c>
      <c r="M307">
        <f t="shared" si="47"/>
        <v>3.5174134098511313E-5</v>
      </c>
      <c r="N307">
        <f t="shared" si="48"/>
        <v>20.794</v>
      </c>
      <c r="O307">
        <f t="shared" si="49"/>
        <v>2.4691289999999996E-3</v>
      </c>
      <c r="P307" s="4">
        <f t="shared" si="50"/>
        <v>2.1982297531147799</v>
      </c>
    </row>
    <row r="308" spans="1:16" x14ac:dyDescent="0.75">
      <c r="A308">
        <v>3.07</v>
      </c>
      <c r="B308">
        <f t="shared" si="43"/>
        <v>4.9520010000000001</v>
      </c>
      <c r="C308">
        <f t="shared" si="51"/>
        <v>52.232500000000002</v>
      </c>
      <c r="D308">
        <f t="shared" si="52"/>
        <v>14729.876</v>
      </c>
      <c r="E308">
        <f t="shared" si="44"/>
        <v>20.893000000000001</v>
      </c>
      <c r="K308">
        <f t="shared" si="45"/>
        <v>9.3066790046639729E-6</v>
      </c>
      <c r="L308">
        <f t="shared" si="46"/>
        <v>1.0446500000000001E-2</v>
      </c>
      <c r="M308">
        <f t="shared" si="47"/>
        <v>3.4881423602801558E-5</v>
      </c>
      <c r="N308">
        <f t="shared" si="48"/>
        <v>20.893000000000001</v>
      </c>
      <c r="O308">
        <f t="shared" si="49"/>
        <v>2.4759004999999998E-3</v>
      </c>
      <c r="P308" s="4">
        <f t="shared" si="50"/>
        <v>2.2007405350383826</v>
      </c>
    </row>
    <row r="309" spans="1:16" x14ac:dyDescent="0.75">
      <c r="A309">
        <v>3.08</v>
      </c>
      <c r="B309">
        <f t="shared" si="43"/>
        <v>4.9655440000000004</v>
      </c>
      <c r="C309">
        <f t="shared" si="51"/>
        <v>52.480000000000004</v>
      </c>
      <c r="D309">
        <f t="shared" si="52"/>
        <v>14797.444</v>
      </c>
      <c r="E309">
        <f t="shared" si="44"/>
        <v>20.992000000000001</v>
      </c>
      <c r="K309">
        <f t="shared" si="45"/>
        <v>9.2627879403794017E-6</v>
      </c>
      <c r="L309">
        <f t="shared" si="46"/>
        <v>1.0496000000000002E-2</v>
      </c>
      <c r="M309">
        <f t="shared" si="47"/>
        <v>3.4591474000677489E-5</v>
      </c>
      <c r="N309">
        <f t="shared" si="48"/>
        <v>20.992000000000001</v>
      </c>
      <c r="O309">
        <f t="shared" si="49"/>
        <v>2.4826720000000004E-3</v>
      </c>
      <c r="P309" s="4">
        <f t="shared" si="50"/>
        <v>2.2032577985123836</v>
      </c>
    </row>
    <row r="310" spans="1:16" x14ac:dyDescent="0.75">
      <c r="A310">
        <v>3.09</v>
      </c>
      <c r="B310">
        <f t="shared" si="43"/>
        <v>4.9790869999999998</v>
      </c>
      <c r="C310">
        <f t="shared" si="51"/>
        <v>52.727499999999992</v>
      </c>
      <c r="D310">
        <f t="shared" si="52"/>
        <v>14865.011999999999</v>
      </c>
      <c r="E310">
        <f t="shared" si="44"/>
        <v>21.090999999999998</v>
      </c>
      <c r="K310">
        <f t="shared" si="45"/>
        <v>9.2193089206033104E-6</v>
      </c>
      <c r="L310">
        <f t="shared" si="46"/>
        <v>1.0545499999999999E-2</v>
      </c>
      <c r="M310">
        <f t="shared" si="47"/>
        <v>3.430424641368882E-5</v>
      </c>
      <c r="N310">
        <f t="shared" si="48"/>
        <v>21.090999999999998</v>
      </c>
      <c r="O310">
        <f t="shared" si="49"/>
        <v>2.4894434999999998E-3</v>
      </c>
      <c r="P310" s="4">
        <f t="shared" si="50"/>
        <v>2.2057815462587973</v>
      </c>
    </row>
    <row r="311" spans="1:16" x14ac:dyDescent="0.75">
      <c r="A311">
        <v>3.1</v>
      </c>
      <c r="B311">
        <f t="shared" si="43"/>
        <v>4.9926300000000001</v>
      </c>
      <c r="C311">
        <f t="shared" si="51"/>
        <v>52.975000000000009</v>
      </c>
      <c r="D311">
        <f t="shared" si="52"/>
        <v>14932.580000000002</v>
      </c>
      <c r="E311">
        <f t="shared" si="44"/>
        <v>21.190000000000005</v>
      </c>
      <c r="K311">
        <f t="shared" si="45"/>
        <v>9.1762361701011976E-6</v>
      </c>
      <c r="L311">
        <f t="shared" si="46"/>
        <v>1.0595000000000002E-2</v>
      </c>
      <c r="M311">
        <f t="shared" si="47"/>
        <v>3.4019702689948073E-5</v>
      </c>
      <c r="N311">
        <f t="shared" si="48"/>
        <v>21.190000000000005</v>
      </c>
      <c r="O311">
        <f t="shared" si="49"/>
        <v>2.496215E-3</v>
      </c>
      <c r="P311" s="4">
        <f t="shared" si="50"/>
        <v>2.2083117809614872</v>
      </c>
    </row>
    <row r="312" spans="1:16" x14ac:dyDescent="0.75">
      <c r="A312">
        <v>3.11</v>
      </c>
      <c r="B312">
        <f t="shared" si="43"/>
        <v>5.0061729999999995</v>
      </c>
      <c r="C312">
        <f t="shared" si="51"/>
        <v>53.222499999999997</v>
      </c>
      <c r="D312">
        <f t="shared" si="52"/>
        <v>15000.148000000001</v>
      </c>
      <c r="E312">
        <f t="shared" si="44"/>
        <v>21.288999999999998</v>
      </c>
      <c r="K312">
        <f t="shared" si="45"/>
        <v>9.1335640210646065E-6</v>
      </c>
      <c r="L312">
        <f t="shared" si="46"/>
        <v>1.0644499999999999E-2</v>
      </c>
      <c r="M312">
        <f t="shared" si="47"/>
        <v>3.373780538723701E-5</v>
      </c>
      <c r="N312">
        <f t="shared" si="48"/>
        <v>21.288999999999998</v>
      </c>
      <c r="O312">
        <f t="shared" si="49"/>
        <v>2.5029864999999997E-3</v>
      </c>
      <c r="P312" s="4">
        <f t="shared" si="50"/>
        <v>2.2108485052668745</v>
      </c>
    </row>
    <row r="313" spans="1:16" x14ac:dyDescent="0.75">
      <c r="A313">
        <v>3.12</v>
      </c>
      <c r="B313">
        <f t="shared" si="43"/>
        <v>5.0197159999999998</v>
      </c>
      <c r="C313">
        <f t="shared" si="51"/>
        <v>53.47</v>
      </c>
      <c r="D313">
        <f t="shared" si="52"/>
        <v>15067.716</v>
      </c>
      <c r="E313">
        <f t="shared" si="44"/>
        <v>21.387999999999998</v>
      </c>
      <c r="K313">
        <f t="shared" si="45"/>
        <v>9.091286910624856E-6</v>
      </c>
      <c r="L313">
        <f t="shared" si="46"/>
        <v>1.0694E-2</v>
      </c>
      <c r="M313">
        <f t="shared" si="47"/>
        <v>3.3458517756582085E-5</v>
      </c>
      <c r="N313">
        <f t="shared" si="48"/>
        <v>21.387999999999998</v>
      </c>
      <c r="O313">
        <f t="shared" si="49"/>
        <v>2.509758E-3</v>
      </c>
      <c r="P313" s="4">
        <f t="shared" si="50"/>
        <v>2.2133917217846308</v>
      </c>
    </row>
    <row r="314" spans="1:16" x14ac:dyDescent="0.75">
      <c r="A314">
        <v>3.13</v>
      </c>
      <c r="B314">
        <f t="shared" si="43"/>
        <v>5.0332590000000001</v>
      </c>
      <c r="C314">
        <f t="shared" si="51"/>
        <v>53.717500000000001</v>
      </c>
      <c r="D314">
        <f t="shared" si="52"/>
        <v>15135.284</v>
      </c>
      <c r="E314">
        <f t="shared" si="44"/>
        <v>21.487000000000002</v>
      </c>
      <c r="K314">
        <f t="shared" si="45"/>
        <v>9.0493993784355378E-6</v>
      </c>
      <c r="L314">
        <f t="shared" si="46"/>
        <v>1.0743500000000001E-2</v>
      </c>
      <c r="M314">
        <f t="shared" si="47"/>
        <v>3.3181803726284094E-5</v>
      </c>
      <c r="N314">
        <f t="shared" si="48"/>
        <v>21.487000000000002</v>
      </c>
      <c r="O314">
        <f t="shared" si="49"/>
        <v>2.5165294999999997E-3</v>
      </c>
      <c r="P314" s="4">
        <f t="shared" si="50"/>
        <v>2.2159414330883571</v>
      </c>
    </row>
    <row r="315" spans="1:16" x14ac:dyDescent="0.75">
      <c r="A315">
        <v>3.14</v>
      </c>
      <c r="B315">
        <f t="shared" si="43"/>
        <v>5.0468020000000005</v>
      </c>
      <c r="C315">
        <f t="shared" si="51"/>
        <v>53.965000000000003</v>
      </c>
      <c r="D315">
        <f t="shared" si="52"/>
        <v>15202.852000000003</v>
      </c>
      <c r="E315">
        <f t="shared" si="44"/>
        <v>21.586000000000002</v>
      </c>
      <c r="K315">
        <f t="shared" si="45"/>
        <v>9.0078960643215234E-6</v>
      </c>
      <c r="L315">
        <f t="shared" si="46"/>
        <v>1.0793000000000001E-2</v>
      </c>
      <c r="M315">
        <f t="shared" si="47"/>
        <v>3.2907627886387247E-5</v>
      </c>
      <c r="N315">
        <f t="shared" si="48"/>
        <v>21.586000000000002</v>
      </c>
      <c r="O315">
        <f t="shared" si="49"/>
        <v>2.5233009999999999E-3</v>
      </c>
      <c r="P315" s="4">
        <f t="shared" si="50"/>
        <v>2.2184976417162434</v>
      </c>
    </row>
    <row r="316" spans="1:16" x14ac:dyDescent="0.75">
      <c r="A316">
        <v>3.15</v>
      </c>
      <c r="B316">
        <f t="shared" si="43"/>
        <v>5.0603449999999999</v>
      </c>
      <c r="C316">
        <f t="shared" si="51"/>
        <v>54.212499999999991</v>
      </c>
      <c r="D316">
        <f t="shared" si="52"/>
        <v>15270.419999999998</v>
      </c>
      <c r="E316">
        <f t="shared" si="44"/>
        <v>21.684999999999995</v>
      </c>
      <c r="K316">
        <f t="shared" si="45"/>
        <v>8.9667717059923656E-6</v>
      </c>
      <c r="L316">
        <f t="shared" si="46"/>
        <v>1.0842499999999998E-2</v>
      </c>
      <c r="M316">
        <f t="shared" si="47"/>
        <v>3.2635955473573642E-5</v>
      </c>
      <c r="N316">
        <f t="shared" si="48"/>
        <v>21.684999999999995</v>
      </c>
      <c r="O316">
        <f t="shared" si="49"/>
        <v>2.5300724999999997E-3</v>
      </c>
      <c r="P316" s="4">
        <f t="shared" si="50"/>
        <v>2.221060350171717</v>
      </c>
    </row>
    <row r="317" spans="1:16" x14ac:dyDescent="0.75">
      <c r="A317">
        <v>3.16</v>
      </c>
      <c r="B317">
        <f t="shared" si="43"/>
        <v>5.0738880000000002</v>
      </c>
      <c r="C317">
        <f t="shared" si="51"/>
        <v>54.460000000000008</v>
      </c>
      <c r="D317">
        <f t="shared" si="52"/>
        <v>15337.988000000001</v>
      </c>
      <c r="E317">
        <f t="shared" si="44"/>
        <v>21.784000000000002</v>
      </c>
      <c r="K317">
        <f t="shared" si="45"/>
        <v>8.9260211368180485E-6</v>
      </c>
      <c r="L317">
        <f t="shared" si="46"/>
        <v>1.0892000000000002E-2</v>
      </c>
      <c r="M317">
        <f t="shared" si="47"/>
        <v>3.2366752356469559E-5</v>
      </c>
      <c r="N317">
        <f t="shared" si="48"/>
        <v>21.784000000000002</v>
      </c>
      <c r="O317">
        <f t="shared" si="49"/>
        <v>2.5368439999999999E-3</v>
      </c>
      <c r="P317" s="4">
        <f t="shared" si="50"/>
        <v>2.2236295609240737</v>
      </c>
    </row>
    <row r="318" spans="1:16" x14ac:dyDescent="0.75">
      <c r="A318">
        <v>3.17</v>
      </c>
      <c r="B318">
        <f t="shared" si="43"/>
        <v>5.0874309999999996</v>
      </c>
      <c r="C318">
        <f t="shared" si="51"/>
        <v>54.707499999999996</v>
      </c>
      <c r="D318">
        <f t="shared" si="52"/>
        <v>15405.556</v>
      </c>
      <c r="E318">
        <f t="shared" si="44"/>
        <v>21.882999999999999</v>
      </c>
      <c r="K318">
        <f t="shared" si="45"/>
        <v>8.8856392836651474E-6</v>
      </c>
      <c r="L318">
        <f t="shared" si="46"/>
        <v>1.09415E-2</v>
      </c>
      <c r="M318">
        <f t="shared" si="47"/>
        <v>3.2099985021350915E-5</v>
      </c>
      <c r="N318">
        <f t="shared" si="48"/>
        <v>21.882999999999999</v>
      </c>
      <c r="O318">
        <f t="shared" si="49"/>
        <v>2.5436154999999997E-3</v>
      </c>
      <c r="P318" s="4">
        <f t="shared" si="50"/>
        <v>2.2262052764090949</v>
      </c>
    </row>
    <row r="319" spans="1:16" x14ac:dyDescent="0.75">
      <c r="A319">
        <v>3.18</v>
      </c>
      <c r="B319">
        <f t="shared" si="43"/>
        <v>5.1009739999999999</v>
      </c>
      <c r="C319">
        <f t="shared" si="51"/>
        <v>54.954999999999998</v>
      </c>
      <c r="D319">
        <f t="shared" si="52"/>
        <v>15473.124000000003</v>
      </c>
      <c r="E319">
        <f t="shared" si="44"/>
        <v>21.981999999999999</v>
      </c>
      <c r="K319">
        <f t="shared" si="45"/>
        <v>8.8456211647913928E-6</v>
      </c>
      <c r="L319">
        <f t="shared" si="46"/>
        <v>1.0991000000000001E-2</v>
      </c>
      <c r="M319">
        <f t="shared" si="47"/>
        <v>3.1835620558234501E-5</v>
      </c>
      <c r="N319">
        <f t="shared" si="48"/>
        <v>21.981999999999999</v>
      </c>
      <c r="O319">
        <f t="shared" si="49"/>
        <v>2.5503869999999999E-3</v>
      </c>
      <c r="P319" s="4">
        <f t="shared" si="50"/>
        <v>2.2287874990296532</v>
      </c>
    </row>
    <row r="320" spans="1:16" x14ac:dyDescent="0.75">
      <c r="A320">
        <v>3.19</v>
      </c>
      <c r="B320">
        <f t="shared" si="43"/>
        <v>5.1145170000000002</v>
      </c>
      <c r="C320">
        <f t="shared" si="51"/>
        <v>55.202500000000001</v>
      </c>
      <c r="D320">
        <f t="shared" si="52"/>
        <v>15540.691999999999</v>
      </c>
      <c r="E320">
        <f t="shared" si="44"/>
        <v>22.081</v>
      </c>
      <c r="K320">
        <f t="shared" si="45"/>
        <v>8.8059618877969483E-6</v>
      </c>
      <c r="L320">
        <f t="shared" si="46"/>
        <v>1.10405E-2</v>
      </c>
      <c r="M320">
        <f t="shared" si="47"/>
        <v>3.1573626647343856E-5</v>
      </c>
      <c r="N320">
        <f t="shared" si="48"/>
        <v>22.081</v>
      </c>
      <c r="O320">
        <f t="shared" si="49"/>
        <v>2.5571585000000001E-3</v>
      </c>
      <c r="P320" s="4">
        <f t="shared" si="50"/>
        <v>2.2313762311563008</v>
      </c>
    </row>
    <row r="321" spans="1:16" x14ac:dyDescent="0.75">
      <c r="A321">
        <v>3.2</v>
      </c>
      <c r="B321">
        <f t="shared" si="43"/>
        <v>5.1280600000000005</v>
      </c>
      <c r="C321">
        <f t="shared" si="51"/>
        <v>55.45</v>
      </c>
      <c r="D321">
        <f t="shared" si="52"/>
        <v>15608.260000000002</v>
      </c>
      <c r="E321">
        <f t="shared" si="44"/>
        <v>22.18</v>
      </c>
      <c r="K321">
        <f t="shared" si="45"/>
        <v>8.7666566476304968E-6</v>
      </c>
      <c r="L321">
        <f t="shared" si="46"/>
        <v>1.1090000000000001E-2</v>
      </c>
      <c r="M321">
        <f t="shared" si="47"/>
        <v>3.1313971545937264E-5</v>
      </c>
      <c r="N321">
        <f t="shared" si="48"/>
        <v>22.18</v>
      </c>
      <c r="O321">
        <f t="shared" si="49"/>
        <v>2.5639300000000003E-3</v>
      </c>
      <c r="P321" s="4">
        <f t="shared" si="50"/>
        <v>2.2339714751278468</v>
      </c>
    </row>
    <row r="322" spans="1:16" x14ac:dyDescent="0.75">
      <c r="A322">
        <v>3.21</v>
      </c>
      <c r="B322">
        <f t="shared" ref="B322:B385" si="53">1.3543*A322+0.7943</f>
        <v>5.1416029999999999</v>
      </c>
      <c r="C322">
        <f t="shared" si="51"/>
        <v>55.697500000000005</v>
      </c>
      <c r="D322">
        <f t="shared" si="52"/>
        <v>15675.828000000001</v>
      </c>
      <c r="E322">
        <f t="shared" ref="E322:E385" si="54">C322/($J$2*$J$4)</f>
        <v>22.279000000000003</v>
      </c>
      <c r="K322">
        <f t="shared" ref="K322:K385" si="55">$I$501/E322</f>
        <v>8.7277007246485206E-6</v>
      </c>
      <c r="L322">
        <f t="shared" si="46"/>
        <v>1.1139500000000002E-2</v>
      </c>
      <c r="M322">
        <f t="shared" si="47"/>
        <v>3.1056624075487118E-5</v>
      </c>
      <c r="N322">
        <f t="shared" si="48"/>
        <v>22.279000000000003</v>
      </c>
      <c r="O322">
        <f t="shared" si="49"/>
        <v>2.5707014999999996E-3</v>
      </c>
      <c r="P322" s="4">
        <f t="shared" si="50"/>
        <v>2.2365732332519221</v>
      </c>
    </row>
    <row r="323" spans="1:16" x14ac:dyDescent="0.75">
      <c r="A323">
        <v>3.22</v>
      </c>
      <c r="B323">
        <f t="shared" si="53"/>
        <v>5.1551460000000002</v>
      </c>
      <c r="C323">
        <f t="shared" si="51"/>
        <v>55.945000000000007</v>
      </c>
      <c r="D323">
        <f t="shared" si="52"/>
        <v>15743.396000000001</v>
      </c>
      <c r="E323">
        <f t="shared" si="54"/>
        <v>22.378000000000004</v>
      </c>
      <c r="K323">
        <f t="shared" si="55"/>
        <v>8.6890894827260869E-6</v>
      </c>
      <c r="L323">
        <f t="shared" ref="L323:L386" si="56">$F$2*C323</f>
        <v>1.1189000000000003E-2</v>
      </c>
      <c r="M323">
        <f t="shared" ref="M323:M386" si="57">K323*($H$2-B323)</f>
        <v>3.080155360919949E-5</v>
      </c>
      <c r="N323">
        <f t="shared" ref="N323:N386" si="58">C323/$J$2</f>
        <v>22.378000000000004</v>
      </c>
      <c r="O323">
        <f t="shared" ref="O323:O386" si="59">L323/N323*(B323-$F$2)</f>
        <v>2.5774729999999998E-3</v>
      </c>
      <c r="P323" s="4">
        <f t="shared" si="50"/>
        <v>2.2391815078055313</v>
      </c>
    </row>
    <row r="324" spans="1:16" x14ac:dyDescent="0.75">
      <c r="A324">
        <v>3.23</v>
      </c>
      <c r="B324">
        <f t="shared" si="53"/>
        <v>5.1686889999999996</v>
      </c>
      <c r="C324">
        <f t="shared" si="51"/>
        <v>56.192499999999995</v>
      </c>
      <c r="D324">
        <f t="shared" si="52"/>
        <v>15810.964</v>
      </c>
      <c r="E324">
        <f t="shared" si="54"/>
        <v>22.476999999999997</v>
      </c>
      <c r="K324">
        <f t="shared" si="55"/>
        <v>8.6508183674175572E-6</v>
      </c>
      <c r="L324">
        <f t="shared" si="56"/>
        <v>1.12385E-2</v>
      </c>
      <c r="M324">
        <f t="shared" si="57"/>
        <v>3.0548730059863657E-5</v>
      </c>
      <c r="N324">
        <f t="shared" si="58"/>
        <v>22.476999999999997</v>
      </c>
      <c r="O324">
        <f t="shared" si="59"/>
        <v>2.5842445E-3</v>
      </c>
      <c r="P324" s="4">
        <f t="shared" ref="P324:P387" si="60">P323+O324+M324</f>
        <v>2.241796301035591</v>
      </c>
    </row>
    <row r="325" spans="1:16" x14ac:dyDescent="0.75">
      <c r="A325">
        <v>3.24</v>
      </c>
      <c r="B325">
        <f t="shared" si="53"/>
        <v>5.1822319999999999</v>
      </c>
      <c r="C325">
        <f t="shared" si="51"/>
        <v>56.440000000000012</v>
      </c>
      <c r="D325">
        <f t="shared" si="52"/>
        <v>15878.532000000003</v>
      </c>
      <c r="E325">
        <f t="shared" si="54"/>
        <v>22.576000000000004</v>
      </c>
      <c r="K325">
        <f t="shared" si="55"/>
        <v>8.6128829041656796E-6</v>
      </c>
      <c r="L325">
        <f t="shared" si="56"/>
        <v>1.1288000000000003E-2</v>
      </c>
      <c r="M325">
        <f t="shared" si="57"/>
        <v>3.0298123868021089E-5</v>
      </c>
      <c r="N325">
        <f t="shared" si="58"/>
        <v>22.576000000000004</v>
      </c>
      <c r="O325">
        <f t="shared" si="59"/>
        <v>2.5910159999999998E-3</v>
      </c>
      <c r="P325" s="4">
        <f t="shared" si="60"/>
        <v>2.2444176151594588</v>
      </c>
    </row>
    <row r="326" spans="1:16" x14ac:dyDescent="0.75">
      <c r="A326">
        <v>3.25</v>
      </c>
      <c r="B326">
        <f t="shared" si="53"/>
        <v>5.1957750000000003</v>
      </c>
      <c r="C326">
        <f t="shared" si="51"/>
        <v>56.6875</v>
      </c>
      <c r="D326">
        <f t="shared" si="52"/>
        <v>15946.100000000002</v>
      </c>
      <c r="E326">
        <f t="shared" si="54"/>
        <v>22.675000000000001</v>
      </c>
      <c r="K326">
        <f t="shared" si="55"/>
        <v>8.5752786965576362E-6</v>
      </c>
      <c r="L326">
        <f t="shared" si="56"/>
        <v>1.13375E-2</v>
      </c>
      <c r="M326">
        <f t="shared" si="57"/>
        <v>3.0049705990444673E-5</v>
      </c>
      <c r="N326">
        <f t="shared" si="58"/>
        <v>22.675000000000001</v>
      </c>
      <c r="O326">
        <f t="shared" si="59"/>
        <v>2.5977875E-3</v>
      </c>
      <c r="P326" s="4">
        <f t="shared" si="60"/>
        <v>2.2470454523654495</v>
      </c>
    </row>
    <row r="327" spans="1:16" x14ac:dyDescent="0.75">
      <c r="A327">
        <v>3.26</v>
      </c>
      <c r="B327">
        <f t="shared" si="53"/>
        <v>5.2093179999999997</v>
      </c>
      <c r="C327">
        <f t="shared" si="51"/>
        <v>56.934999999999988</v>
      </c>
      <c r="D327">
        <f t="shared" si="52"/>
        <v>16013.667999999998</v>
      </c>
      <c r="E327">
        <f t="shared" si="54"/>
        <v>22.773999999999994</v>
      </c>
      <c r="K327">
        <f t="shared" si="55"/>
        <v>8.5380014246265235E-6</v>
      </c>
      <c r="L327">
        <f t="shared" si="56"/>
        <v>1.1386999999999998E-2</v>
      </c>
      <c r="M327">
        <f t="shared" si="57"/>
        <v>2.9803447888918159E-5</v>
      </c>
      <c r="N327">
        <f t="shared" si="58"/>
        <v>22.773999999999994</v>
      </c>
      <c r="O327">
        <f t="shared" si="59"/>
        <v>2.6045589999999998E-3</v>
      </c>
      <c r="P327" s="4">
        <f t="shared" si="60"/>
        <v>2.2496798148133381</v>
      </c>
    </row>
    <row r="328" spans="1:16" x14ac:dyDescent="0.75">
      <c r="A328">
        <v>3.27</v>
      </c>
      <c r="B328">
        <f t="shared" si="53"/>
        <v>5.222861</v>
      </c>
      <c r="C328">
        <f t="shared" si="51"/>
        <v>57.182500000000005</v>
      </c>
      <c r="D328">
        <f t="shared" si="52"/>
        <v>16081.236000000001</v>
      </c>
      <c r="E328">
        <f t="shared" si="54"/>
        <v>22.873000000000001</v>
      </c>
      <c r="K328">
        <f t="shared" si="55"/>
        <v>8.5010468431969752E-6</v>
      </c>
      <c r="L328">
        <f t="shared" si="56"/>
        <v>1.1436500000000002E-2</v>
      </c>
      <c r="M328">
        <f t="shared" si="57"/>
        <v>2.9559321519307081E-5</v>
      </c>
      <c r="N328">
        <f t="shared" si="58"/>
        <v>22.873000000000001</v>
      </c>
      <c r="O328">
        <f t="shared" si="59"/>
        <v>2.6113305000000004E-3</v>
      </c>
      <c r="P328" s="4">
        <f t="shared" si="60"/>
        <v>2.2523207046348577</v>
      </c>
    </row>
    <row r="329" spans="1:16" x14ac:dyDescent="0.75">
      <c r="A329">
        <v>3.28</v>
      </c>
      <c r="B329">
        <f t="shared" si="53"/>
        <v>5.2364039999999994</v>
      </c>
      <c r="C329">
        <f t="shared" si="51"/>
        <v>57.429999999999993</v>
      </c>
      <c r="D329">
        <f t="shared" si="52"/>
        <v>16148.804</v>
      </c>
      <c r="E329">
        <f t="shared" si="54"/>
        <v>22.971999999999998</v>
      </c>
      <c r="K329">
        <f t="shared" si="55"/>
        <v>8.4644107802735683E-6</v>
      </c>
      <c r="L329">
        <f t="shared" si="56"/>
        <v>1.1486E-2</v>
      </c>
      <c r="M329">
        <f t="shared" si="57"/>
        <v>2.931729932091241E-5</v>
      </c>
      <c r="N329">
        <f t="shared" si="58"/>
        <v>22.971999999999998</v>
      </c>
      <c r="O329">
        <f t="shared" si="59"/>
        <v>2.6181019999999998E-3</v>
      </c>
      <c r="P329" s="4">
        <f t="shared" si="60"/>
        <v>2.2549681239341788</v>
      </c>
    </row>
    <row r="330" spans="1:16" x14ac:dyDescent="0.75">
      <c r="A330">
        <v>3.29</v>
      </c>
      <c r="B330">
        <f t="shared" si="53"/>
        <v>5.2499469999999997</v>
      </c>
      <c r="C330">
        <f t="shared" si="51"/>
        <v>57.677499999999995</v>
      </c>
      <c r="D330">
        <f t="shared" si="52"/>
        <v>16216.371999999999</v>
      </c>
      <c r="E330">
        <f t="shared" si="54"/>
        <v>23.070999999999998</v>
      </c>
      <c r="K330">
        <f t="shared" si="55"/>
        <v>8.4280891354706953E-6</v>
      </c>
      <c r="L330">
        <f t="shared" si="56"/>
        <v>1.1535499999999999E-2</v>
      </c>
      <c r="M330">
        <f t="shared" si="57"/>
        <v>2.9077354206098076E-5</v>
      </c>
      <c r="N330">
        <f t="shared" si="58"/>
        <v>23.070999999999998</v>
      </c>
      <c r="O330">
        <f t="shared" si="59"/>
        <v>2.6248734999999995E-3</v>
      </c>
      <c r="P330" s="4">
        <f t="shared" si="60"/>
        <v>2.2576220747883848</v>
      </c>
    </row>
    <row r="331" spans="1:16" x14ac:dyDescent="0.75">
      <c r="A331">
        <v>3.3</v>
      </c>
      <c r="B331">
        <f t="shared" si="53"/>
        <v>5.26349</v>
      </c>
      <c r="C331">
        <f t="shared" si="51"/>
        <v>57.924999999999997</v>
      </c>
      <c r="D331">
        <f t="shared" si="52"/>
        <v>16283.939999999999</v>
      </c>
      <c r="E331">
        <f t="shared" si="54"/>
        <v>23.169999999999998</v>
      </c>
      <c r="K331">
        <f t="shared" si="55"/>
        <v>8.3920778784827106E-6</v>
      </c>
      <c r="L331">
        <f t="shared" si="56"/>
        <v>1.1585E-2</v>
      </c>
      <c r="M331">
        <f t="shared" si="57"/>
        <v>2.8839459550184615E-5</v>
      </c>
      <c r="N331">
        <f t="shared" si="58"/>
        <v>23.169999999999998</v>
      </c>
      <c r="O331">
        <f t="shared" si="59"/>
        <v>2.6316449999999997E-3</v>
      </c>
      <c r="P331" s="4">
        <f t="shared" si="60"/>
        <v>2.2602825592479352</v>
      </c>
    </row>
    <row r="332" spans="1:16" x14ac:dyDescent="0.75">
      <c r="A332">
        <v>3.31</v>
      </c>
      <c r="B332">
        <f t="shared" si="53"/>
        <v>5.2770330000000003</v>
      </c>
      <c r="C332">
        <f t="shared" si="51"/>
        <v>58.172499999999999</v>
      </c>
      <c r="D332">
        <f t="shared" si="52"/>
        <v>16351.508000000002</v>
      </c>
      <c r="E332">
        <f t="shared" si="54"/>
        <v>23.268999999999998</v>
      </c>
      <c r="K332">
        <f t="shared" si="55"/>
        <v>8.3563730475931241E-6</v>
      </c>
      <c r="L332">
        <f t="shared" si="56"/>
        <v>1.1634500000000001E-2</v>
      </c>
      <c r="M332">
        <f t="shared" si="57"/>
        <v>2.8603589181600684E-5</v>
      </c>
      <c r="N332">
        <f t="shared" si="58"/>
        <v>23.268999999999998</v>
      </c>
      <c r="O332">
        <f t="shared" si="59"/>
        <v>2.6384165000000004E-3</v>
      </c>
      <c r="P332" s="4">
        <f t="shared" si="60"/>
        <v>2.2629495793371168</v>
      </c>
    </row>
    <row r="333" spans="1:16" x14ac:dyDescent="0.75">
      <c r="A333">
        <v>3.32</v>
      </c>
      <c r="B333">
        <f t="shared" si="53"/>
        <v>5.2905759999999997</v>
      </c>
      <c r="C333">
        <f t="shared" si="51"/>
        <v>58.42</v>
      </c>
      <c r="D333">
        <f t="shared" si="52"/>
        <v>16419.076000000001</v>
      </c>
      <c r="E333">
        <f t="shared" si="54"/>
        <v>23.368000000000002</v>
      </c>
      <c r="K333">
        <f t="shared" si="55"/>
        <v>8.320970748221687E-6</v>
      </c>
      <c r="L333">
        <f t="shared" si="56"/>
        <v>1.1684000000000002E-2</v>
      </c>
      <c r="M333">
        <f t="shared" si="57"/>
        <v>2.8369717372284974E-5</v>
      </c>
      <c r="N333">
        <f t="shared" si="58"/>
        <v>23.368000000000002</v>
      </c>
      <c r="O333">
        <f t="shared" si="59"/>
        <v>2.6451879999999997E-3</v>
      </c>
      <c r="P333" s="4">
        <f t="shared" si="60"/>
        <v>2.2656231370544888</v>
      </c>
    </row>
    <row r="334" spans="1:16" x14ac:dyDescent="0.75">
      <c r="A334">
        <v>3.33</v>
      </c>
      <c r="B334">
        <f t="shared" si="53"/>
        <v>5.304119</v>
      </c>
      <c r="C334">
        <f t="shared" si="51"/>
        <v>58.667500000000004</v>
      </c>
      <c r="D334">
        <f t="shared" si="52"/>
        <v>16486.644</v>
      </c>
      <c r="E334">
        <f t="shared" si="54"/>
        <v>23.467000000000002</v>
      </c>
      <c r="K334">
        <f t="shared" si="55"/>
        <v>8.2858671515082627E-6</v>
      </c>
      <c r="L334">
        <f t="shared" si="56"/>
        <v>1.1733500000000001E-2</v>
      </c>
      <c r="M334">
        <f t="shared" si="57"/>
        <v>2.8137818828331025E-5</v>
      </c>
      <c r="N334">
        <f t="shared" si="58"/>
        <v>23.467000000000002</v>
      </c>
      <c r="O334">
        <f t="shared" si="59"/>
        <v>2.6519594999999999E-3</v>
      </c>
      <c r="P334" s="4">
        <f t="shared" si="60"/>
        <v>2.2683032343733172</v>
      </c>
    </row>
    <row r="335" spans="1:16" x14ac:dyDescent="0.75">
      <c r="A335">
        <v>3.34</v>
      </c>
      <c r="B335">
        <f t="shared" si="53"/>
        <v>5.3176619999999994</v>
      </c>
      <c r="C335">
        <f t="shared" si="51"/>
        <v>58.914999999999992</v>
      </c>
      <c r="D335">
        <f t="shared" si="52"/>
        <v>16554.212</v>
      </c>
      <c r="E335">
        <f t="shared" si="54"/>
        <v>23.565999999999995</v>
      </c>
      <c r="K335">
        <f t="shared" si="55"/>
        <v>8.2510584929323786E-6</v>
      </c>
      <c r="L335">
        <f t="shared" si="56"/>
        <v>1.1782999999999998E-2</v>
      </c>
      <c r="M335">
        <f t="shared" si="57"/>
        <v>2.7907868680867916E-5</v>
      </c>
      <c r="N335">
        <f t="shared" si="58"/>
        <v>23.565999999999995</v>
      </c>
      <c r="O335">
        <f t="shared" si="59"/>
        <v>2.6587309999999997E-3</v>
      </c>
      <c r="P335" s="4">
        <f t="shared" si="60"/>
        <v>2.270989873241998</v>
      </c>
    </row>
    <row r="336" spans="1:16" x14ac:dyDescent="0.75">
      <c r="A336">
        <v>3.35</v>
      </c>
      <c r="B336">
        <f t="shared" si="53"/>
        <v>5.3312049999999997</v>
      </c>
      <c r="C336">
        <f t="shared" si="51"/>
        <v>59.162500000000009</v>
      </c>
      <c r="D336">
        <f t="shared" si="52"/>
        <v>16621.780000000002</v>
      </c>
      <c r="E336">
        <f t="shared" si="54"/>
        <v>23.665000000000003</v>
      </c>
      <c r="K336">
        <f t="shared" si="55"/>
        <v>8.2165410709674363E-6</v>
      </c>
      <c r="L336">
        <f t="shared" si="56"/>
        <v>1.1832500000000003E-2</v>
      </c>
      <c r="M336">
        <f t="shared" si="57"/>
        <v>2.767984247716974E-5</v>
      </c>
      <c r="N336">
        <f t="shared" si="58"/>
        <v>23.665000000000003</v>
      </c>
      <c r="O336">
        <f t="shared" si="59"/>
        <v>2.6655024999999999E-3</v>
      </c>
      <c r="P336" s="4">
        <f t="shared" si="60"/>
        <v>2.2736830555844754</v>
      </c>
    </row>
    <row r="337" spans="1:16" x14ac:dyDescent="0.75">
      <c r="A337">
        <v>3.36</v>
      </c>
      <c r="B337">
        <f t="shared" si="53"/>
        <v>5.3447480000000001</v>
      </c>
      <c r="C337">
        <f t="shared" si="51"/>
        <v>59.41</v>
      </c>
      <c r="D337">
        <f t="shared" si="52"/>
        <v>16689.347999999998</v>
      </c>
      <c r="E337">
        <f t="shared" si="54"/>
        <v>23.763999999999999</v>
      </c>
      <c r="K337">
        <f t="shared" si="55"/>
        <v>8.1823112457685744E-6</v>
      </c>
      <c r="L337">
        <f t="shared" si="56"/>
        <v>1.1882E-2</v>
      </c>
      <c r="M337">
        <f t="shared" si="57"/>
        <v>2.7453716171987494E-5</v>
      </c>
      <c r="N337">
        <f t="shared" si="58"/>
        <v>23.763999999999999</v>
      </c>
      <c r="O337">
        <f t="shared" si="59"/>
        <v>2.6722739999999997E-3</v>
      </c>
      <c r="P337" s="4">
        <f t="shared" si="60"/>
        <v>2.2763827833006474</v>
      </c>
    </row>
    <row r="338" spans="1:16" x14ac:dyDescent="0.75">
      <c r="A338">
        <v>3.37</v>
      </c>
      <c r="B338">
        <f t="shared" si="53"/>
        <v>5.3582910000000004</v>
      </c>
      <c r="C338">
        <f t="shared" si="51"/>
        <v>59.657499999999999</v>
      </c>
      <c r="D338">
        <f t="shared" si="52"/>
        <v>16756.916000000001</v>
      </c>
      <c r="E338">
        <f t="shared" si="54"/>
        <v>23.863</v>
      </c>
      <c r="K338">
        <f t="shared" si="55"/>
        <v>8.1483654378931578E-6</v>
      </c>
      <c r="L338">
        <f t="shared" si="56"/>
        <v>1.1931500000000001E-2</v>
      </c>
      <c r="M338">
        <f t="shared" si="57"/>
        <v>2.7229466119096496E-5</v>
      </c>
      <c r="N338">
        <f t="shared" si="58"/>
        <v>23.863</v>
      </c>
      <c r="O338">
        <f t="shared" si="59"/>
        <v>2.6790454999999999E-3</v>
      </c>
      <c r="P338" s="4">
        <f t="shared" si="60"/>
        <v>2.2790890582667664</v>
      </c>
    </row>
    <row r="339" spans="1:16" x14ac:dyDescent="0.75">
      <c r="A339">
        <v>3.38</v>
      </c>
      <c r="B339">
        <f t="shared" si="53"/>
        <v>5.3718339999999998</v>
      </c>
      <c r="C339">
        <f t="shared" si="51"/>
        <v>59.905000000000001</v>
      </c>
      <c r="D339">
        <f t="shared" si="52"/>
        <v>16824.484</v>
      </c>
      <c r="E339">
        <f t="shared" si="54"/>
        <v>23.962</v>
      </c>
      <c r="K339">
        <f t="shared" si="55"/>
        <v>8.114700127053018E-6</v>
      </c>
      <c r="L339">
        <f t="shared" si="56"/>
        <v>1.1981E-2</v>
      </c>
      <c r="M339">
        <f t="shared" si="57"/>
        <v>2.7007069063053532E-5</v>
      </c>
      <c r="N339">
        <f t="shared" si="58"/>
        <v>23.962</v>
      </c>
      <c r="O339">
        <f t="shared" si="59"/>
        <v>2.6858169999999996E-3</v>
      </c>
      <c r="P339" s="4">
        <f t="shared" si="60"/>
        <v>2.2818018823358295</v>
      </c>
    </row>
    <row r="340" spans="1:16" x14ac:dyDescent="0.75">
      <c r="A340">
        <v>3.39</v>
      </c>
      <c r="B340">
        <f t="shared" si="53"/>
        <v>5.3853770000000001</v>
      </c>
      <c r="C340">
        <f t="shared" si="51"/>
        <v>60.152500000000003</v>
      </c>
      <c r="D340">
        <f t="shared" si="52"/>
        <v>16892.052</v>
      </c>
      <c r="E340">
        <f t="shared" si="54"/>
        <v>24.061</v>
      </c>
      <c r="K340">
        <f t="shared" si="55"/>
        <v>8.0813118508974861E-6</v>
      </c>
      <c r="L340">
        <f t="shared" si="56"/>
        <v>1.2030500000000001E-2</v>
      </c>
      <c r="M340">
        <f t="shared" si="57"/>
        <v>2.6786502131157371E-5</v>
      </c>
      <c r="N340">
        <f t="shared" si="58"/>
        <v>24.061</v>
      </c>
      <c r="O340">
        <f t="shared" si="59"/>
        <v>2.6925884999999998E-3</v>
      </c>
      <c r="P340" s="4">
        <f t="shared" si="60"/>
        <v>2.2845212573379605</v>
      </c>
    </row>
    <row r="341" spans="1:16" x14ac:dyDescent="0.75">
      <c r="A341">
        <v>3.4</v>
      </c>
      <c r="B341">
        <f t="shared" si="53"/>
        <v>5.3989199999999995</v>
      </c>
      <c r="C341">
        <f t="shared" si="51"/>
        <v>60.399999999999991</v>
      </c>
      <c r="D341">
        <f t="shared" si="52"/>
        <v>16959.62</v>
      </c>
      <c r="E341">
        <f t="shared" si="54"/>
        <v>24.159999999999997</v>
      </c>
      <c r="K341">
        <f t="shared" si="55"/>
        <v>8.0481972038263429E-6</v>
      </c>
      <c r="L341">
        <f t="shared" si="56"/>
        <v>1.2079999999999999E-2</v>
      </c>
      <c r="M341">
        <f t="shared" si="57"/>
        <v>2.6567742825607064E-5</v>
      </c>
      <c r="N341">
        <f t="shared" si="58"/>
        <v>24.159999999999997</v>
      </c>
      <c r="O341">
        <f t="shared" si="59"/>
        <v>2.6993599999999996E-3</v>
      </c>
      <c r="P341" s="4">
        <f t="shared" si="60"/>
        <v>2.2872471850807861</v>
      </c>
    </row>
    <row r="342" spans="1:16" x14ac:dyDescent="0.75">
      <c r="A342">
        <v>3.41</v>
      </c>
      <c r="B342">
        <f t="shared" si="53"/>
        <v>5.4124629999999998</v>
      </c>
      <c r="C342">
        <f t="shared" si="51"/>
        <v>60.647500000000008</v>
      </c>
      <c r="D342">
        <f t="shared" si="52"/>
        <v>17027.188000000002</v>
      </c>
      <c r="E342">
        <f t="shared" si="54"/>
        <v>24.259000000000004</v>
      </c>
      <c r="K342">
        <f t="shared" si="55"/>
        <v>8.0153528358318309E-6</v>
      </c>
      <c r="L342">
        <f t="shared" si="56"/>
        <v>1.2129500000000001E-2</v>
      </c>
      <c r="M342">
        <f t="shared" si="57"/>
        <v>2.6350769015852066E-5</v>
      </c>
      <c r="N342">
        <f t="shared" si="58"/>
        <v>24.259000000000004</v>
      </c>
      <c r="O342">
        <f t="shared" si="59"/>
        <v>2.7061314999999998E-3</v>
      </c>
      <c r="P342" s="4">
        <f t="shared" si="60"/>
        <v>2.2899796673498019</v>
      </c>
    </row>
    <row r="343" spans="1:16" x14ac:dyDescent="0.75">
      <c r="A343">
        <v>3.42</v>
      </c>
      <c r="B343">
        <f t="shared" si="53"/>
        <v>5.4260060000000001</v>
      </c>
      <c r="C343">
        <f t="shared" si="51"/>
        <v>60.894999999999996</v>
      </c>
      <c r="D343">
        <f t="shared" si="52"/>
        <v>17094.756000000001</v>
      </c>
      <c r="E343">
        <f t="shared" si="54"/>
        <v>24.357999999999997</v>
      </c>
      <c r="K343">
        <f t="shared" si="55"/>
        <v>7.982775451368932E-6</v>
      </c>
      <c r="L343">
        <f t="shared" si="56"/>
        <v>1.2179000000000001E-2</v>
      </c>
      <c r="M343">
        <f t="shared" si="57"/>
        <v>2.6135558931129169E-5</v>
      </c>
      <c r="N343">
        <f t="shared" si="58"/>
        <v>24.357999999999997</v>
      </c>
      <c r="O343">
        <f t="shared" si="59"/>
        <v>2.7129030000000004E-3</v>
      </c>
      <c r="P343" s="4">
        <f t="shared" si="60"/>
        <v>2.2927187059087331</v>
      </c>
    </row>
    <row r="344" spans="1:16" x14ac:dyDescent="0.75">
      <c r="A344">
        <v>3.43</v>
      </c>
      <c r="B344">
        <f t="shared" si="53"/>
        <v>5.4395490000000004</v>
      </c>
      <c r="C344">
        <f t="shared" si="51"/>
        <v>61.142499999999998</v>
      </c>
      <c r="D344">
        <f t="shared" si="52"/>
        <v>17162.324000000001</v>
      </c>
      <c r="E344">
        <f t="shared" si="54"/>
        <v>24.457000000000001</v>
      </c>
      <c r="K344">
        <f t="shared" si="55"/>
        <v>7.9504618082530323E-6</v>
      </c>
      <c r="L344">
        <f t="shared" si="56"/>
        <v>1.22285E-2</v>
      </c>
      <c r="M344">
        <f t="shared" si="57"/>
        <v>2.5922091153180398E-5</v>
      </c>
      <c r="N344">
        <f t="shared" si="58"/>
        <v>24.457000000000001</v>
      </c>
      <c r="O344">
        <f t="shared" si="59"/>
        <v>2.7196745000000002E-3</v>
      </c>
      <c r="P344" s="4">
        <f t="shared" si="60"/>
        <v>2.2954643024998864</v>
      </c>
    </row>
    <row r="345" spans="1:16" x14ac:dyDescent="0.75">
      <c r="A345">
        <v>3.44</v>
      </c>
      <c r="B345">
        <f t="shared" si="53"/>
        <v>5.4530919999999998</v>
      </c>
      <c r="C345">
        <f t="shared" si="51"/>
        <v>61.39</v>
      </c>
      <c r="D345">
        <f t="shared" si="52"/>
        <v>17229.892</v>
      </c>
      <c r="E345">
        <f t="shared" si="54"/>
        <v>24.556000000000001</v>
      </c>
      <c r="K345">
        <f t="shared" si="55"/>
        <v>7.918408716584314E-6</v>
      </c>
      <c r="L345">
        <f t="shared" si="56"/>
        <v>1.2278000000000001E-2</v>
      </c>
      <c r="M345">
        <f t="shared" si="57"/>
        <v>2.5710344609147336E-5</v>
      </c>
      <c r="N345">
        <f t="shared" si="58"/>
        <v>24.556000000000001</v>
      </c>
      <c r="O345">
        <f t="shared" si="59"/>
        <v>2.7264459999999996E-3</v>
      </c>
      <c r="P345" s="4">
        <f t="shared" si="60"/>
        <v>2.2982164588444958</v>
      </c>
    </row>
    <row r="346" spans="1:16" x14ac:dyDescent="0.75">
      <c r="A346">
        <v>3.45</v>
      </c>
      <c r="B346">
        <f t="shared" si="53"/>
        <v>5.4666350000000001</v>
      </c>
      <c r="C346">
        <f t="shared" si="51"/>
        <v>61.637500000000003</v>
      </c>
      <c r="D346">
        <f t="shared" si="52"/>
        <v>17297.460000000003</v>
      </c>
      <c r="E346">
        <f t="shared" si="54"/>
        <v>24.655000000000001</v>
      </c>
      <c r="K346">
        <f t="shared" si="55"/>
        <v>7.8866130376980083E-6</v>
      </c>
      <c r="L346">
        <f t="shared" si="56"/>
        <v>1.2327500000000002E-2</v>
      </c>
      <c r="M346">
        <f t="shared" si="57"/>
        <v>2.5500298564636413E-5</v>
      </c>
      <c r="N346">
        <f t="shared" si="58"/>
        <v>24.655000000000001</v>
      </c>
      <c r="O346">
        <f t="shared" si="59"/>
        <v>2.7332174999999998E-3</v>
      </c>
      <c r="P346" s="4">
        <f t="shared" si="60"/>
        <v>2.3009751766430604</v>
      </c>
    </row>
    <row r="347" spans="1:16" x14ac:dyDescent="0.75">
      <c r="A347">
        <v>3.46</v>
      </c>
      <c r="B347">
        <f t="shared" si="53"/>
        <v>5.4801779999999995</v>
      </c>
      <c r="C347">
        <f t="shared" si="51"/>
        <v>61.885000000000005</v>
      </c>
      <c r="D347">
        <f t="shared" si="52"/>
        <v>17365.028000000002</v>
      </c>
      <c r="E347">
        <f t="shared" si="54"/>
        <v>24.754000000000001</v>
      </c>
      <c r="K347">
        <f t="shared" si="55"/>
        <v>7.8550716831398725E-6</v>
      </c>
      <c r="L347">
        <f t="shared" si="56"/>
        <v>1.2377000000000001E-2</v>
      </c>
      <c r="M347">
        <f t="shared" si="57"/>
        <v>2.5291932616950787E-5</v>
      </c>
      <c r="N347">
        <f t="shared" si="58"/>
        <v>24.754000000000001</v>
      </c>
      <c r="O347">
        <f t="shared" si="59"/>
        <v>2.7399889999999995E-3</v>
      </c>
      <c r="P347" s="4">
        <f t="shared" si="60"/>
        <v>2.3037404575756777</v>
      </c>
    </row>
    <row r="348" spans="1:16" x14ac:dyDescent="0.75">
      <c r="A348">
        <v>3.47</v>
      </c>
      <c r="B348">
        <f t="shared" si="53"/>
        <v>5.4937209999999999</v>
      </c>
      <c r="C348">
        <f t="shared" si="51"/>
        <v>62.132500000000007</v>
      </c>
      <c r="D348">
        <f t="shared" si="52"/>
        <v>17432.596000000001</v>
      </c>
      <c r="E348">
        <f t="shared" si="54"/>
        <v>24.853000000000002</v>
      </c>
      <c r="K348">
        <f t="shared" si="55"/>
        <v>7.8237816136661335E-6</v>
      </c>
      <c r="L348">
        <f t="shared" si="56"/>
        <v>1.2426500000000002E-2</v>
      </c>
      <c r="M348">
        <f t="shared" si="57"/>
        <v>2.5085226688483832E-5</v>
      </c>
      <c r="N348">
        <f t="shared" si="58"/>
        <v>24.853000000000002</v>
      </c>
      <c r="O348">
        <f t="shared" si="59"/>
        <v>2.7467604999999997E-3</v>
      </c>
      <c r="P348" s="4">
        <f t="shared" si="60"/>
        <v>2.306512303302366</v>
      </c>
    </row>
    <row r="349" spans="1:16" x14ac:dyDescent="0.75">
      <c r="A349">
        <v>3.48</v>
      </c>
      <c r="B349">
        <f t="shared" si="53"/>
        <v>5.5072640000000002</v>
      </c>
      <c r="C349">
        <f t="shared" si="51"/>
        <v>62.379999999999995</v>
      </c>
      <c r="D349">
        <f t="shared" si="52"/>
        <v>17500.164000000001</v>
      </c>
      <c r="E349">
        <f t="shared" si="54"/>
        <v>24.951999999999998</v>
      </c>
      <c r="K349">
        <f t="shared" si="55"/>
        <v>7.7927398382672497E-6</v>
      </c>
      <c r="L349">
        <f t="shared" si="56"/>
        <v>1.2475999999999999E-2</v>
      </c>
      <c r="M349">
        <f t="shared" si="57"/>
        <v>2.488016102027002E-5</v>
      </c>
      <c r="N349">
        <f t="shared" si="58"/>
        <v>24.951999999999998</v>
      </c>
      <c r="O349">
        <f t="shared" si="59"/>
        <v>2.7535319999999999E-3</v>
      </c>
      <c r="P349" s="4">
        <f t="shared" si="60"/>
        <v>2.3092907154633862</v>
      </c>
    </row>
    <row r="350" spans="1:16" x14ac:dyDescent="0.75">
      <c r="A350">
        <v>3.49</v>
      </c>
      <c r="B350">
        <f t="shared" si="53"/>
        <v>5.5208070000000005</v>
      </c>
      <c r="C350">
        <f t="shared" si="51"/>
        <v>62.627500000000012</v>
      </c>
      <c r="D350">
        <f t="shared" si="52"/>
        <v>17567.732000000004</v>
      </c>
      <c r="E350">
        <f t="shared" si="54"/>
        <v>25.051000000000005</v>
      </c>
      <c r="K350">
        <f t="shared" si="55"/>
        <v>7.7619434132148169E-6</v>
      </c>
      <c r="L350">
        <f t="shared" si="56"/>
        <v>1.2525500000000004E-2</v>
      </c>
      <c r="M350">
        <f t="shared" si="57"/>
        <v>2.4676716165688644E-5</v>
      </c>
      <c r="N350">
        <f t="shared" si="58"/>
        <v>25.051000000000005</v>
      </c>
      <c r="O350">
        <f t="shared" si="59"/>
        <v>2.7603035000000001E-3</v>
      </c>
      <c r="P350" s="4">
        <f t="shared" si="60"/>
        <v>2.3120756956795518</v>
      </c>
    </row>
    <row r="351" spans="1:16" x14ac:dyDescent="0.75">
      <c r="A351">
        <v>3.5</v>
      </c>
      <c r="B351">
        <f t="shared" si="53"/>
        <v>5.5343499999999999</v>
      </c>
      <c r="C351">
        <f t="shared" si="51"/>
        <v>62.875</v>
      </c>
      <c r="D351">
        <f t="shared" si="52"/>
        <v>17635.3</v>
      </c>
      <c r="E351">
        <f t="shared" si="54"/>
        <v>25.15</v>
      </c>
      <c r="K351">
        <f t="shared" si="55"/>
        <v>7.7313894411309914E-6</v>
      </c>
      <c r="L351">
        <f t="shared" si="56"/>
        <v>1.2575000000000001E-2</v>
      </c>
      <c r="M351">
        <f t="shared" si="57"/>
        <v>2.4474872984316319E-5</v>
      </c>
      <c r="N351">
        <f t="shared" si="58"/>
        <v>25.15</v>
      </c>
      <c r="O351">
        <f t="shared" si="59"/>
        <v>2.7670750000000004E-3</v>
      </c>
      <c r="P351" s="4">
        <f t="shared" si="60"/>
        <v>2.3148672455525361</v>
      </c>
    </row>
    <row r="352" spans="1:16" x14ac:dyDescent="0.75">
      <c r="A352">
        <v>3.51</v>
      </c>
      <c r="B352">
        <f t="shared" si="53"/>
        <v>5.5478929999999993</v>
      </c>
      <c r="C352">
        <f t="shared" si="51"/>
        <v>63.122499999999988</v>
      </c>
      <c r="D352">
        <f t="shared" si="52"/>
        <v>17702.867999999999</v>
      </c>
      <c r="E352">
        <f t="shared" si="54"/>
        <v>25.248999999999995</v>
      </c>
      <c r="K352">
        <f t="shared" si="55"/>
        <v>7.7010750700797823E-6</v>
      </c>
      <c r="L352">
        <f t="shared" si="56"/>
        <v>1.2624499999999999E-2</v>
      </c>
      <c r="M352">
        <f t="shared" si="57"/>
        <v>2.4274612635923974E-5</v>
      </c>
      <c r="N352">
        <f t="shared" si="58"/>
        <v>25.248999999999995</v>
      </c>
      <c r="O352">
        <f t="shared" si="59"/>
        <v>2.7738464999999997E-3</v>
      </c>
      <c r="P352" s="4">
        <f t="shared" si="60"/>
        <v>2.3176653666651719</v>
      </c>
    </row>
    <row r="353" spans="1:16" x14ac:dyDescent="0.75">
      <c r="A353">
        <v>3.52</v>
      </c>
      <c r="B353">
        <f t="shared" si="53"/>
        <v>5.5614359999999996</v>
      </c>
      <c r="C353">
        <f t="shared" si="51"/>
        <v>63.370000000000005</v>
      </c>
      <c r="D353">
        <f t="shared" si="52"/>
        <v>17770.436000000002</v>
      </c>
      <c r="E353">
        <f t="shared" si="54"/>
        <v>25.348000000000003</v>
      </c>
      <c r="K353">
        <f t="shared" si="55"/>
        <v>7.670997492679675E-6</v>
      </c>
      <c r="L353">
        <f t="shared" si="56"/>
        <v>1.2674000000000001E-2</v>
      </c>
      <c r="M353">
        <f t="shared" si="57"/>
        <v>2.4075916574614688E-5</v>
      </c>
      <c r="N353">
        <f t="shared" si="58"/>
        <v>25.348000000000003</v>
      </c>
      <c r="O353">
        <f t="shared" si="59"/>
        <v>2.7806179999999995E-3</v>
      </c>
      <c r="P353" s="4">
        <f t="shared" si="60"/>
        <v>2.3204700605817465</v>
      </c>
    </row>
    <row r="354" spans="1:16" x14ac:dyDescent="0.75">
      <c r="A354">
        <v>3.53</v>
      </c>
      <c r="B354">
        <f t="shared" si="53"/>
        <v>5.5749789999999999</v>
      </c>
      <c r="C354">
        <f t="shared" ref="C354:C417" si="61">24.75* A354- 23.75</f>
        <v>63.617499999999993</v>
      </c>
      <c r="D354">
        <f t="shared" si="52"/>
        <v>17838.004000000001</v>
      </c>
      <c r="E354">
        <f t="shared" si="54"/>
        <v>25.446999999999996</v>
      </c>
      <c r="K354">
        <f t="shared" si="55"/>
        <v>7.6411539452369413E-6</v>
      </c>
      <c r="L354">
        <f t="shared" si="56"/>
        <v>1.2723499999999999E-2</v>
      </c>
      <c r="M354">
        <f t="shared" si="57"/>
        <v>2.3878766543098287E-5</v>
      </c>
      <c r="N354">
        <f t="shared" si="58"/>
        <v>25.446999999999996</v>
      </c>
      <c r="O354">
        <f t="shared" si="59"/>
        <v>2.7873894999999997E-3</v>
      </c>
      <c r="P354" s="4">
        <f t="shared" si="60"/>
        <v>2.3232813288482896</v>
      </c>
    </row>
    <row r="355" spans="1:16" x14ac:dyDescent="0.75">
      <c r="A355">
        <v>3.54</v>
      </c>
      <c r="B355">
        <f t="shared" si="53"/>
        <v>5.5885220000000002</v>
      </c>
      <c r="C355">
        <f t="shared" si="61"/>
        <v>63.864999999999995</v>
      </c>
      <c r="D355">
        <f t="shared" si="52"/>
        <v>17905.572</v>
      </c>
      <c r="E355">
        <f t="shared" si="54"/>
        <v>25.545999999999999</v>
      </c>
      <c r="K355">
        <f t="shared" si="55"/>
        <v>7.6115417068991003E-6</v>
      </c>
      <c r="L355">
        <f t="shared" si="56"/>
        <v>1.2773E-2</v>
      </c>
      <c r="M355">
        <f t="shared" si="57"/>
        <v>2.3683144567098991E-5</v>
      </c>
      <c r="N355">
        <f t="shared" si="58"/>
        <v>25.545999999999999</v>
      </c>
      <c r="O355">
        <f t="shared" si="59"/>
        <v>2.7941609999999999E-3</v>
      </c>
      <c r="P355" s="4">
        <f t="shared" si="60"/>
        <v>2.3260991729928571</v>
      </c>
    </row>
    <row r="356" spans="1:16" x14ac:dyDescent="0.75">
      <c r="A356">
        <v>3.55</v>
      </c>
      <c r="B356">
        <f t="shared" si="53"/>
        <v>5.6020649999999996</v>
      </c>
      <c r="C356">
        <f t="shared" si="61"/>
        <v>64.112499999999997</v>
      </c>
      <c r="D356">
        <f t="shared" si="52"/>
        <v>17973.14</v>
      </c>
      <c r="E356">
        <f t="shared" si="54"/>
        <v>25.645</v>
      </c>
      <c r="K356">
        <f t="shared" si="55"/>
        <v>7.5821580988280139E-6</v>
      </c>
      <c r="L356">
        <f t="shared" si="56"/>
        <v>1.2822500000000001E-2</v>
      </c>
      <c r="M356">
        <f t="shared" si="57"/>
        <v>2.3489032949892762E-5</v>
      </c>
      <c r="N356">
        <f t="shared" si="58"/>
        <v>25.645</v>
      </c>
      <c r="O356">
        <f t="shared" si="59"/>
        <v>2.8009324999999996E-3</v>
      </c>
      <c r="P356" s="4">
        <f t="shared" si="60"/>
        <v>2.3289235945258069</v>
      </c>
    </row>
    <row r="357" spans="1:16" x14ac:dyDescent="0.75">
      <c r="A357">
        <v>3.56</v>
      </c>
      <c r="B357">
        <f t="shared" si="53"/>
        <v>5.6156079999999999</v>
      </c>
      <c r="C357">
        <f t="shared" si="61"/>
        <v>64.36</v>
      </c>
      <c r="D357">
        <f t="shared" si="52"/>
        <v>18040.708000000002</v>
      </c>
      <c r="E357">
        <f t="shared" si="54"/>
        <v>25.744</v>
      </c>
      <c r="K357">
        <f t="shared" si="55"/>
        <v>7.5530004833920294E-6</v>
      </c>
      <c r="L357">
        <f t="shared" si="56"/>
        <v>1.2872E-2</v>
      </c>
      <c r="M357">
        <f t="shared" si="57"/>
        <v>2.3296414266970505E-5</v>
      </c>
      <c r="N357">
        <f t="shared" si="58"/>
        <v>25.744</v>
      </c>
      <c r="O357">
        <f t="shared" si="59"/>
        <v>2.8077039999999998E-3</v>
      </c>
      <c r="P357" s="4">
        <f t="shared" si="60"/>
        <v>2.3317545949400738</v>
      </c>
    </row>
    <row r="358" spans="1:16" x14ac:dyDescent="0.75">
      <c r="A358">
        <v>3.57</v>
      </c>
      <c r="B358">
        <f t="shared" si="53"/>
        <v>5.6291509999999993</v>
      </c>
      <c r="C358">
        <f t="shared" si="61"/>
        <v>64.607500000000002</v>
      </c>
      <c r="D358">
        <f t="shared" si="52"/>
        <v>18108.275999999998</v>
      </c>
      <c r="E358">
        <f t="shared" si="54"/>
        <v>25.843</v>
      </c>
      <c r="K358">
        <f t="shared" si="55"/>
        <v>7.5240662633767135E-6</v>
      </c>
      <c r="L358">
        <f t="shared" si="56"/>
        <v>1.2921500000000001E-2</v>
      </c>
      <c r="M358">
        <f t="shared" si="57"/>
        <v>2.3105271360824117E-5</v>
      </c>
      <c r="N358">
        <f t="shared" si="58"/>
        <v>25.843</v>
      </c>
      <c r="O358">
        <f t="shared" si="59"/>
        <v>2.8144754999999996E-3</v>
      </c>
      <c r="P358" s="4">
        <f t="shared" si="60"/>
        <v>2.3345921757114345</v>
      </c>
    </row>
    <row r="359" spans="1:16" x14ac:dyDescent="0.75">
      <c r="A359">
        <v>3.58</v>
      </c>
      <c r="B359">
        <f t="shared" si="53"/>
        <v>5.6426939999999997</v>
      </c>
      <c r="C359">
        <f t="shared" si="61"/>
        <v>64.855000000000004</v>
      </c>
      <c r="D359">
        <f t="shared" si="52"/>
        <v>18175.844000000001</v>
      </c>
      <c r="E359">
        <f t="shared" si="54"/>
        <v>25.942</v>
      </c>
      <c r="K359">
        <f t="shared" si="55"/>
        <v>7.4953528812136462E-6</v>
      </c>
      <c r="L359">
        <f t="shared" si="56"/>
        <v>1.2971000000000002E-2</v>
      </c>
      <c r="M359">
        <f t="shared" si="57"/>
        <v>2.2915587335851764E-5</v>
      </c>
      <c r="N359">
        <f t="shared" si="58"/>
        <v>25.942</v>
      </c>
      <c r="O359">
        <f t="shared" si="59"/>
        <v>2.8212469999999998E-3</v>
      </c>
      <c r="P359" s="4">
        <f t="shared" si="60"/>
        <v>2.3374363382987702</v>
      </c>
    </row>
    <row r="360" spans="1:16" x14ac:dyDescent="0.75">
      <c r="A360">
        <v>3.59</v>
      </c>
      <c r="B360">
        <f t="shared" si="53"/>
        <v>5.656237</v>
      </c>
      <c r="C360">
        <f t="shared" si="61"/>
        <v>65.102499999999992</v>
      </c>
      <c r="D360">
        <f t="shared" si="52"/>
        <v>18243.412</v>
      </c>
      <c r="E360">
        <f t="shared" si="54"/>
        <v>26.040999999999997</v>
      </c>
      <c r="K360">
        <f t="shared" si="55"/>
        <v>7.4668578182268131E-6</v>
      </c>
      <c r="L360">
        <f t="shared" si="56"/>
        <v>1.3020499999999999E-2</v>
      </c>
      <c r="M360">
        <f t="shared" si="57"/>
        <v>2.2727345553379494E-5</v>
      </c>
      <c r="N360">
        <f t="shared" si="58"/>
        <v>26.040999999999997</v>
      </c>
      <c r="O360">
        <f t="shared" si="59"/>
        <v>2.8280185E-3</v>
      </c>
      <c r="P360" s="4">
        <f t="shared" si="60"/>
        <v>2.3402870841443235</v>
      </c>
    </row>
    <row r="361" spans="1:16" x14ac:dyDescent="0.75">
      <c r="A361">
        <v>3.6</v>
      </c>
      <c r="B361">
        <f t="shared" si="53"/>
        <v>5.6697800000000003</v>
      </c>
      <c r="C361">
        <f t="shared" si="61"/>
        <v>65.350000000000009</v>
      </c>
      <c r="D361">
        <f t="shared" si="52"/>
        <v>18310.98</v>
      </c>
      <c r="E361">
        <f t="shared" si="54"/>
        <v>26.140000000000004</v>
      </c>
      <c r="K361">
        <f t="shared" si="55"/>
        <v>7.4385785938961126E-6</v>
      </c>
      <c r="L361">
        <f t="shared" si="56"/>
        <v>1.3070000000000002E-2</v>
      </c>
      <c r="M361">
        <f t="shared" si="57"/>
        <v>2.2540529626795871E-5</v>
      </c>
      <c r="N361">
        <f t="shared" si="58"/>
        <v>26.140000000000004</v>
      </c>
      <c r="O361">
        <f t="shared" si="59"/>
        <v>2.8347899999999998E-3</v>
      </c>
      <c r="P361" s="4">
        <f t="shared" si="60"/>
        <v>2.3431444146739504</v>
      </c>
    </row>
    <row r="362" spans="1:16" x14ac:dyDescent="0.75">
      <c r="A362">
        <v>3.61</v>
      </c>
      <c r="B362">
        <f t="shared" si="53"/>
        <v>5.6833229999999997</v>
      </c>
      <c r="C362">
        <f t="shared" si="61"/>
        <v>65.597499999999997</v>
      </c>
      <c r="D362">
        <f t="shared" si="52"/>
        <v>18378.547999999999</v>
      </c>
      <c r="E362">
        <f t="shared" si="54"/>
        <v>26.238999999999997</v>
      </c>
      <c r="K362">
        <f t="shared" si="55"/>
        <v>7.4105127651375599E-6</v>
      </c>
      <c r="L362">
        <f t="shared" si="56"/>
        <v>1.3119499999999999E-2</v>
      </c>
      <c r="M362">
        <f t="shared" si="57"/>
        <v>2.2355123416796875E-5</v>
      </c>
      <c r="N362">
        <f t="shared" si="58"/>
        <v>26.238999999999997</v>
      </c>
      <c r="O362">
        <f t="shared" si="59"/>
        <v>2.8415614999999996E-3</v>
      </c>
      <c r="P362" s="4">
        <f t="shared" si="60"/>
        <v>2.3460083312973672</v>
      </c>
    </row>
    <row r="363" spans="1:16" x14ac:dyDescent="0.75">
      <c r="A363">
        <v>3.62</v>
      </c>
      <c r="B363">
        <f t="shared" si="53"/>
        <v>5.696866</v>
      </c>
      <c r="C363">
        <f t="shared" si="61"/>
        <v>65.844999999999999</v>
      </c>
      <c r="D363">
        <f t="shared" si="52"/>
        <v>18446.116000000002</v>
      </c>
      <c r="E363">
        <f t="shared" si="54"/>
        <v>26.338000000000001</v>
      </c>
      <c r="K363">
        <f t="shared" si="55"/>
        <v>7.3826579255996809E-6</v>
      </c>
      <c r="L363">
        <f t="shared" si="56"/>
        <v>1.3169E-2</v>
      </c>
      <c r="M363">
        <f t="shared" si="57"/>
        <v>2.2171111026737868E-5</v>
      </c>
      <c r="N363">
        <f t="shared" si="58"/>
        <v>26.338000000000001</v>
      </c>
      <c r="O363">
        <f t="shared" si="59"/>
        <v>2.8483329999999998E-3</v>
      </c>
      <c r="P363" s="4">
        <f t="shared" si="60"/>
        <v>2.348878835408394</v>
      </c>
    </row>
    <row r="364" spans="1:16" x14ac:dyDescent="0.75">
      <c r="A364">
        <v>3.63</v>
      </c>
      <c r="B364">
        <f t="shared" si="53"/>
        <v>5.7104090000000003</v>
      </c>
      <c r="C364">
        <f t="shared" si="61"/>
        <v>66.092500000000001</v>
      </c>
      <c r="D364">
        <f t="shared" si="52"/>
        <v>18513.684000000001</v>
      </c>
      <c r="E364">
        <f t="shared" si="54"/>
        <v>26.437000000000001</v>
      </c>
      <c r="K364">
        <f t="shared" si="55"/>
        <v>7.3550117049757684E-6</v>
      </c>
      <c r="L364">
        <f t="shared" si="56"/>
        <v>1.3218500000000001E-2</v>
      </c>
      <c r="M364">
        <f t="shared" si="57"/>
        <v>2.1988476798090203E-5</v>
      </c>
      <c r="N364">
        <f t="shared" si="58"/>
        <v>26.437000000000001</v>
      </c>
      <c r="O364">
        <f t="shared" si="59"/>
        <v>2.8551045E-3</v>
      </c>
      <c r="P364" s="4">
        <f t="shared" si="60"/>
        <v>2.3517559283851921</v>
      </c>
    </row>
    <row r="365" spans="1:16" x14ac:dyDescent="0.75">
      <c r="A365">
        <v>3.64</v>
      </c>
      <c r="B365">
        <f t="shared" si="53"/>
        <v>5.7239520000000006</v>
      </c>
      <c r="C365">
        <f t="shared" si="61"/>
        <v>66.34</v>
      </c>
      <c r="D365">
        <f t="shared" si="52"/>
        <v>18581.252</v>
      </c>
      <c r="E365">
        <f t="shared" si="54"/>
        <v>26.536000000000001</v>
      </c>
      <c r="K365">
        <f t="shared" si="55"/>
        <v>7.3275717683314889E-6</v>
      </c>
      <c r="L365">
        <f t="shared" si="56"/>
        <v>1.3268000000000002E-2</v>
      </c>
      <c r="M365">
        <f t="shared" si="57"/>
        <v>2.1807205305999381E-5</v>
      </c>
      <c r="N365">
        <f t="shared" si="58"/>
        <v>26.536000000000001</v>
      </c>
      <c r="O365">
        <f t="shared" si="59"/>
        <v>2.8618760000000002E-3</v>
      </c>
      <c r="P365" s="4">
        <f t="shared" si="60"/>
        <v>2.3546396115904979</v>
      </c>
    </row>
    <row r="366" spans="1:16" x14ac:dyDescent="0.75">
      <c r="A366">
        <v>3.65</v>
      </c>
      <c r="B366">
        <f t="shared" si="53"/>
        <v>5.737495</v>
      </c>
      <c r="C366">
        <f t="shared" si="61"/>
        <v>66.587499999999991</v>
      </c>
      <c r="D366">
        <f t="shared" ref="D366:D429" si="62" xml:space="preserve"> 6756.8*A366 - 6013.5</f>
        <v>18648.82</v>
      </c>
      <c r="E366">
        <f t="shared" si="54"/>
        <v>26.634999999999998</v>
      </c>
      <c r="K366">
        <f t="shared" si="55"/>
        <v>7.3003358154475098E-6</v>
      </c>
      <c r="L366">
        <f t="shared" si="56"/>
        <v>1.3317499999999999E-2</v>
      </c>
      <c r="M366">
        <f t="shared" si="57"/>
        <v>2.1627281354942319E-5</v>
      </c>
      <c r="N366">
        <f t="shared" si="58"/>
        <v>26.634999999999998</v>
      </c>
      <c r="O366">
        <f t="shared" si="59"/>
        <v>2.8686474999999999E-3</v>
      </c>
      <c r="P366" s="4">
        <f t="shared" si="60"/>
        <v>2.3575298863718532</v>
      </c>
    </row>
    <row r="367" spans="1:16" x14ac:dyDescent="0.75">
      <c r="A367">
        <v>3.66</v>
      </c>
      <c r="B367">
        <f t="shared" si="53"/>
        <v>5.7510380000000003</v>
      </c>
      <c r="C367">
        <f t="shared" si="61"/>
        <v>66.835000000000008</v>
      </c>
      <c r="D367">
        <f t="shared" si="62"/>
        <v>18716.388000000003</v>
      </c>
      <c r="E367">
        <f t="shared" si="54"/>
        <v>26.734000000000002</v>
      </c>
      <c r="K367">
        <f t="shared" si="55"/>
        <v>7.2733015801767187E-6</v>
      </c>
      <c r="L367">
        <f t="shared" si="56"/>
        <v>1.3367000000000002E-2</v>
      </c>
      <c r="M367">
        <f t="shared" si="57"/>
        <v>2.1448689974481089E-5</v>
      </c>
      <c r="N367">
        <f t="shared" si="58"/>
        <v>26.734000000000002</v>
      </c>
      <c r="O367">
        <f t="shared" si="59"/>
        <v>2.8754190000000002E-3</v>
      </c>
      <c r="P367" s="4">
        <f t="shared" si="60"/>
        <v>2.3604267540618276</v>
      </c>
    </row>
    <row r="368" spans="1:16" x14ac:dyDescent="0.75">
      <c r="A368">
        <v>3.67</v>
      </c>
      <c r="B368">
        <f t="shared" si="53"/>
        <v>5.7645809999999997</v>
      </c>
      <c r="C368">
        <f t="shared" si="61"/>
        <v>67.082499999999996</v>
      </c>
      <c r="D368">
        <f t="shared" si="62"/>
        <v>18783.956000000002</v>
      </c>
      <c r="E368">
        <f t="shared" si="54"/>
        <v>26.832999999999998</v>
      </c>
      <c r="K368">
        <f t="shared" si="55"/>
        <v>7.24646682981569E-6</v>
      </c>
      <c r="L368">
        <f t="shared" si="56"/>
        <v>1.34165E-2</v>
      </c>
      <c r="M368">
        <f t="shared" si="57"/>
        <v>2.127141641511074E-5</v>
      </c>
      <c r="N368">
        <f t="shared" si="58"/>
        <v>26.832999999999998</v>
      </c>
      <c r="O368">
        <f t="shared" si="59"/>
        <v>2.8821904999999999E-3</v>
      </c>
      <c r="P368" s="4">
        <f t="shared" si="60"/>
        <v>2.3633302159782423</v>
      </c>
    </row>
    <row r="369" spans="1:16" x14ac:dyDescent="0.75">
      <c r="A369">
        <v>3.68</v>
      </c>
      <c r="B369">
        <f t="shared" si="53"/>
        <v>5.778124</v>
      </c>
      <c r="C369">
        <f t="shared" si="61"/>
        <v>67.33</v>
      </c>
      <c r="D369">
        <f t="shared" si="62"/>
        <v>18851.524000000001</v>
      </c>
      <c r="E369">
        <f t="shared" si="54"/>
        <v>26.931999999999999</v>
      </c>
      <c r="K369">
        <f t="shared" si="55"/>
        <v>7.21982936448999E-6</v>
      </c>
      <c r="L369">
        <f t="shared" si="56"/>
        <v>1.3466000000000001E-2</v>
      </c>
      <c r="M369">
        <f t="shared" si="57"/>
        <v>2.1095446144198547E-5</v>
      </c>
      <c r="N369">
        <f t="shared" si="58"/>
        <v>26.931999999999999</v>
      </c>
      <c r="O369">
        <f t="shared" si="59"/>
        <v>2.8889619999999997E-3</v>
      </c>
      <c r="P369" s="4">
        <f t="shared" si="60"/>
        <v>2.3662402734243866</v>
      </c>
    </row>
    <row r="370" spans="1:16" x14ac:dyDescent="0.75">
      <c r="A370">
        <v>3.69</v>
      </c>
      <c r="B370">
        <f t="shared" si="53"/>
        <v>5.7916670000000003</v>
      </c>
      <c r="C370">
        <f t="shared" si="61"/>
        <v>67.577500000000001</v>
      </c>
      <c r="D370">
        <f t="shared" si="62"/>
        <v>18919.092000000001</v>
      </c>
      <c r="E370">
        <f t="shared" si="54"/>
        <v>27.030999999999999</v>
      </c>
      <c r="K370">
        <f t="shared" si="55"/>
        <v>7.19338701655301E-6</v>
      </c>
      <c r="L370">
        <f t="shared" si="56"/>
        <v>1.3515500000000001E-2</v>
      </c>
      <c r="M370">
        <f t="shared" si="57"/>
        <v>2.0920764842012657E-5</v>
      </c>
      <c r="N370">
        <f t="shared" si="58"/>
        <v>27.030999999999999</v>
      </c>
      <c r="O370">
        <f t="shared" si="59"/>
        <v>2.8957335000000008E-3</v>
      </c>
      <c r="P370" s="4">
        <f t="shared" si="60"/>
        <v>2.3691569276892284</v>
      </c>
    </row>
    <row r="371" spans="1:16" x14ac:dyDescent="0.75">
      <c r="A371">
        <v>3.7</v>
      </c>
      <c r="B371">
        <f t="shared" si="53"/>
        <v>5.8052100000000006</v>
      </c>
      <c r="C371">
        <f t="shared" si="61"/>
        <v>67.825000000000003</v>
      </c>
      <c r="D371">
        <f t="shared" si="62"/>
        <v>18986.660000000003</v>
      </c>
      <c r="E371">
        <f t="shared" si="54"/>
        <v>27.130000000000003</v>
      </c>
      <c r="K371">
        <f t="shared" si="55"/>
        <v>7.1671376499979506E-6</v>
      </c>
      <c r="L371">
        <f t="shared" si="56"/>
        <v>1.3565000000000001E-2</v>
      </c>
      <c r="M371">
        <f t="shared" si="57"/>
        <v>2.0747358397837558E-5</v>
      </c>
      <c r="N371">
        <f t="shared" si="58"/>
        <v>27.130000000000003</v>
      </c>
      <c r="O371">
        <f t="shared" si="59"/>
        <v>2.9025050000000001E-3</v>
      </c>
      <c r="P371" s="4">
        <f t="shared" si="60"/>
        <v>2.3720801800476266</v>
      </c>
    </row>
    <row r="372" spans="1:16" x14ac:dyDescent="0.75">
      <c r="A372">
        <v>3.71</v>
      </c>
      <c r="B372">
        <f t="shared" si="53"/>
        <v>5.8187530000000001</v>
      </c>
      <c r="C372">
        <f t="shared" si="61"/>
        <v>68.072500000000005</v>
      </c>
      <c r="D372">
        <f t="shared" si="62"/>
        <v>19054.227999999999</v>
      </c>
      <c r="E372">
        <f t="shared" si="54"/>
        <v>27.229000000000003</v>
      </c>
      <c r="K372">
        <f t="shared" si="55"/>
        <v>7.1410791598826393E-6</v>
      </c>
      <c r="L372">
        <f t="shared" si="56"/>
        <v>1.3614500000000002E-2</v>
      </c>
      <c r="M372">
        <f t="shared" si="57"/>
        <v>2.0575212906174368E-5</v>
      </c>
      <c r="N372">
        <f t="shared" si="58"/>
        <v>27.229000000000003</v>
      </c>
      <c r="O372">
        <f t="shared" si="59"/>
        <v>2.9092764999999999E-3</v>
      </c>
      <c r="P372" s="4">
        <f t="shared" si="60"/>
        <v>2.3750100317605329</v>
      </c>
    </row>
    <row r="373" spans="1:16" x14ac:dyDescent="0.75">
      <c r="A373">
        <v>3.72</v>
      </c>
      <c r="B373">
        <f t="shared" si="53"/>
        <v>5.8322960000000004</v>
      </c>
      <c r="C373">
        <f t="shared" si="61"/>
        <v>68.320000000000007</v>
      </c>
      <c r="D373">
        <f t="shared" si="62"/>
        <v>19121.796000000002</v>
      </c>
      <c r="E373">
        <f t="shared" si="54"/>
        <v>27.328000000000003</v>
      </c>
      <c r="K373">
        <f t="shared" si="55"/>
        <v>7.1152094717668463E-6</v>
      </c>
      <c r="L373">
        <f t="shared" si="56"/>
        <v>1.3664000000000003E-2</v>
      </c>
      <c r="M373">
        <f t="shared" si="57"/>
        <v>2.0404314663023664E-5</v>
      </c>
      <c r="N373">
        <f t="shared" si="58"/>
        <v>27.328000000000003</v>
      </c>
      <c r="O373">
        <f t="shared" si="59"/>
        <v>2.9160480000000001E-3</v>
      </c>
      <c r="P373" s="4">
        <f t="shared" si="60"/>
        <v>2.377946484075196</v>
      </c>
    </row>
    <row r="374" spans="1:16" x14ac:dyDescent="0.75">
      <c r="A374">
        <v>3.73</v>
      </c>
      <c r="B374">
        <f t="shared" si="53"/>
        <v>5.8458389999999998</v>
      </c>
      <c r="C374">
        <f t="shared" si="61"/>
        <v>68.567499999999995</v>
      </c>
      <c r="D374">
        <f t="shared" si="62"/>
        <v>19189.364000000001</v>
      </c>
      <c r="E374">
        <f t="shared" si="54"/>
        <v>27.427</v>
      </c>
      <c r="K374">
        <f t="shared" si="55"/>
        <v>7.0895265411617902E-6</v>
      </c>
      <c r="L374">
        <f t="shared" si="56"/>
        <v>1.37135E-2</v>
      </c>
      <c r="M374">
        <f t="shared" si="57"/>
        <v>2.0234650162248874E-5</v>
      </c>
      <c r="N374">
        <f t="shared" si="58"/>
        <v>27.427</v>
      </c>
      <c r="O374">
        <f t="shared" si="59"/>
        <v>2.9228194999999998E-3</v>
      </c>
      <c r="P374" s="4">
        <f t="shared" si="60"/>
        <v>2.3808895382253583</v>
      </c>
    </row>
    <row r="375" spans="1:16" x14ac:dyDescent="0.75">
      <c r="A375">
        <v>3.74</v>
      </c>
      <c r="B375">
        <f t="shared" si="53"/>
        <v>5.8593820000000001</v>
      </c>
      <c r="C375">
        <f t="shared" si="61"/>
        <v>68.815000000000012</v>
      </c>
      <c r="D375">
        <f t="shared" si="62"/>
        <v>19256.932000000001</v>
      </c>
      <c r="E375">
        <f t="shared" si="54"/>
        <v>27.526000000000003</v>
      </c>
      <c r="K375">
        <f t="shared" si="55"/>
        <v>7.064028352991513E-6</v>
      </c>
      <c r="L375">
        <f t="shared" si="56"/>
        <v>1.3763000000000003E-2</v>
      </c>
      <c r="M375">
        <f t="shared" si="57"/>
        <v>2.0066206092018042E-5</v>
      </c>
      <c r="N375">
        <f t="shared" si="58"/>
        <v>27.526000000000003</v>
      </c>
      <c r="O375">
        <f t="shared" si="59"/>
        <v>2.9295910000000001E-3</v>
      </c>
      <c r="P375" s="4">
        <f t="shared" si="60"/>
        <v>2.3838391954314502</v>
      </c>
    </row>
    <row r="376" spans="1:16" x14ac:dyDescent="0.75">
      <c r="A376">
        <v>3.75</v>
      </c>
      <c r="B376">
        <f t="shared" si="53"/>
        <v>5.8729250000000004</v>
      </c>
      <c r="C376">
        <f t="shared" si="61"/>
        <v>69.0625</v>
      </c>
      <c r="D376">
        <f t="shared" si="62"/>
        <v>19324.5</v>
      </c>
      <c r="E376">
        <f t="shared" si="54"/>
        <v>27.625</v>
      </c>
      <c r="K376">
        <f t="shared" si="55"/>
        <v>7.0387129210658609E-6</v>
      </c>
      <c r="L376">
        <f t="shared" si="56"/>
        <v>1.38125E-2</v>
      </c>
      <c r="M376">
        <f t="shared" si="57"/>
        <v>1.9898969331322262E-5</v>
      </c>
      <c r="N376">
        <f t="shared" si="58"/>
        <v>27.625</v>
      </c>
      <c r="O376">
        <f t="shared" si="59"/>
        <v>2.9363625000000003E-3</v>
      </c>
      <c r="P376" s="4">
        <f t="shared" si="60"/>
        <v>2.3867954569007814</v>
      </c>
    </row>
    <row r="377" spans="1:16" x14ac:dyDescent="0.75">
      <c r="A377">
        <v>3.76</v>
      </c>
      <c r="B377">
        <f t="shared" si="53"/>
        <v>5.8864679999999998</v>
      </c>
      <c r="C377">
        <f t="shared" si="61"/>
        <v>69.309999999999988</v>
      </c>
      <c r="D377">
        <f t="shared" si="62"/>
        <v>19392.067999999999</v>
      </c>
      <c r="E377">
        <f t="shared" si="54"/>
        <v>27.723999999999997</v>
      </c>
      <c r="K377">
        <f t="shared" si="55"/>
        <v>7.0135782875647251E-6</v>
      </c>
      <c r="L377">
        <f t="shared" si="56"/>
        <v>1.3861999999999998E-2</v>
      </c>
      <c r="M377">
        <f t="shared" si="57"/>
        <v>1.9732926946568551E-5</v>
      </c>
      <c r="N377">
        <f t="shared" si="58"/>
        <v>27.723999999999997</v>
      </c>
      <c r="O377">
        <f t="shared" si="59"/>
        <v>2.9431339999999996E-3</v>
      </c>
      <c r="P377" s="4">
        <f t="shared" si="60"/>
        <v>2.3897583238277282</v>
      </c>
    </row>
    <row r="378" spans="1:16" x14ac:dyDescent="0.75">
      <c r="A378">
        <v>3.77</v>
      </c>
      <c r="B378">
        <f t="shared" si="53"/>
        <v>5.9000110000000001</v>
      </c>
      <c r="C378">
        <f t="shared" si="61"/>
        <v>69.557500000000005</v>
      </c>
      <c r="D378">
        <f t="shared" si="62"/>
        <v>19459.636000000002</v>
      </c>
      <c r="E378">
        <f t="shared" si="54"/>
        <v>27.823</v>
      </c>
      <c r="K378">
        <f t="shared" si="55"/>
        <v>6.9886225225333144E-6</v>
      </c>
      <c r="L378">
        <f t="shared" si="56"/>
        <v>1.3911500000000002E-2</v>
      </c>
      <c r="M378">
        <f t="shared" si="57"/>
        <v>1.9568066188245527E-5</v>
      </c>
      <c r="N378">
        <f t="shared" si="58"/>
        <v>27.823</v>
      </c>
      <c r="O378">
        <f t="shared" si="59"/>
        <v>2.9499054999999998E-3</v>
      </c>
      <c r="P378" s="4">
        <f t="shared" si="60"/>
        <v>2.3927277973939165</v>
      </c>
    </row>
    <row r="379" spans="1:16" x14ac:dyDescent="0.75">
      <c r="A379">
        <v>3.78</v>
      </c>
      <c r="B379">
        <f t="shared" si="53"/>
        <v>5.9135539999999995</v>
      </c>
      <c r="C379">
        <f t="shared" si="61"/>
        <v>69.804999999999993</v>
      </c>
      <c r="D379">
        <f t="shared" si="62"/>
        <v>19527.203999999998</v>
      </c>
      <c r="E379">
        <f t="shared" si="54"/>
        <v>27.921999999999997</v>
      </c>
      <c r="K379">
        <f t="shared" si="55"/>
        <v>6.9638437233881677E-6</v>
      </c>
      <c r="L379">
        <f t="shared" si="56"/>
        <v>1.3960999999999999E-2</v>
      </c>
      <c r="M379">
        <f t="shared" si="57"/>
        <v>1.9404374487660065E-5</v>
      </c>
      <c r="N379">
        <f t="shared" si="58"/>
        <v>27.921999999999997</v>
      </c>
      <c r="O379">
        <f t="shared" si="59"/>
        <v>2.9566769999999996E-3</v>
      </c>
      <c r="P379" s="4">
        <f t="shared" si="60"/>
        <v>2.395703878768404</v>
      </c>
    </row>
    <row r="380" spans="1:16" x14ac:dyDescent="0.75">
      <c r="A380">
        <v>3.79</v>
      </c>
      <c r="B380">
        <f t="shared" si="53"/>
        <v>5.9270969999999998</v>
      </c>
      <c r="C380">
        <f t="shared" si="61"/>
        <v>70.052499999999995</v>
      </c>
      <c r="D380">
        <f t="shared" si="62"/>
        <v>19594.772000000001</v>
      </c>
      <c r="E380">
        <f t="shared" si="54"/>
        <v>28.020999999999997</v>
      </c>
      <c r="K380">
        <f t="shared" si="55"/>
        <v>6.9392400144336183E-6</v>
      </c>
      <c r="L380">
        <f t="shared" si="56"/>
        <v>1.40105E-2</v>
      </c>
      <c r="M380">
        <f t="shared" si="57"/>
        <v>1.924183945374302E-5</v>
      </c>
      <c r="N380">
        <f t="shared" si="58"/>
        <v>28.020999999999997</v>
      </c>
      <c r="O380">
        <f t="shared" si="59"/>
        <v>2.9634484999999998E-3</v>
      </c>
      <c r="P380" s="4">
        <f t="shared" si="60"/>
        <v>2.3986865691078578</v>
      </c>
    </row>
    <row r="381" spans="1:16" x14ac:dyDescent="0.75">
      <c r="A381">
        <v>3.8</v>
      </c>
      <c r="B381">
        <f t="shared" si="53"/>
        <v>5.9406400000000001</v>
      </c>
      <c r="C381">
        <f t="shared" si="61"/>
        <v>70.3</v>
      </c>
      <c r="D381">
        <f t="shared" si="62"/>
        <v>19662.34</v>
      </c>
      <c r="E381">
        <f t="shared" si="54"/>
        <v>28.119999999999997</v>
      </c>
      <c r="K381">
        <f t="shared" si="55"/>
        <v>6.9148095463884933E-6</v>
      </c>
      <c r="L381">
        <f t="shared" si="56"/>
        <v>1.406E-2</v>
      </c>
      <c r="M381">
        <f t="shared" si="57"/>
        <v>1.9080448869922548E-5</v>
      </c>
      <c r="N381">
        <f t="shared" si="58"/>
        <v>28.119999999999997</v>
      </c>
      <c r="O381">
        <f t="shared" si="59"/>
        <v>2.97022E-3</v>
      </c>
      <c r="P381" s="4">
        <f t="shared" si="60"/>
        <v>2.4016758695567275</v>
      </c>
    </row>
    <row r="382" spans="1:16" x14ac:dyDescent="0.75">
      <c r="A382">
        <v>3.81</v>
      </c>
      <c r="B382">
        <f t="shared" si="53"/>
        <v>5.9541830000000004</v>
      </c>
      <c r="C382">
        <f t="shared" si="61"/>
        <v>70.547499999999999</v>
      </c>
      <c r="D382">
        <f t="shared" si="62"/>
        <v>19729.907999999999</v>
      </c>
      <c r="E382">
        <f t="shared" si="54"/>
        <v>28.219000000000001</v>
      </c>
      <c r="K382">
        <f t="shared" si="55"/>
        <v>6.8905504959227613E-6</v>
      </c>
      <c r="L382">
        <f t="shared" si="56"/>
        <v>1.4109500000000001E-2</v>
      </c>
      <c r="M382">
        <f t="shared" si="57"/>
        <v>1.8920190691063141E-5</v>
      </c>
      <c r="N382">
        <f t="shared" si="58"/>
        <v>28.219000000000001</v>
      </c>
      <c r="O382">
        <f t="shared" si="59"/>
        <v>2.9769915000000002E-3</v>
      </c>
      <c r="P382" s="4">
        <f t="shared" si="60"/>
        <v>2.4046717812474188</v>
      </c>
    </row>
    <row r="383" spans="1:16" x14ac:dyDescent="0.75">
      <c r="A383">
        <v>3.82</v>
      </c>
      <c r="B383">
        <f t="shared" si="53"/>
        <v>5.9677259999999999</v>
      </c>
      <c r="C383">
        <f t="shared" si="61"/>
        <v>70.795000000000002</v>
      </c>
      <c r="D383">
        <f t="shared" si="62"/>
        <v>19797.475999999999</v>
      </c>
      <c r="E383">
        <f t="shared" si="54"/>
        <v>28.318000000000001</v>
      </c>
      <c r="K383">
        <f t="shared" si="55"/>
        <v>6.8664610652039129E-6</v>
      </c>
      <c r="L383">
        <f t="shared" si="56"/>
        <v>1.4159000000000001E-2</v>
      </c>
      <c r="M383">
        <f t="shared" si="57"/>
        <v>1.8761053040468951E-5</v>
      </c>
      <c r="N383">
        <f t="shared" si="58"/>
        <v>28.318000000000001</v>
      </c>
      <c r="O383">
        <f t="shared" si="59"/>
        <v>2.983763E-3</v>
      </c>
      <c r="P383" s="4">
        <f t="shared" si="60"/>
        <v>2.4076743053004592</v>
      </c>
    </row>
    <row r="384" spans="1:16" x14ac:dyDescent="0.75">
      <c r="A384">
        <v>3.83</v>
      </c>
      <c r="B384">
        <f t="shared" si="53"/>
        <v>5.9812690000000002</v>
      </c>
      <c r="C384">
        <f t="shared" si="61"/>
        <v>71.042500000000004</v>
      </c>
      <c r="D384">
        <f t="shared" si="62"/>
        <v>19865.044000000002</v>
      </c>
      <c r="E384">
        <f t="shared" si="54"/>
        <v>28.417000000000002</v>
      </c>
      <c r="K384">
        <f t="shared" si="55"/>
        <v>6.8425394814528065E-6</v>
      </c>
      <c r="L384">
        <f t="shared" si="56"/>
        <v>1.4208500000000001E-2</v>
      </c>
      <c r="M384">
        <f t="shared" si="57"/>
        <v>1.8603024206949665E-5</v>
      </c>
      <c r="N384">
        <f t="shared" si="58"/>
        <v>28.417000000000002</v>
      </c>
      <c r="O384">
        <f t="shared" si="59"/>
        <v>2.9905344999999997E-3</v>
      </c>
      <c r="P384" s="4">
        <f t="shared" si="60"/>
        <v>2.410683442824666</v>
      </c>
    </row>
    <row r="385" spans="1:16" x14ac:dyDescent="0.75">
      <c r="A385">
        <v>3.84</v>
      </c>
      <c r="B385">
        <f t="shared" si="53"/>
        <v>5.9948119999999996</v>
      </c>
      <c r="C385">
        <f t="shared" si="61"/>
        <v>71.289999999999992</v>
      </c>
      <c r="D385">
        <f t="shared" si="62"/>
        <v>19932.612000000001</v>
      </c>
      <c r="E385">
        <f t="shared" si="54"/>
        <v>28.515999999999998</v>
      </c>
      <c r="K385">
        <f t="shared" si="55"/>
        <v>6.818783996508782E-6</v>
      </c>
      <c r="L385">
        <f t="shared" si="56"/>
        <v>1.4258E-2</v>
      </c>
      <c r="M385">
        <f t="shared" si="57"/>
        <v>1.8446092641947596E-5</v>
      </c>
      <c r="N385">
        <f t="shared" si="58"/>
        <v>28.515999999999998</v>
      </c>
      <c r="O385">
        <f t="shared" si="59"/>
        <v>2.9973059999999995E-3</v>
      </c>
      <c r="P385" s="4">
        <f t="shared" si="60"/>
        <v>2.4136991949173079</v>
      </c>
    </row>
    <row r="386" spans="1:16" x14ac:dyDescent="0.75">
      <c r="A386">
        <v>3.85</v>
      </c>
      <c r="B386">
        <f t="shared" ref="B386:B449" si="63">1.3543*A386+0.7943</f>
        <v>6.0083549999999999</v>
      </c>
      <c r="C386">
        <f t="shared" si="61"/>
        <v>71.537500000000009</v>
      </c>
      <c r="D386">
        <f t="shared" si="62"/>
        <v>20000.18</v>
      </c>
      <c r="E386">
        <f t="shared" ref="E386:E449" si="64">C386/($J$2*$J$4)</f>
        <v>28.615000000000002</v>
      </c>
      <c r="K386">
        <f t="shared" ref="K386:K449" si="65">$I$501/E386</f>
        <v>6.7951928864037878E-6</v>
      </c>
      <c r="L386">
        <f t="shared" si="56"/>
        <v>1.4307500000000003E-2</v>
      </c>
      <c r="M386">
        <f t="shared" si="57"/>
        <v>1.8290246956724319E-5</v>
      </c>
      <c r="N386">
        <f t="shared" si="58"/>
        <v>28.615000000000002</v>
      </c>
      <c r="O386">
        <f t="shared" si="59"/>
        <v>3.0040774999999997E-3</v>
      </c>
      <c r="P386" s="4">
        <f t="shared" si="60"/>
        <v>2.4167215626642644</v>
      </c>
    </row>
    <row r="387" spans="1:16" x14ac:dyDescent="0.75">
      <c r="A387">
        <v>3.86</v>
      </c>
      <c r="B387">
        <f t="shared" si="63"/>
        <v>6.0218980000000002</v>
      </c>
      <c r="C387">
        <f t="shared" si="61"/>
        <v>71.784999999999997</v>
      </c>
      <c r="D387">
        <f t="shared" si="62"/>
        <v>20067.748</v>
      </c>
      <c r="E387">
        <f t="shared" si="64"/>
        <v>28.713999999999999</v>
      </c>
      <c r="K387">
        <f t="shared" si="65"/>
        <v>6.7717644509453376E-6</v>
      </c>
      <c r="L387">
        <f t="shared" ref="L387:L450" si="66">$F$2*C387</f>
        <v>1.4357E-2</v>
      </c>
      <c r="M387">
        <f t="shared" ref="M387:M450" si="67">K387*($H$2-B387)</f>
        <v>1.8135475919605603E-5</v>
      </c>
      <c r="N387">
        <f t="shared" ref="N387:N450" si="68">C387/$J$2</f>
        <v>28.713999999999999</v>
      </c>
      <c r="O387">
        <f t="shared" ref="O387:O450" si="69">L387/N387*(B387-$F$2)</f>
        <v>3.0108489999999999E-3</v>
      </c>
      <c r="P387" s="4">
        <f t="shared" si="60"/>
        <v>2.4197505471401839</v>
      </c>
    </row>
    <row r="388" spans="1:16" x14ac:dyDescent="0.75">
      <c r="A388">
        <v>3.87</v>
      </c>
      <c r="B388">
        <f t="shared" si="63"/>
        <v>6.0354410000000005</v>
      </c>
      <c r="C388">
        <f t="shared" si="61"/>
        <v>72.032499999999999</v>
      </c>
      <c r="D388">
        <f t="shared" si="62"/>
        <v>20135.316000000003</v>
      </c>
      <c r="E388">
        <f t="shared" si="64"/>
        <v>28.812999999999999</v>
      </c>
      <c r="K388">
        <f t="shared" si="65"/>
        <v>6.7484970133080353E-6</v>
      </c>
      <c r="L388">
        <f t="shared" si="66"/>
        <v>1.4406500000000001E-2</v>
      </c>
      <c r="M388">
        <f t="shared" si="67"/>
        <v>1.7981768453283038E-5</v>
      </c>
      <c r="N388">
        <f t="shared" si="68"/>
        <v>28.812999999999999</v>
      </c>
      <c r="O388">
        <f t="shared" si="69"/>
        <v>3.0176205000000001E-3</v>
      </c>
      <c r="P388" s="4">
        <f t="shared" ref="P388:P451" si="70">P387+O388+M388</f>
        <v>2.4227861494086373</v>
      </c>
    </row>
    <row r="389" spans="1:16" x14ac:dyDescent="0.75">
      <c r="A389">
        <v>3.88</v>
      </c>
      <c r="B389">
        <f t="shared" si="63"/>
        <v>6.0489839999999999</v>
      </c>
      <c r="C389">
        <f t="shared" si="61"/>
        <v>72.28</v>
      </c>
      <c r="D389">
        <f t="shared" si="62"/>
        <v>20202.883999999998</v>
      </c>
      <c r="E389">
        <f t="shared" si="64"/>
        <v>28.911999999999999</v>
      </c>
      <c r="K389">
        <f t="shared" si="65"/>
        <v>6.7253889196335232E-6</v>
      </c>
      <c r="L389">
        <f t="shared" si="66"/>
        <v>1.4456E-2</v>
      </c>
      <c r="M389">
        <f t="shared" si="67"/>
        <v>1.7829113632171179E-5</v>
      </c>
      <c r="N389">
        <f t="shared" si="68"/>
        <v>28.911999999999999</v>
      </c>
      <c r="O389">
        <f t="shared" si="69"/>
        <v>3.0243919999999999E-3</v>
      </c>
      <c r="P389" s="4">
        <f t="shared" si="70"/>
        <v>2.4258283705222694</v>
      </c>
    </row>
    <row r="390" spans="1:16" x14ac:dyDescent="0.75">
      <c r="A390">
        <v>3.89</v>
      </c>
      <c r="B390">
        <f t="shared" si="63"/>
        <v>6.0625270000000002</v>
      </c>
      <c r="C390">
        <f t="shared" si="61"/>
        <v>72.527500000000003</v>
      </c>
      <c r="D390">
        <f t="shared" si="62"/>
        <v>20270.452000000001</v>
      </c>
      <c r="E390">
        <f t="shared" si="64"/>
        <v>29.011000000000003</v>
      </c>
      <c r="K390">
        <f t="shared" si="65"/>
        <v>6.7024385386385987E-6</v>
      </c>
      <c r="L390">
        <f t="shared" si="66"/>
        <v>1.4505500000000001E-2</v>
      </c>
      <c r="M390">
        <f t="shared" si="67"/>
        <v>1.7677500679818755E-5</v>
      </c>
      <c r="N390">
        <f t="shared" si="68"/>
        <v>29.011000000000003</v>
      </c>
      <c r="O390">
        <f t="shared" si="69"/>
        <v>3.0311635000000001E-3</v>
      </c>
      <c r="P390" s="4">
        <f t="shared" si="70"/>
        <v>2.4288772115229493</v>
      </c>
    </row>
    <row r="391" spans="1:16" x14ac:dyDescent="0.75">
      <c r="A391">
        <v>3.9</v>
      </c>
      <c r="B391">
        <f t="shared" si="63"/>
        <v>6.0760699999999996</v>
      </c>
      <c r="C391">
        <f t="shared" si="61"/>
        <v>72.774999999999991</v>
      </c>
      <c r="D391">
        <f t="shared" si="62"/>
        <v>20338.02</v>
      </c>
      <c r="E391">
        <f t="shared" si="64"/>
        <v>29.109999999999996</v>
      </c>
      <c r="K391">
        <f t="shared" si="65"/>
        <v>6.6796442612313441E-6</v>
      </c>
      <c r="L391">
        <f t="shared" si="66"/>
        <v>1.4554999999999998E-2</v>
      </c>
      <c r="M391">
        <f t="shared" si="67"/>
        <v>1.752691896637276E-5</v>
      </c>
      <c r="N391">
        <f t="shared" si="68"/>
        <v>29.109999999999996</v>
      </c>
      <c r="O391">
        <f t="shared" si="69"/>
        <v>3.0379349999999999E-3</v>
      </c>
      <c r="P391" s="4">
        <f t="shared" si="70"/>
        <v>2.4319326734419158</v>
      </c>
    </row>
    <row r="392" spans="1:16" x14ac:dyDescent="0.75">
      <c r="A392">
        <v>3.91</v>
      </c>
      <c r="B392">
        <f t="shared" si="63"/>
        <v>6.0896129999999999</v>
      </c>
      <c r="C392">
        <f t="shared" si="61"/>
        <v>73.022500000000008</v>
      </c>
      <c r="D392">
        <f t="shared" si="62"/>
        <v>20405.588000000003</v>
      </c>
      <c r="E392">
        <f t="shared" si="64"/>
        <v>29.209000000000003</v>
      </c>
      <c r="K392">
        <f t="shared" si="65"/>
        <v>6.6570045001350397E-6</v>
      </c>
      <c r="L392">
        <f t="shared" si="66"/>
        <v>1.4604500000000003E-2</v>
      </c>
      <c r="M392">
        <f t="shared" si="67"/>
        <v>1.7377358006094001E-5</v>
      </c>
      <c r="N392">
        <f t="shared" si="68"/>
        <v>29.209000000000003</v>
      </c>
      <c r="O392">
        <f t="shared" si="69"/>
        <v>3.0447064999999996E-3</v>
      </c>
      <c r="P392" s="4">
        <f t="shared" si="70"/>
        <v>2.4349947572999215</v>
      </c>
    </row>
    <row r="393" spans="1:16" x14ac:dyDescent="0.75">
      <c r="A393">
        <v>3.92</v>
      </c>
      <c r="B393">
        <f t="shared" si="63"/>
        <v>6.1031560000000002</v>
      </c>
      <c r="C393">
        <f t="shared" si="61"/>
        <v>73.27</v>
      </c>
      <c r="D393">
        <f t="shared" si="62"/>
        <v>20473.155999999999</v>
      </c>
      <c r="E393">
        <f t="shared" si="64"/>
        <v>29.308</v>
      </c>
      <c r="K393">
        <f t="shared" si="65"/>
        <v>6.6345176895197359E-6</v>
      </c>
      <c r="L393">
        <f t="shared" si="66"/>
        <v>1.4654E-2</v>
      </c>
      <c r="M393">
        <f t="shared" si="67"/>
        <v>1.7228807454923184E-5</v>
      </c>
      <c r="N393">
        <f t="shared" si="68"/>
        <v>29.308</v>
      </c>
      <c r="O393">
        <f t="shared" si="69"/>
        <v>3.0514779999999998E-3</v>
      </c>
      <c r="P393" s="4">
        <f t="shared" si="70"/>
        <v>2.4380634641073766</v>
      </c>
    </row>
    <row r="394" spans="1:16" x14ac:dyDescent="0.75">
      <c r="A394">
        <v>3.93</v>
      </c>
      <c r="B394">
        <f t="shared" si="63"/>
        <v>6.1166990000000006</v>
      </c>
      <c r="C394">
        <f t="shared" si="61"/>
        <v>73.517499999999998</v>
      </c>
      <c r="D394">
        <f t="shared" si="62"/>
        <v>20540.724000000002</v>
      </c>
      <c r="E394">
        <f t="shared" si="64"/>
        <v>29.407</v>
      </c>
      <c r="K394">
        <f t="shared" si="65"/>
        <v>6.6121822846412214E-6</v>
      </c>
      <c r="L394">
        <f t="shared" si="66"/>
        <v>1.47035E-2</v>
      </c>
      <c r="M394">
        <f t="shared" si="67"/>
        <v>1.7081257108095944E-5</v>
      </c>
      <c r="N394">
        <f t="shared" si="68"/>
        <v>29.407</v>
      </c>
      <c r="O394">
        <f t="shared" si="69"/>
        <v>3.0582495E-3</v>
      </c>
      <c r="P394" s="4">
        <f t="shared" si="70"/>
        <v>2.4411387948644849</v>
      </c>
    </row>
    <row r="395" spans="1:16" x14ac:dyDescent="0.75">
      <c r="A395">
        <v>3.94</v>
      </c>
      <c r="B395">
        <f t="shared" si="63"/>
        <v>6.130242</v>
      </c>
      <c r="C395">
        <f t="shared" si="61"/>
        <v>73.765000000000001</v>
      </c>
      <c r="D395">
        <f t="shared" si="62"/>
        <v>20608.292000000001</v>
      </c>
      <c r="E395">
        <f t="shared" si="64"/>
        <v>29.506</v>
      </c>
      <c r="K395">
        <f t="shared" si="65"/>
        <v>6.5899967614873048E-6</v>
      </c>
      <c r="L395">
        <f t="shared" si="66"/>
        <v>1.4753E-2</v>
      </c>
      <c r="M395">
        <f t="shared" si="67"/>
        <v>1.6934696897806089E-5</v>
      </c>
      <c r="N395">
        <f t="shared" si="68"/>
        <v>29.506</v>
      </c>
      <c r="O395">
        <f t="shared" si="69"/>
        <v>3.0650209999999998E-3</v>
      </c>
      <c r="P395" s="4">
        <f t="shared" si="70"/>
        <v>2.4442207505613824</v>
      </c>
    </row>
    <row r="396" spans="1:16" x14ac:dyDescent="0.75">
      <c r="A396">
        <v>3.95</v>
      </c>
      <c r="B396">
        <f t="shared" si="63"/>
        <v>6.1437850000000003</v>
      </c>
      <c r="C396">
        <f t="shared" si="61"/>
        <v>74.012500000000003</v>
      </c>
      <c r="D396">
        <f t="shared" si="62"/>
        <v>20675.86</v>
      </c>
      <c r="E396">
        <f t="shared" si="64"/>
        <v>29.605</v>
      </c>
      <c r="K396">
        <f t="shared" si="65"/>
        <v>6.5679596164311572E-6</v>
      </c>
      <c r="L396">
        <f t="shared" si="66"/>
        <v>1.4802500000000001E-2</v>
      </c>
      <c r="M396">
        <f t="shared" si="67"/>
        <v>1.6789116890915565E-5</v>
      </c>
      <c r="N396">
        <f t="shared" si="68"/>
        <v>29.605</v>
      </c>
      <c r="O396">
        <f t="shared" si="69"/>
        <v>3.0717925E-3</v>
      </c>
      <c r="P396" s="4">
        <f t="shared" si="70"/>
        <v>2.4473093321782735</v>
      </c>
    </row>
    <row r="397" spans="1:16" x14ac:dyDescent="0.75">
      <c r="A397">
        <v>3.96</v>
      </c>
      <c r="B397">
        <f t="shared" si="63"/>
        <v>6.1573279999999997</v>
      </c>
      <c r="C397">
        <f t="shared" si="61"/>
        <v>74.260000000000005</v>
      </c>
      <c r="D397">
        <f t="shared" si="62"/>
        <v>20743.428</v>
      </c>
      <c r="E397">
        <f t="shared" si="64"/>
        <v>29.704000000000001</v>
      </c>
      <c r="K397">
        <f t="shared" si="65"/>
        <v>6.5460693658916102E-6</v>
      </c>
      <c r="L397">
        <f t="shared" si="66"/>
        <v>1.4852000000000002E-2</v>
      </c>
      <c r="M397">
        <f t="shared" si="67"/>
        <v>1.6644507286710348E-5</v>
      </c>
      <c r="N397">
        <f t="shared" si="68"/>
        <v>29.704000000000001</v>
      </c>
      <c r="O397">
        <f t="shared" si="69"/>
        <v>3.0785640000000002E-3</v>
      </c>
      <c r="P397" s="4">
        <f t="shared" si="70"/>
        <v>2.4504045406855601</v>
      </c>
    </row>
    <row r="398" spans="1:16" x14ac:dyDescent="0.75">
      <c r="A398">
        <v>3.97</v>
      </c>
      <c r="B398">
        <f t="shared" si="63"/>
        <v>6.170871</v>
      </c>
      <c r="C398">
        <f t="shared" si="61"/>
        <v>74.507500000000007</v>
      </c>
      <c r="D398">
        <f t="shared" si="62"/>
        <v>20810.996000000003</v>
      </c>
      <c r="E398">
        <f t="shared" si="64"/>
        <v>29.803000000000004</v>
      </c>
      <c r="K398">
        <f t="shared" si="65"/>
        <v>6.5243245460002137E-6</v>
      </c>
      <c r="L398">
        <f t="shared" si="66"/>
        <v>1.4901500000000002E-2</v>
      </c>
      <c r="M398">
        <f t="shared" si="67"/>
        <v>1.650085841470097E-5</v>
      </c>
      <c r="N398">
        <f t="shared" si="68"/>
        <v>29.803000000000004</v>
      </c>
      <c r="O398">
        <f t="shared" si="69"/>
        <v>3.0853355E-3</v>
      </c>
      <c r="P398" s="4">
        <f t="shared" si="70"/>
        <v>2.4535063770439747</v>
      </c>
    </row>
    <row r="399" spans="1:16" x14ac:dyDescent="0.75">
      <c r="A399">
        <v>3.98</v>
      </c>
      <c r="B399">
        <f t="shared" si="63"/>
        <v>6.1844140000000003</v>
      </c>
      <c r="C399">
        <f t="shared" si="61"/>
        <v>74.754999999999995</v>
      </c>
      <c r="D399">
        <f t="shared" si="62"/>
        <v>20878.564000000002</v>
      </c>
      <c r="E399">
        <f t="shared" si="64"/>
        <v>29.901999999999997</v>
      </c>
      <c r="K399">
        <f t="shared" si="65"/>
        <v>6.5027237122749122E-6</v>
      </c>
      <c r="L399">
        <f t="shared" si="66"/>
        <v>1.4950999999999999E-2</v>
      </c>
      <c r="M399">
        <f t="shared" si="67"/>
        <v>1.635816073246679E-5</v>
      </c>
      <c r="N399">
        <f t="shared" si="68"/>
        <v>29.901999999999997</v>
      </c>
      <c r="O399">
        <f t="shared" si="69"/>
        <v>3.0921070000000002E-3</v>
      </c>
      <c r="P399" s="4">
        <f t="shared" si="70"/>
        <v>2.4566148422047074</v>
      </c>
    </row>
    <row r="400" spans="1:16" x14ac:dyDescent="0.75">
      <c r="A400">
        <v>3.99</v>
      </c>
      <c r="B400">
        <f t="shared" si="63"/>
        <v>6.1979570000000006</v>
      </c>
      <c r="C400">
        <f t="shared" si="61"/>
        <v>75.002500000000012</v>
      </c>
      <c r="D400">
        <f t="shared" si="62"/>
        <v>20946.132000000001</v>
      </c>
      <c r="E400">
        <f t="shared" si="64"/>
        <v>30.001000000000005</v>
      </c>
      <c r="K400">
        <f t="shared" si="65"/>
        <v>6.4812654393001688E-6</v>
      </c>
      <c r="L400">
        <f t="shared" si="66"/>
        <v>1.5000500000000003E-2</v>
      </c>
      <c r="M400">
        <f t="shared" si="67"/>
        <v>1.6216404823542905E-5</v>
      </c>
      <c r="N400">
        <f t="shared" si="68"/>
        <v>30.001000000000005</v>
      </c>
      <c r="O400">
        <f t="shared" si="69"/>
        <v>3.0988785E-3</v>
      </c>
      <c r="P400" s="4">
        <f t="shared" si="70"/>
        <v>2.4597299371095307</v>
      </c>
    </row>
    <row r="401" spans="1:16" x14ac:dyDescent="0.75">
      <c r="A401">
        <v>4</v>
      </c>
      <c r="B401">
        <f t="shared" si="63"/>
        <v>6.2115</v>
      </c>
      <c r="C401">
        <f t="shared" si="61"/>
        <v>75.25</v>
      </c>
      <c r="D401">
        <f t="shared" si="62"/>
        <v>21013.7</v>
      </c>
      <c r="E401">
        <f t="shared" si="64"/>
        <v>30.1</v>
      </c>
      <c r="K401">
        <f t="shared" si="65"/>
        <v>6.4599483204134348E-6</v>
      </c>
      <c r="L401">
        <f t="shared" si="66"/>
        <v>1.5050000000000001E-2</v>
      </c>
      <c r="M401">
        <f t="shared" si="67"/>
        <v>1.6075581395348827E-5</v>
      </c>
      <c r="N401">
        <f t="shared" si="68"/>
        <v>30.1</v>
      </c>
      <c r="O401">
        <f t="shared" si="69"/>
        <v>3.1056499999999997E-3</v>
      </c>
      <c r="P401" s="4">
        <f t="shared" si="70"/>
        <v>2.4628516626909263</v>
      </c>
    </row>
    <row r="402" spans="1:16" x14ac:dyDescent="0.75">
      <c r="A402">
        <v>4.01</v>
      </c>
      <c r="B402">
        <f t="shared" si="63"/>
        <v>6.2250429999999994</v>
      </c>
      <c r="C402">
        <f t="shared" si="61"/>
        <v>75.497499999999988</v>
      </c>
      <c r="D402">
        <f t="shared" si="62"/>
        <v>21081.268</v>
      </c>
      <c r="E402">
        <f t="shared" si="64"/>
        <v>30.198999999999995</v>
      </c>
      <c r="K402">
        <f t="shared" si="65"/>
        <v>6.4387709673977433E-6</v>
      </c>
      <c r="L402">
        <f t="shared" si="66"/>
        <v>1.5099499999999998E-2</v>
      </c>
      <c r="M402">
        <f t="shared" si="67"/>
        <v>1.5935681277157815E-5</v>
      </c>
      <c r="N402">
        <f t="shared" si="68"/>
        <v>30.198999999999995</v>
      </c>
      <c r="O402">
        <f t="shared" si="69"/>
        <v>3.1124214999999995E-3</v>
      </c>
      <c r="P402" s="4">
        <f t="shared" si="70"/>
        <v>2.4659800198722035</v>
      </c>
    </row>
    <row r="403" spans="1:16" x14ac:dyDescent="0.75">
      <c r="A403">
        <v>4.0199999999999996</v>
      </c>
      <c r="B403">
        <f t="shared" si="63"/>
        <v>6.2385859999999997</v>
      </c>
      <c r="C403">
        <f t="shared" si="61"/>
        <v>75.74499999999999</v>
      </c>
      <c r="D403">
        <f t="shared" si="62"/>
        <v>21148.835999999999</v>
      </c>
      <c r="E403">
        <f t="shared" si="64"/>
        <v>30.297999999999995</v>
      </c>
      <c r="K403">
        <f t="shared" si="65"/>
        <v>6.4177320101803565E-6</v>
      </c>
      <c r="L403">
        <f t="shared" si="66"/>
        <v>1.5148999999999999E-2</v>
      </c>
      <c r="M403">
        <f t="shared" si="67"/>
        <v>1.5796695418106068E-5</v>
      </c>
      <c r="N403">
        <f t="shared" si="68"/>
        <v>30.297999999999995</v>
      </c>
      <c r="O403">
        <f t="shared" si="69"/>
        <v>3.1191929999999997E-3</v>
      </c>
      <c r="P403" s="4">
        <f t="shared" si="70"/>
        <v>2.4691150095676213</v>
      </c>
    </row>
    <row r="404" spans="1:16" x14ac:dyDescent="0.75">
      <c r="A404">
        <v>4.03</v>
      </c>
      <c r="B404">
        <f t="shared" si="63"/>
        <v>6.252129</v>
      </c>
      <c r="C404">
        <f t="shared" si="61"/>
        <v>75.992500000000007</v>
      </c>
      <c r="D404">
        <f t="shared" si="62"/>
        <v>21216.404000000002</v>
      </c>
      <c r="E404">
        <f t="shared" si="64"/>
        <v>30.397000000000002</v>
      </c>
      <c r="K404">
        <f t="shared" si="65"/>
        <v>6.3968300965373029E-6</v>
      </c>
      <c r="L404">
        <f t="shared" si="66"/>
        <v>1.5198500000000002E-2</v>
      </c>
      <c r="M404">
        <f t="shared" si="67"/>
        <v>1.565861488524086E-5</v>
      </c>
      <c r="N404">
        <f t="shared" si="68"/>
        <v>30.397000000000002</v>
      </c>
      <c r="O404">
        <f t="shared" si="69"/>
        <v>3.1259644999999999E-3</v>
      </c>
      <c r="P404" s="4">
        <f t="shared" si="70"/>
        <v>2.4722566326825066</v>
      </c>
    </row>
    <row r="405" spans="1:16" x14ac:dyDescent="0.75">
      <c r="A405">
        <v>4.04</v>
      </c>
      <c r="B405">
        <f t="shared" si="63"/>
        <v>6.2656720000000004</v>
      </c>
      <c r="C405">
        <f t="shared" si="61"/>
        <v>76.239999999999995</v>
      </c>
      <c r="D405">
        <f t="shared" si="62"/>
        <v>21283.972000000002</v>
      </c>
      <c r="E405">
        <f t="shared" si="64"/>
        <v>30.495999999999999</v>
      </c>
      <c r="K405">
        <f t="shared" si="65"/>
        <v>6.37606389180366E-6</v>
      </c>
      <c r="L405">
        <f t="shared" si="66"/>
        <v>1.5247999999999999E-2</v>
      </c>
      <c r="M405">
        <f t="shared" si="67"/>
        <v>1.5521430861606612E-5</v>
      </c>
      <c r="N405">
        <f t="shared" si="68"/>
        <v>30.495999999999999</v>
      </c>
      <c r="O405">
        <f t="shared" si="69"/>
        <v>3.1327360000000001E-3</v>
      </c>
      <c r="P405" s="4">
        <f t="shared" si="70"/>
        <v>2.4754048901133681</v>
      </c>
    </row>
    <row r="406" spans="1:16" x14ac:dyDescent="0.75">
      <c r="A406">
        <v>4.05</v>
      </c>
      <c r="B406">
        <f t="shared" si="63"/>
        <v>6.2792149999999998</v>
      </c>
      <c r="C406">
        <f t="shared" si="61"/>
        <v>76.487499999999997</v>
      </c>
      <c r="D406">
        <f t="shared" si="62"/>
        <v>21351.54</v>
      </c>
      <c r="E406">
        <f t="shared" si="64"/>
        <v>30.594999999999999</v>
      </c>
      <c r="K406">
        <f t="shared" si="65"/>
        <v>6.355432078589456E-6</v>
      </c>
      <c r="L406">
        <f t="shared" si="66"/>
        <v>1.52975E-2</v>
      </c>
      <c r="M406">
        <f t="shared" si="67"/>
        <v>1.5385134644368174E-5</v>
      </c>
      <c r="N406">
        <f t="shared" si="68"/>
        <v>30.594999999999999</v>
      </c>
      <c r="O406">
        <f t="shared" si="69"/>
        <v>3.1395074999999999E-3</v>
      </c>
      <c r="P406" s="4">
        <f t="shared" si="70"/>
        <v>2.4785597827480124</v>
      </c>
    </row>
    <row r="407" spans="1:16" x14ac:dyDescent="0.75">
      <c r="A407">
        <v>4.0599999999999996</v>
      </c>
      <c r="B407">
        <f t="shared" si="63"/>
        <v>6.2927579999999992</v>
      </c>
      <c r="C407">
        <f t="shared" si="61"/>
        <v>76.734999999999985</v>
      </c>
      <c r="D407">
        <f t="shared" si="62"/>
        <v>21419.107999999997</v>
      </c>
      <c r="E407">
        <f t="shared" si="64"/>
        <v>30.693999999999996</v>
      </c>
      <c r="K407">
        <f t="shared" si="65"/>
        <v>6.334933356501089E-6</v>
      </c>
      <c r="L407">
        <f t="shared" si="66"/>
        <v>1.5346999999999998E-2</v>
      </c>
      <c r="M407">
        <f t="shared" si="67"/>
        <v>1.5249717642970395E-5</v>
      </c>
      <c r="N407">
        <f t="shared" si="68"/>
        <v>30.693999999999996</v>
      </c>
      <c r="O407">
        <f t="shared" si="69"/>
        <v>3.1462789999999997E-3</v>
      </c>
      <c r="P407" s="4">
        <f t="shared" si="70"/>
        <v>2.4817213114656553</v>
      </c>
    </row>
    <row r="408" spans="1:16" x14ac:dyDescent="0.75">
      <c r="A408">
        <v>4.07</v>
      </c>
      <c r="B408">
        <f t="shared" si="63"/>
        <v>6.3063010000000004</v>
      </c>
      <c r="C408">
        <f t="shared" si="61"/>
        <v>76.982500000000002</v>
      </c>
      <c r="D408">
        <f t="shared" si="62"/>
        <v>21486.676000000003</v>
      </c>
      <c r="E408">
        <f t="shared" si="64"/>
        <v>30.792999999999999</v>
      </c>
      <c r="K408">
        <f t="shared" si="65"/>
        <v>6.3145664418681006E-6</v>
      </c>
      <c r="L408">
        <f t="shared" si="66"/>
        <v>1.53965E-2</v>
      </c>
      <c r="M408">
        <f t="shared" si="67"/>
        <v>1.5115171377333223E-5</v>
      </c>
      <c r="N408">
        <f t="shared" si="68"/>
        <v>30.792999999999999</v>
      </c>
      <c r="O408">
        <f t="shared" si="69"/>
        <v>3.1530504999999999E-3</v>
      </c>
      <c r="P408" s="4">
        <f t="shared" si="70"/>
        <v>2.4848894771370325</v>
      </c>
    </row>
    <row r="409" spans="1:16" x14ac:dyDescent="0.75">
      <c r="A409">
        <v>4.08</v>
      </c>
      <c r="B409">
        <f t="shared" si="63"/>
        <v>6.3198439999999998</v>
      </c>
      <c r="C409">
        <f t="shared" si="61"/>
        <v>77.23</v>
      </c>
      <c r="D409">
        <f t="shared" si="62"/>
        <v>21554.244000000002</v>
      </c>
      <c r="E409">
        <f t="shared" si="64"/>
        <v>30.892000000000003</v>
      </c>
      <c r="K409">
        <f t="shared" si="65"/>
        <v>6.2943300674752168E-6</v>
      </c>
      <c r="L409">
        <f t="shared" si="66"/>
        <v>1.5446000000000001E-2</v>
      </c>
      <c r="M409">
        <f t="shared" si="67"/>
        <v>1.4981487476081539E-5</v>
      </c>
      <c r="N409">
        <f t="shared" si="68"/>
        <v>30.892000000000003</v>
      </c>
      <c r="O409">
        <f t="shared" si="69"/>
        <v>3.1598219999999996E-3</v>
      </c>
      <c r="P409" s="4">
        <f t="shared" si="70"/>
        <v>2.4880642806245086</v>
      </c>
    </row>
    <row r="410" spans="1:16" x14ac:dyDescent="0.75">
      <c r="A410">
        <v>4.09</v>
      </c>
      <c r="B410">
        <f t="shared" si="63"/>
        <v>6.3333870000000001</v>
      </c>
      <c r="C410">
        <f t="shared" si="61"/>
        <v>77.477499999999992</v>
      </c>
      <c r="D410">
        <f t="shared" si="62"/>
        <v>21621.811999999998</v>
      </c>
      <c r="E410">
        <f t="shared" si="64"/>
        <v>30.990999999999996</v>
      </c>
      <c r="K410">
        <f t="shared" si="65"/>
        <v>6.2742229822995199E-6</v>
      </c>
      <c r="L410">
        <f t="shared" si="66"/>
        <v>1.5495499999999999E-2</v>
      </c>
      <c r="M410">
        <f t="shared" si="67"/>
        <v>1.4848657674808809E-5</v>
      </c>
      <c r="N410">
        <f t="shared" si="68"/>
        <v>30.990999999999996</v>
      </c>
      <c r="O410">
        <f t="shared" si="69"/>
        <v>3.1665934999999998E-3</v>
      </c>
      <c r="P410" s="4">
        <f t="shared" si="70"/>
        <v>2.4912457227821836</v>
      </c>
    </row>
    <row r="411" spans="1:16" x14ac:dyDescent="0.75">
      <c r="A411">
        <v>4.0999999999999996</v>
      </c>
      <c r="B411">
        <f t="shared" si="63"/>
        <v>6.3469299999999995</v>
      </c>
      <c r="C411">
        <f t="shared" si="61"/>
        <v>77.724999999999994</v>
      </c>
      <c r="D411">
        <f t="shared" si="62"/>
        <v>21689.379999999997</v>
      </c>
      <c r="E411">
        <f t="shared" si="64"/>
        <v>31.089999999999996</v>
      </c>
      <c r="K411">
        <f t="shared" si="65"/>
        <v>6.2542439512526353E-6</v>
      </c>
      <c r="L411">
        <f t="shared" si="66"/>
        <v>1.5545E-2</v>
      </c>
      <c r="M411">
        <f t="shared" si="67"/>
        <v>1.4716673814374037E-5</v>
      </c>
      <c r="N411">
        <f t="shared" si="68"/>
        <v>31.089999999999996</v>
      </c>
      <c r="O411">
        <f t="shared" si="69"/>
        <v>3.1733649999999996E-3</v>
      </c>
      <c r="P411" s="4">
        <f t="shared" si="70"/>
        <v>2.4944338044559977</v>
      </c>
    </row>
    <row r="412" spans="1:16" x14ac:dyDescent="0.75">
      <c r="A412">
        <v>4.1100000000000003</v>
      </c>
      <c r="B412">
        <f t="shared" si="63"/>
        <v>6.3604730000000007</v>
      </c>
      <c r="C412">
        <f t="shared" si="61"/>
        <v>77.972500000000011</v>
      </c>
      <c r="D412">
        <f t="shared" si="62"/>
        <v>21756.948000000004</v>
      </c>
      <c r="E412">
        <f t="shared" si="64"/>
        <v>31.189000000000004</v>
      </c>
      <c r="K412">
        <f t="shared" si="65"/>
        <v>6.2343917549278394E-6</v>
      </c>
      <c r="L412">
        <f t="shared" si="66"/>
        <v>1.5594500000000002E-2</v>
      </c>
      <c r="M412">
        <f t="shared" si="67"/>
        <v>1.4585527839231054E-5</v>
      </c>
      <c r="N412">
        <f t="shared" si="68"/>
        <v>31.189000000000004</v>
      </c>
      <c r="O412">
        <f t="shared" si="69"/>
        <v>3.1801365000000002E-3</v>
      </c>
      <c r="P412" s="4">
        <f t="shared" si="70"/>
        <v>2.4976285264838372</v>
      </c>
    </row>
    <row r="413" spans="1:16" x14ac:dyDescent="0.75">
      <c r="A413">
        <v>4.12</v>
      </c>
      <c r="B413">
        <f t="shared" si="63"/>
        <v>6.3740160000000001</v>
      </c>
      <c r="C413">
        <f t="shared" si="61"/>
        <v>78.22</v>
      </c>
      <c r="D413">
        <f t="shared" si="62"/>
        <v>21824.516000000003</v>
      </c>
      <c r="E413">
        <f t="shared" si="64"/>
        <v>31.288</v>
      </c>
      <c r="K413">
        <f t="shared" si="65"/>
        <v>6.2146651893519691E-6</v>
      </c>
      <c r="L413">
        <f t="shared" si="66"/>
        <v>1.5644000000000002E-2</v>
      </c>
      <c r="M413">
        <f t="shared" si="67"/>
        <v>1.4455211795789645E-5</v>
      </c>
      <c r="N413">
        <f t="shared" si="68"/>
        <v>31.288</v>
      </c>
      <c r="O413">
        <f t="shared" si="69"/>
        <v>3.186908E-3</v>
      </c>
      <c r="P413" s="4">
        <f t="shared" si="70"/>
        <v>2.5008298896956331</v>
      </c>
    </row>
    <row r="414" spans="1:16" x14ac:dyDescent="0.75">
      <c r="A414">
        <v>4.13</v>
      </c>
      <c r="B414">
        <f t="shared" si="63"/>
        <v>6.3875589999999995</v>
      </c>
      <c r="C414">
        <f t="shared" si="61"/>
        <v>78.467500000000001</v>
      </c>
      <c r="D414">
        <f t="shared" si="62"/>
        <v>21892.083999999999</v>
      </c>
      <c r="E414">
        <f t="shared" si="64"/>
        <v>31.387</v>
      </c>
      <c r="K414">
        <f t="shared" si="65"/>
        <v>6.195063065742008E-6</v>
      </c>
      <c r="L414">
        <f t="shared" si="66"/>
        <v>1.5693500000000003E-2</v>
      </c>
      <c r="M414">
        <f t="shared" si="67"/>
        <v>1.4325717830807513E-5</v>
      </c>
      <c r="N414">
        <f t="shared" si="68"/>
        <v>31.387</v>
      </c>
      <c r="O414">
        <f t="shared" si="69"/>
        <v>3.1936795000000002E-3</v>
      </c>
      <c r="P414" s="4">
        <f t="shared" si="70"/>
        <v>2.5040378949134636</v>
      </c>
    </row>
    <row r="415" spans="1:16" x14ac:dyDescent="0.75">
      <c r="A415">
        <v>4.1399999999999997</v>
      </c>
      <c r="B415">
        <f t="shared" si="63"/>
        <v>6.4011019999999998</v>
      </c>
      <c r="C415">
        <f t="shared" si="61"/>
        <v>78.714999999999989</v>
      </c>
      <c r="D415">
        <f t="shared" si="62"/>
        <v>21959.651999999998</v>
      </c>
      <c r="E415">
        <f t="shared" si="64"/>
        <v>31.485999999999997</v>
      </c>
      <c r="K415">
        <f t="shared" si="65"/>
        <v>6.175584210266291E-6</v>
      </c>
      <c r="L415">
        <f t="shared" si="66"/>
        <v>1.5743E-2</v>
      </c>
      <c r="M415">
        <f t="shared" si="67"/>
        <v>1.4197038189812752E-5</v>
      </c>
      <c r="N415">
        <f t="shared" si="68"/>
        <v>31.485999999999997</v>
      </c>
      <c r="O415">
        <f t="shared" si="69"/>
        <v>3.200451E-3</v>
      </c>
      <c r="P415" s="4">
        <f t="shared" si="70"/>
        <v>2.5072525429516537</v>
      </c>
    </row>
    <row r="416" spans="1:16" x14ac:dyDescent="0.75">
      <c r="A416">
        <v>4.1500000000000004</v>
      </c>
      <c r="B416">
        <f t="shared" si="63"/>
        <v>6.4146450000000002</v>
      </c>
      <c r="C416">
        <f t="shared" si="61"/>
        <v>78.962500000000006</v>
      </c>
      <c r="D416">
        <f t="shared" si="62"/>
        <v>22027.220000000005</v>
      </c>
      <c r="E416">
        <f t="shared" si="64"/>
        <v>31.585000000000001</v>
      </c>
      <c r="K416">
        <f t="shared" si="65"/>
        <v>6.1562274638101758E-6</v>
      </c>
      <c r="L416">
        <f t="shared" si="66"/>
        <v>1.5792500000000001E-2</v>
      </c>
      <c r="M416">
        <f t="shared" si="67"/>
        <v>1.4069165215555899E-5</v>
      </c>
      <c r="N416">
        <f t="shared" si="68"/>
        <v>31.585000000000001</v>
      </c>
      <c r="O416">
        <f t="shared" si="69"/>
        <v>3.2072224999999998E-3</v>
      </c>
      <c r="P416" s="4">
        <f t="shared" si="70"/>
        <v>2.5104738346168691</v>
      </c>
    </row>
    <row r="417" spans="1:16" x14ac:dyDescent="0.75">
      <c r="A417">
        <v>4.16</v>
      </c>
      <c r="B417">
        <f t="shared" si="63"/>
        <v>6.4281880000000005</v>
      </c>
      <c r="C417">
        <f t="shared" si="61"/>
        <v>79.210000000000008</v>
      </c>
      <c r="D417">
        <f t="shared" si="62"/>
        <v>22094.788</v>
      </c>
      <c r="E417">
        <f t="shared" si="64"/>
        <v>31.684000000000005</v>
      </c>
      <c r="K417">
        <f t="shared" si="65"/>
        <v>6.1369916817461298E-6</v>
      </c>
      <c r="L417">
        <f t="shared" si="66"/>
        <v>1.5842000000000002E-2</v>
      </c>
      <c r="M417">
        <f t="shared" si="67"/>
        <v>1.3942091346491031E-5</v>
      </c>
      <c r="N417">
        <f t="shared" si="68"/>
        <v>31.684000000000005</v>
      </c>
      <c r="O417">
        <f t="shared" si="69"/>
        <v>3.213994E-3</v>
      </c>
      <c r="P417" s="4">
        <f t="shared" si="70"/>
        <v>2.5137017707082157</v>
      </c>
    </row>
    <row r="418" spans="1:16" x14ac:dyDescent="0.75">
      <c r="A418">
        <v>4.17</v>
      </c>
      <c r="B418">
        <f t="shared" si="63"/>
        <v>6.4417309999999999</v>
      </c>
      <c r="C418">
        <f t="shared" ref="C418:C481" si="71">24.75* A418- 23.75</f>
        <v>79.457499999999996</v>
      </c>
      <c r="D418">
        <f t="shared" si="62"/>
        <v>22162.356</v>
      </c>
      <c r="E418">
        <f t="shared" si="64"/>
        <v>31.782999999999998</v>
      </c>
      <c r="K418">
        <f t="shared" si="65"/>
        <v>6.1178757337080961E-6</v>
      </c>
      <c r="L418">
        <f t="shared" si="66"/>
        <v>1.5891499999999999E-2</v>
      </c>
      <c r="M418">
        <f t="shared" si="67"/>
        <v>1.3815809115285245E-5</v>
      </c>
      <c r="N418">
        <f t="shared" si="68"/>
        <v>31.782999999999998</v>
      </c>
      <c r="O418">
        <f t="shared" si="69"/>
        <v>3.2207654999999997E-3</v>
      </c>
      <c r="P418" s="4">
        <f t="shared" si="70"/>
        <v>2.5169363520173311</v>
      </c>
    </row>
    <row r="419" spans="1:16" x14ac:dyDescent="0.75">
      <c r="A419">
        <v>4.18</v>
      </c>
      <c r="B419">
        <f t="shared" si="63"/>
        <v>6.4552739999999993</v>
      </c>
      <c r="C419">
        <f t="shared" si="71"/>
        <v>79.704999999999998</v>
      </c>
      <c r="D419">
        <f t="shared" si="62"/>
        <v>22229.923999999999</v>
      </c>
      <c r="E419">
        <f t="shared" si="64"/>
        <v>31.881999999999998</v>
      </c>
      <c r="K419">
        <f t="shared" si="65"/>
        <v>6.0988785033700651E-6</v>
      </c>
      <c r="L419">
        <f t="shared" si="66"/>
        <v>1.5941E-2</v>
      </c>
      <c r="M419">
        <f t="shared" si="67"/>
        <v>1.3690311147355872E-5</v>
      </c>
      <c r="N419">
        <f t="shared" si="68"/>
        <v>31.881999999999998</v>
      </c>
      <c r="O419">
        <f t="shared" si="69"/>
        <v>3.2275369999999995E-3</v>
      </c>
      <c r="P419" s="4">
        <f t="shared" si="70"/>
        <v>2.5201775793284784</v>
      </c>
    </row>
    <row r="420" spans="1:16" x14ac:dyDescent="0.75">
      <c r="A420">
        <v>4.1900000000000004</v>
      </c>
      <c r="B420">
        <f t="shared" si="63"/>
        <v>6.4688170000000005</v>
      </c>
      <c r="C420">
        <f t="shared" si="71"/>
        <v>79.952500000000015</v>
      </c>
      <c r="D420">
        <f t="shared" si="62"/>
        <v>22297.492000000002</v>
      </c>
      <c r="E420">
        <f t="shared" si="64"/>
        <v>31.981000000000005</v>
      </c>
      <c r="K420">
        <f t="shared" si="65"/>
        <v>6.0799988882287722E-6</v>
      </c>
      <c r="L420">
        <f t="shared" si="66"/>
        <v>1.5990500000000005E-2</v>
      </c>
      <c r="M420">
        <f t="shared" si="67"/>
        <v>1.356559015943493E-5</v>
      </c>
      <c r="N420">
        <f t="shared" si="68"/>
        <v>31.981000000000005</v>
      </c>
      <c r="O420">
        <f t="shared" si="69"/>
        <v>3.234308500000001E-3</v>
      </c>
      <c r="P420" s="4">
        <f t="shared" si="70"/>
        <v>2.5234254534186382</v>
      </c>
    </row>
    <row r="421" spans="1:16" x14ac:dyDescent="0.75">
      <c r="A421">
        <v>4.2</v>
      </c>
      <c r="B421">
        <f t="shared" si="63"/>
        <v>6.4823599999999999</v>
      </c>
      <c r="C421">
        <f t="shared" si="71"/>
        <v>80.2</v>
      </c>
      <c r="D421">
        <f t="shared" si="62"/>
        <v>22365.06</v>
      </c>
      <c r="E421">
        <f t="shared" si="64"/>
        <v>32.08</v>
      </c>
      <c r="K421">
        <f t="shared" si="65"/>
        <v>6.0612357993904123E-6</v>
      </c>
      <c r="L421">
        <f t="shared" si="66"/>
        <v>1.6040000000000002E-2</v>
      </c>
      <c r="M421">
        <f t="shared" si="67"/>
        <v>1.344163895816015E-5</v>
      </c>
      <c r="N421">
        <f t="shared" si="68"/>
        <v>32.08</v>
      </c>
      <c r="O421">
        <f t="shared" si="69"/>
        <v>3.2410800000000003E-3</v>
      </c>
      <c r="P421" s="4">
        <f t="shared" si="70"/>
        <v>2.5266799750575966</v>
      </c>
    </row>
    <row r="422" spans="1:16" x14ac:dyDescent="0.75">
      <c r="A422">
        <v>4.21</v>
      </c>
      <c r="B422">
        <f t="shared" si="63"/>
        <v>6.4959030000000002</v>
      </c>
      <c r="C422">
        <f t="shared" si="71"/>
        <v>80.447500000000005</v>
      </c>
      <c r="D422">
        <f t="shared" si="62"/>
        <v>22432.628000000001</v>
      </c>
      <c r="E422">
        <f t="shared" si="64"/>
        <v>32.179000000000002</v>
      </c>
      <c r="K422">
        <f t="shared" si="65"/>
        <v>6.0425881613612724E-6</v>
      </c>
      <c r="L422">
        <f t="shared" si="66"/>
        <v>1.6089500000000003E-2</v>
      </c>
      <c r="M422">
        <f t="shared" si="67"/>
        <v>1.331845043869189E-5</v>
      </c>
      <c r="N422">
        <f t="shared" si="68"/>
        <v>32.179000000000002</v>
      </c>
      <c r="O422">
        <f t="shared" si="69"/>
        <v>3.2478515000000006E-3</v>
      </c>
      <c r="P422" s="4">
        <f t="shared" si="70"/>
        <v>2.5299411450080349</v>
      </c>
    </row>
    <row r="423" spans="1:16" x14ac:dyDescent="0.75">
      <c r="A423">
        <v>4.22</v>
      </c>
      <c r="B423">
        <f t="shared" si="63"/>
        <v>6.5094459999999996</v>
      </c>
      <c r="C423">
        <f t="shared" si="71"/>
        <v>80.694999999999993</v>
      </c>
      <c r="D423">
        <f t="shared" si="62"/>
        <v>22500.196</v>
      </c>
      <c r="E423">
        <f t="shared" si="64"/>
        <v>32.277999999999999</v>
      </c>
      <c r="K423">
        <f t="shared" si="65"/>
        <v>6.0240549118422583E-6</v>
      </c>
      <c r="L423">
        <f t="shared" si="66"/>
        <v>1.6139000000000001E-2</v>
      </c>
      <c r="M423">
        <f t="shared" si="67"/>
        <v>1.3196017583355704E-5</v>
      </c>
      <c r="N423">
        <f t="shared" si="68"/>
        <v>32.277999999999999</v>
      </c>
      <c r="O423">
        <f t="shared" si="69"/>
        <v>3.2546229999999995E-3</v>
      </c>
      <c r="P423" s="4">
        <f t="shared" si="70"/>
        <v>2.5332089640256186</v>
      </c>
    </row>
    <row r="424" spans="1:16" x14ac:dyDescent="0.75">
      <c r="A424">
        <v>4.2300000000000004</v>
      </c>
      <c r="B424">
        <f t="shared" si="63"/>
        <v>6.5229890000000008</v>
      </c>
      <c r="C424">
        <f t="shared" si="71"/>
        <v>80.94250000000001</v>
      </c>
      <c r="D424">
        <f t="shared" si="62"/>
        <v>22567.764000000003</v>
      </c>
      <c r="E424">
        <f t="shared" si="64"/>
        <v>32.377000000000002</v>
      </c>
      <c r="K424">
        <f t="shared" si="65"/>
        <v>6.0056350015271458E-6</v>
      </c>
      <c r="L424">
        <f t="shared" si="66"/>
        <v>1.6188500000000001E-2</v>
      </c>
      <c r="M424">
        <f t="shared" si="67"/>
        <v>1.3074333460309604E-5</v>
      </c>
      <c r="N424">
        <f t="shared" si="68"/>
        <v>32.377000000000002</v>
      </c>
      <c r="O424">
        <f t="shared" si="69"/>
        <v>3.2613945000000001E-3</v>
      </c>
      <c r="P424" s="4">
        <f t="shared" si="70"/>
        <v>2.5364834328590788</v>
      </c>
    </row>
    <row r="425" spans="1:16" x14ac:dyDescent="0.75">
      <c r="A425">
        <v>4.24</v>
      </c>
      <c r="B425">
        <f t="shared" si="63"/>
        <v>6.5365320000000002</v>
      </c>
      <c r="C425">
        <f t="shared" si="71"/>
        <v>81.190000000000012</v>
      </c>
      <c r="D425">
        <f t="shared" si="62"/>
        <v>22635.332000000002</v>
      </c>
      <c r="E425">
        <f t="shared" si="64"/>
        <v>32.476000000000006</v>
      </c>
      <c r="K425">
        <f t="shared" si="65"/>
        <v>5.9873273939045566E-6</v>
      </c>
      <c r="L425">
        <f t="shared" si="66"/>
        <v>1.6238000000000002E-2</v>
      </c>
      <c r="M425">
        <f t="shared" si="67"/>
        <v>1.2953391222235898E-5</v>
      </c>
      <c r="N425">
        <f t="shared" si="68"/>
        <v>32.476000000000006</v>
      </c>
      <c r="O425">
        <f t="shared" si="69"/>
        <v>3.2681659999999999E-3</v>
      </c>
      <c r="P425" s="4">
        <f t="shared" si="70"/>
        <v>2.539764552250301</v>
      </c>
    </row>
    <row r="426" spans="1:16" x14ac:dyDescent="0.75">
      <c r="A426">
        <v>4.25</v>
      </c>
      <c r="B426">
        <f t="shared" si="63"/>
        <v>6.5500749999999996</v>
      </c>
      <c r="C426">
        <f t="shared" si="71"/>
        <v>81.4375</v>
      </c>
      <c r="D426">
        <f t="shared" si="62"/>
        <v>22702.9</v>
      </c>
      <c r="E426">
        <f t="shared" si="64"/>
        <v>32.575000000000003</v>
      </c>
      <c r="K426">
        <f t="shared" si="65"/>
        <v>5.9691310650635271E-6</v>
      </c>
      <c r="L426">
        <f t="shared" si="66"/>
        <v>1.62875E-2</v>
      </c>
      <c r="M426">
        <f t="shared" si="67"/>
        <v>1.2833184105056701E-5</v>
      </c>
      <c r="N426">
        <f t="shared" si="68"/>
        <v>32.575000000000003</v>
      </c>
      <c r="O426">
        <f t="shared" si="69"/>
        <v>3.2749374999999988E-3</v>
      </c>
      <c r="P426" s="4">
        <f t="shared" si="70"/>
        <v>2.5430523229344062</v>
      </c>
    </row>
    <row r="427" spans="1:16" x14ac:dyDescent="0.75">
      <c r="A427">
        <v>4.26</v>
      </c>
      <c r="B427">
        <f t="shared" si="63"/>
        <v>6.563618</v>
      </c>
      <c r="C427">
        <f t="shared" si="71"/>
        <v>81.684999999999988</v>
      </c>
      <c r="D427">
        <f t="shared" si="62"/>
        <v>22770.468000000001</v>
      </c>
      <c r="E427">
        <f t="shared" si="64"/>
        <v>32.673999999999992</v>
      </c>
      <c r="K427">
        <f t="shared" si="65"/>
        <v>5.9510450035026151E-6</v>
      </c>
      <c r="L427">
        <f t="shared" si="66"/>
        <v>1.6336999999999997E-2</v>
      </c>
      <c r="M427">
        <f t="shared" si="67"/>
        <v>1.271370542667292E-5</v>
      </c>
      <c r="N427">
        <f t="shared" si="68"/>
        <v>32.673999999999992</v>
      </c>
      <c r="O427">
        <f t="shared" si="69"/>
        <v>3.2817089999999998E-3</v>
      </c>
      <c r="P427" s="4">
        <f t="shared" si="70"/>
        <v>2.5463467456398328</v>
      </c>
    </row>
    <row r="428" spans="1:16" x14ac:dyDescent="0.75">
      <c r="A428">
        <v>4.2699999999999996</v>
      </c>
      <c r="B428">
        <f t="shared" si="63"/>
        <v>6.5771609999999994</v>
      </c>
      <c r="C428">
        <f t="shared" si="71"/>
        <v>81.93249999999999</v>
      </c>
      <c r="D428">
        <f t="shared" si="62"/>
        <v>22838.035999999996</v>
      </c>
      <c r="E428">
        <f t="shared" si="64"/>
        <v>32.772999999999996</v>
      </c>
      <c r="K428">
        <f t="shared" si="65"/>
        <v>5.9330682099424658E-6</v>
      </c>
      <c r="L428">
        <f t="shared" si="66"/>
        <v>1.6386499999999998E-2</v>
      </c>
      <c r="M428">
        <f t="shared" si="67"/>
        <v>1.2594948585726054E-5</v>
      </c>
      <c r="N428">
        <f t="shared" si="68"/>
        <v>32.772999999999996</v>
      </c>
      <c r="O428">
        <f t="shared" si="69"/>
        <v>3.2884804999999996E-3</v>
      </c>
      <c r="P428" s="4">
        <f t="shared" si="70"/>
        <v>2.5496478210884188</v>
      </c>
    </row>
    <row r="429" spans="1:16" x14ac:dyDescent="0.75">
      <c r="A429">
        <v>4.28</v>
      </c>
      <c r="B429">
        <f t="shared" si="63"/>
        <v>6.5907040000000006</v>
      </c>
      <c r="C429">
        <f t="shared" si="71"/>
        <v>82.18</v>
      </c>
      <c r="D429">
        <f t="shared" si="62"/>
        <v>22905.604000000003</v>
      </c>
      <c r="E429">
        <f t="shared" si="64"/>
        <v>32.872</v>
      </c>
      <c r="K429">
        <f t="shared" si="65"/>
        <v>5.9151996971417745E-6</v>
      </c>
      <c r="L429">
        <f t="shared" si="66"/>
        <v>1.6436000000000003E-2</v>
      </c>
      <c r="M429">
        <f t="shared" si="67"/>
        <v>1.247690706038235E-5</v>
      </c>
      <c r="N429">
        <f t="shared" si="68"/>
        <v>32.872</v>
      </c>
      <c r="O429">
        <f t="shared" si="69"/>
        <v>3.2952520000000007E-3</v>
      </c>
      <c r="P429" s="4">
        <f t="shared" si="70"/>
        <v>2.5529555499954792</v>
      </c>
    </row>
    <row r="430" spans="1:16" x14ac:dyDescent="0.75">
      <c r="A430">
        <v>4.29</v>
      </c>
      <c r="B430">
        <f t="shared" si="63"/>
        <v>6.604247</v>
      </c>
      <c r="C430">
        <f t="shared" si="71"/>
        <v>82.427499999999995</v>
      </c>
      <c r="D430">
        <f t="shared" ref="D430:D493" si="72" xml:space="preserve"> 6756.8*A430 - 6013.5</f>
        <v>22973.172000000002</v>
      </c>
      <c r="E430">
        <f t="shared" si="64"/>
        <v>32.970999999999997</v>
      </c>
      <c r="K430">
        <f t="shared" si="65"/>
        <v>5.8974384897165516E-6</v>
      </c>
      <c r="L430">
        <f t="shared" si="66"/>
        <v>1.64855E-2</v>
      </c>
      <c r="M430">
        <f t="shared" si="67"/>
        <v>1.2359574407138929E-5</v>
      </c>
      <c r="N430">
        <f t="shared" si="68"/>
        <v>32.970999999999997</v>
      </c>
      <c r="O430">
        <f t="shared" si="69"/>
        <v>3.3020235E-3</v>
      </c>
      <c r="P430" s="4">
        <f t="shared" si="70"/>
        <v>2.5562699330698861</v>
      </c>
    </row>
    <row r="431" spans="1:16" x14ac:dyDescent="0.75">
      <c r="A431">
        <v>4.3</v>
      </c>
      <c r="B431">
        <f t="shared" si="63"/>
        <v>6.6177899999999994</v>
      </c>
      <c r="C431">
        <f t="shared" si="71"/>
        <v>82.674999999999997</v>
      </c>
      <c r="D431">
        <f t="shared" si="72"/>
        <v>23040.739999999998</v>
      </c>
      <c r="E431">
        <f t="shared" si="64"/>
        <v>33.07</v>
      </c>
      <c r="K431">
        <f t="shared" si="65"/>
        <v>5.8797836239626373E-6</v>
      </c>
      <c r="L431">
        <f t="shared" si="66"/>
        <v>1.6535000000000001E-2</v>
      </c>
      <c r="M431">
        <f t="shared" si="67"/>
        <v>1.2242944259651243E-5</v>
      </c>
      <c r="N431">
        <f t="shared" si="68"/>
        <v>33.07</v>
      </c>
      <c r="O431">
        <f t="shared" si="69"/>
        <v>3.3087949999999994E-3</v>
      </c>
      <c r="P431" s="4">
        <f t="shared" si="70"/>
        <v>2.559590971014146</v>
      </c>
    </row>
    <row r="432" spans="1:16" x14ac:dyDescent="0.75">
      <c r="A432">
        <v>4.3099999999999996</v>
      </c>
      <c r="B432">
        <f t="shared" si="63"/>
        <v>6.6313329999999997</v>
      </c>
      <c r="C432">
        <f t="shared" si="71"/>
        <v>82.922499999999985</v>
      </c>
      <c r="D432">
        <f t="shared" si="72"/>
        <v>23108.307999999997</v>
      </c>
      <c r="E432">
        <f t="shared" si="64"/>
        <v>33.168999999999997</v>
      </c>
      <c r="K432">
        <f t="shared" si="65"/>
        <v>5.8622341476814023E-6</v>
      </c>
      <c r="L432">
        <f t="shared" si="66"/>
        <v>1.6584499999999999E-2</v>
      </c>
      <c r="M432">
        <f t="shared" si="67"/>
        <v>1.2127010327581641E-5</v>
      </c>
      <c r="N432">
        <f t="shared" si="68"/>
        <v>33.168999999999997</v>
      </c>
      <c r="O432">
        <f t="shared" si="69"/>
        <v>3.3155664999999996E-3</v>
      </c>
      <c r="P432" s="4">
        <f t="shared" si="70"/>
        <v>2.5629186645244735</v>
      </c>
    </row>
    <row r="433" spans="1:16" x14ac:dyDescent="0.75">
      <c r="A433">
        <v>4.32</v>
      </c>
      <c r="B433">
        <f t="shared" si="63"/>
        <v>6.644876</v>
      </c>
      <c r="C433">
        <f t="shared" si="71"/>
        <v>83.17</v>
      </c>
      <c r="D433">
        <f t="shared" si="72"/>
        <v>23175.876000000004</v>
      </c>
      <c r="E433">
        <f t="shared" si="64"/>
        <v>33.268000000000001</v>
      </c>
      <c r="K433">
        <f t="shared" si="65"/>
        <v>5.844789120008549E-6</v>
      </c>
      <c r="L433">
        <f t="shared" si="66"/>
        <v>1.6633999999999999E-2</v>
      </c>
      <c r="M433">
        <f t="shared" si="67"/>
        <v>1.2011766395468446E-5</v>
      </c>
      <c r="N433">
        <f t="shared" si="68"/>
        <v>33.268000000000001</v>
      </c>
      <c r="O433">
        <f t="shared" si="69"/>
        <v>3.3223379999999998E-3</v>
      </c>
      <c r="P433" s="4">
        <f t="shared" si="70"/>
        <v>2.5662530142908686</v>
      </c>
    </row>
    <row r="434" spans="1:16" x14ac:dyDescent="0.75">
      <c r="A434">
        <v>4.33</v>
      </c>
      <c r="B434">
        <f t="shared" si="63"/>
        <v>6.6584190000000003</v>
      </c>
      <c r="C434">
        <f t="shared" si="71"/>
        <v>83.417500000000004</v>
      </c>
      <c r="D434">
        <f t="shared" si="72"/>
        <v>23243.444</v>
      </c>
      <c r="E434">
        <f t="shared" si="64"/>
        <v>33.367000000000004</v>
      </c>
      <c r="K434">
        <f t="shared" si="65"/>
        <v>5.8274476112459728E-6</v>
      </c>
      <c r="L434">
        <f t="shared" si="66"/>
        <v>1.66835E-2</v>
      </c>
      <c r="M434">
        <f t="shared" si="67"/>
        <v>1.1897206321615159E-5</v>
      </c>
      <c r="N434">
        <f t="shared" si="68"/>
        <v>33.367000000000004</v>
      </c>
      <c r="O434">
        <f t="shared" si="69"/>
        <v>3.3291094999999991E-3</v>
      </c>
      <c r="P434" s="4">
        <f t="shared" si="70"/>
        <v>2.5695940209971901</v>
      </c>
    </row>
    <row r="435" spans="1:16" x14ac:dyDescent="0.75">
      <c r="A435">
        <v>4.34</v>
      </c>
      <c r="B435">
        <f t="shared" si="63"/>
        <v>6.6719619999999997</v>
      </c>
      <c r="C435">
        <f t="shared" si="71"/>
        <v>83.664999999999992</v>
      </c>
      <c r="D435">
        <f t="shared" si="72"/>
        <v>23311.011999999999</v>
      </c>
      <c r="E435">
        <f t="shared" si="64"/>
        <v>33.465999999999994</v>
      </c>
      <c r="K435">
        <f t="shared" si="65"/>
        <v>5.810208702696601E-6</v>
      </c>
      <c r="L435">
        <f t="shared" si="66"/>
        <v>1.6732999999999998E-2</v>
      </c>
      <c r="M435">
        <f t="shared" si="67"/>
        <v>1.1783324036999407E-5</v>
      </c>
      <c r="N435">
        <f t="shared" si="68"/>
        <v>33.465999999999994</v>
      </c>
      <c r="O435">
        <f t="shared" si="69"/>
        <v>3.3358809999999997E-3</v>
      </c>
      <c r="P435" s="4">
        <f t="shared" si="70"/>
        <v>2.572941685321227</v>
      </c>
    </row>
    <row r="436" spans="1:16" x14ac:dyDescent="0.75">
      <c r="A436">
        <v>4.3499999999999996</v>
      </c>
      <c r="B436">
        <f t="shared" si="63"/>
        <v>6.6855049999999991</v>
      </c>
      <c r="C436">
        <f t="shared" si="71"/>
        <v>83.912499999999994</v>
      </c>
      <c r="D436">
        <f t="shared" si="72"/>
        <v>23378.579999999998</v>
      </c>
      <c r="E436">
        <f t="shared" si="64"/>
        <v>33.564999999999998</v>
      </c>
      <c r="K436">
        <f t="shared" si="65"/>
        <v>5.7930714865021429E-6</v>
      </c>
      <c r="L436">
        <f t="shared" si="66"/>
        <v>1.6782499999999999E-2</v>
      </c>
      <c r="M436">
        <f t="shared" si="67"/>
        <v>1.1670113544201136E-5</v>
      </c>
      <c r="N436">
        <f t="shared" si="68"/>
        <v>33.564999999999998</v>
      </c>
      <c r="O436">
        <f t="shared" si="69"/>
        <v>3.3426524999999995E-3</v>
      </c>
      <c r="P436" s="4">
        <f t="shared" si="70"/>
        <v>2.5762960079347716</v>
      </c>
    </row>
    <row r="437" spans="1:16" x14ac:dyDescent="0.75">
      <c r="A437">
        <v>4.3600000000000003</v>
      </c>
      <c r="B437">
        <f t="shared" si="63"/>
        <v>6.6990480000000003</v>
      </c>
      <c r="C437">
        <f t="shared" si="71"/>
        <v>84.160000000000011</v>
      </c>
      <c r="D437">
        <f t="shared" si="72"/>
        <v>23446.148000000005</v>
      </c>
      <c r="E437">
        <f t="shared" si="64"/>
        <v>33.664000000000001</v>
      </c>
      <c r="K437">
        <f t="shared" si="65"/>
        <v>5.7760350654837336E-6</v>
      </c>
      <c r="L437">
        <f t="shared" si="66"/>
        <v>1.6832000000000003E-2</v>
      </c>
      <c r="M437">
        <f t="shared" si="67"/>
        <v>1.1557568916349802E-5</v>
      </c>
      <c r="N437">
        <f t="shared" si="68"/>
        <v>33.664000000000001</v>
      </c>
      <c r="O437">
        <f t="shared" si="69"/>
        <v>3.3494240000000006E-3</v>
      </c>
      <c r="P437" s="4">
        <f t="shared" si="70"/>
        <v>2.5796569895036878</v>
      </c>
    </row>
    <row r="438" spans="1:16" x14ac:dyDescent="0.75">
      <c r="A438">
        <v>4.37</v>
      </c>
      <c r="B438">
        <f t="shared" si="63"/>
        <v>6.7125909999999998</v>
      </c>
      <c r="C438">
        <f t="shared" si="71"/>
        <v>84.407499999999999</v>
      </c>
      <c r="D438">
        <f t="shared" si="72"/>
        <v>23513.716</v>
      </c>
      <c r="E438">
        <f t="shared" si="64"/>
        <v>33.762999999999998</v>
      </c>
      <c r="K438">
        <f t="shared" si="65"/>
        <v>5.7590985529853512E-6</v>
      </c>
      <c r="L438">
        <f t="shared" si="66"/>
        <v>1.6881500000000001E-2</v>
      </c>
      <c r="M438">
        <f t="shared" si="67"/>
        <v>1.1445684296090061E-5</v>
      </c>
      <c r="N438">
        <f t="shared" si="68"/>
        <v>33.762999999999998</v>
      </c>
      <c r="O438">
        <f t="shared" si="69"/>
        <v>3.3561954999999999E-3</v>
      </c>
      <c r="P438" s="4">
        <f t="shared" si="70"/>
        <v>2.5830246306879836</v>
      </c>
    </row>
    <row r="439" spans="1:16" x14ac:dyDescent="0.75">
      <c r="A439">
        <v>4.38</v>
      </c>
      <c r="B439">
        <f t="shared" si="63"/>
        <v>6.7261340000000001</v>
      </c>
      <c r="C439">
        <f t="shared" si="71"/>
        <v>84.655000000000001</v>
      </c>
      <c r="D439">
        <f t="shared" si="72"/>
        <v>23581.284</v>
      </c>
      <c r="E439">
        <f t="shared" si="64"/>
        <v>33.862000000000002</v>
      </c>
      <c r="K439">
        <f t="shared" si="65"/>
        <v>5.7422610727199927E-6</v>
      </c>
      <c r="L439">
        <f t="shared" si="66"/>
        <v>1.6931000000000002E-2</v>
      </c>
      <c r="M439">
        <f t="shared" si="67"/>
        <v>1.1334453894565517E-5</v>
      </c>
      <c r="N439">
        <f t="shared" si="68"/>
        <v>33.862000000000002</v>
      </c>
      <c r="O439">
        <f t="shared" si="69"/>
        <v>3.3629669999999997E-3</v>
      </c>
      <c r="P439" s="4">
        <f t="shared" si="70"/>
        <v>2.5863989321418783</v>
      </c>
    </row>
    <row r="440" spans="1:16" x14ac:dyDescent="0.75">
      <c r="A440">
        <v>4.3899999999999997</v>
      </c>
      <c r="B440">
        <f t="shared" si="63"/>
        <v>6.7396769999999995</v>
      </c>
      <c r="C440">
        <f t="shared" si="71"/>
        <v>84.902499999999989</v>
      </c>
      <c r="D440">
        <f t="shared" si="72"/>
        <v>23648.851999999999</v>
      </c>
      <c r="E440">
        <f t="shared" si="64"/>
        <v>33.960999999999999</v>
      </c>
      <c r="K440">
        <f t="shared" si="65"/>
        <v>5.725521758618545E-6</v>
      </c>
      <c r="L440">
        <f t="shared" si="66"/>
        <v>1.6980499999999999E-2</v>
      </c>
      <c r="M440">
        <f t="shared" si="67"/>
        <v>1.122387199042038E-5</v>
      </c>
      <c r="N440">
        <f t="shared" si="68"/>
        <v>33.960999999999999</v>
      </c>
      <c r="O440">
        <f t="shared" si="69"/>
        <v>3.3697384999999995E-3</v>
      </c>
      <c r="P440" s="4">
        <f t="shared" si="70"/>
        <v>2.5897798945138688</v>
      </c>
    </row>
    <row r="441" spans="1:16" x14ac:dyDescent="0.75">
      <c r="A441">
        <v>4.4000000000000004</v>
      </c>
      <c r="B441">
        <f t="shared" si="63"/>
        <v>6.7532200000000007</v>
      </c>
      <c r="C441">
        <f t="shared" si="71"/>
        <v>85.15</v>
      </c>
      <c r="D441">
        <f t="shared" si="72"/>
        <v>23716.420000000002</v>
      </c>
      <c r="E441">
        <f t="shared" si="64"/>
        <v>34.06</v>
      </c>
      <c r="K441">
        <f t="shared" si="65"/>
        <v>5.7088797546812802E-6</v>
      </c>
      <c r="L441">
        <f t="shared" si="66"/>
        <v>1.7030000000000003E-2</v>
      </c>
      <c r="M441">
        <f t="shared" si="67"/>
        <v>1.1113932928818415E-5</v>
      </c>
      <c r="N441">
        <f t="shared" si="68"/>
        <v>34.06</v>
      </c>
      <c r="O441">
        <f t="shared" si="69"/>
        <v>3.376510000000001E-3</v>
      </c>
      <c r="P441" s="4">
        <f t="shared" si="70"/>
        <v>2.5931675184467973</v>
      </c>
    </row>
    <row r="442" spans="1:16" x14ac:dyDescent="0.75">
      <c r="A442">
        <v>4.41</v>
      </c>
      <c r="B442">
        <f t="shared" si="63"/>
        <v>6.7667630000000001</v>
      </c>
      <c r="C442">
        <f t="shared" si="71"/>
        <v>85.397500000000008</v>
      </c>
      <c r="D442">
        <f t="shared" si="72"/>
        <v>23783.988000000001</v>
      </c>
      <c r="E442">
        <f t="shared" si="64"/>
        <v>34.159000000000006</v>
      </c>
      <c r="K442">
        <f t="shared" si="65"/>
        <v>5.6923342148319443E-6</v>
      </c>
      <c r="L442">
        <f t="shared" si="66"/>
        <v>1.7079500000000001E-2</v>
      </c>
      <c r="M442">
        <f t="shared" si="67"/>
        <v>1.1004631120479059E-5</v>
      </c>
      <c r="N442">
        <f t="shared" si="68"/>
        <v>34.159000000000006</v>
      </c>
      <c r="O442">
        <f t="shared" si="69"/>
        <v>3.383281499999999E-3</v>
      </c>
      <c r="P442" s="4">
        <f t="shared" si="70"/>
        <v>2.596561804577918</v>
      </c>
    </row>
    <row r="443" spans="1:16" x14ac:dyDescent="0.75">
      <c r="A443">
        <v>4.42</v>
      </c>
      <c r="B443">
        <f t="shared" si="63"/>
        <v>6.7803060000000004</v>
      </c>
      <c r="C443">
        <f t="shared" si="71"/>
        <v>85.644999999999996</v>
      </c>
      <c r="D443">
        <f t="shared" si="72"/>
        <v>23851.556</v>
      </c>
      <c r="E443">
        <f t="shared" si="64"/>
        <v>34.257999999999996</v>
      </c>
      <c r="K443">
        <f t="shared" si="65"/>
        <v>5.6758843027743721E-6</v>
      </c>
      <c r="L443">
        <f t="shared" si="66"/>
        <v>1.7128999999999998E-2</v>
      </c>
      <c r="M443">
        <f t="shared" si="67"/>
        <v>1.0895961040730139E-5</v>
      </c>
      <c r="N443">
        <f t="shared" si="68"/>
        <v>34.257999999999996</v>
      </c>
      <c r="O443">
        <f t="shared" si="69"/>
        <v>3.3900530000000001E-3</v>
      </c>
      <c r="P443" s="4">
        <f t="shared" si="70"/>
        <v>2.5999627535389584</v>
      </c>
    </row>
    <row r="444" spans="1:16" x14ac:dyDescent="0.75">
      <c r="A444">
        <v>4.43</v>
      </c>
      <c r="B444">
        <f t="shared" si="63"/>
        <v>6.7938489999999998</v>
      </c>
      <c r="C444">
        <f t="shared" si="71"/>
        <v>85.892499999999998</v>
      </c>
      <c r="D444">
        <f t="shared" si="72"/>
        <v>23919.124</v>
      </c>
      <c r="E444">
        <f t="shared" si="64"/>
        <v>34.356999999999999</v>
      </c>
      <c r="K444">
        <f t="shared" si="65"/>
        <v>5.6595291918515708E-6</v>
      </c>
      <c r="L444">
        <f t="shared" si="66"/>
        <v>1.7178499999999999E-2</v>
      </c>
      <c r="M444">
        <f t="shared" si="67"/>
        <v>1.0787917228577061E-5</v>
      </c>
      <c r="N444">
        <f t="shared" si="68"/>
        <v>34.356999999999999</v>
      </c>
      <c r="O444">
        <f t="shared" si="69"/>
        <v>3.3968244999999998E-3</v>
      </c>
      <c r="P444" s="4">
        <f t="shared" si="70"/>
        <v>2.6033703659561866</v>
      </c>
    </row>
    <row r="445" spans="1:16" x14ac:dyDescent="0.75">
      <c r="A445">
        <v>4.4400000000000004</v>
      </c>
      <c r="B445">
        <f t="shared" si="63"/>
        <v>6.807392000000001</v>
      </c>
      <c r="C445">
        <f t="shared" si="71"/>
        <v>86.140000000000015</v>
      </c>
      <c r="D445">
        <f t="shared" si="72"/>
        <v>23986.692000000003</v>
      </c>
      <c r="E445">
        <f t="shared" si="64"/>
        <v>34.456000000000003</v>
      </c>
      <c r="K445">
        <f t="shared" si="65"/>
        <v>5.6432680649072553E-6</v>
      </c>
      <c r="L445">
        <f t="shared" si="66"/>
        <v>1.7228000000000004E-2</v>
      </c>
      <c r="M445">
        <f t="shared" si="67"/>
        <v>1.068049428578798E-5</v>
      </c>
      <c r="N445">
        <f t="shared" si="68"/>
        <v>34.456000000000003</v>
      </c>
      <c r="O445">
        <f t="shared" si="69"/>
        <v>3.4035960000000005E-3</v>
      </c>
      <c r="P445" s="4">
        <f t="shared" si="70"/>
        <v>2.6067846424504726</v>
      </c>
    </row>
    <row r="446" spans="1:16" x14ac:dyDescent="0.75">
      <c r="A446">
        <v>4.45</v>
      </c>
      <c r="B446">
        <f t="shared" si="63"/>
        <v>6.8209350000000004</v>
      </c>
      <c r="C446">
        <f t="shared" si="71"/>
        <v>86.387500000000003</v>
      </c>
      <c r="D446">
        <f t="shared" si="72"/>
        <v>24054.260000000002</v>
      </c>
      <c r="E446">
        <f t="shared" si="64"/>
        <v>34.555</v>
      </c>
      <c r="K446">
        <f t="shared" si="65"/>
        <v>5.6271001141497445E-6</v>
      </c>
      <c r="L446">
        <f t="shared" si="66"/>
        <v>1.7277500000000001E-2</v>
      </c>
      <c r="M446">
        <f t="shared" si="67"/>
        <v>1.0573686875994783E-5</v>
      </c>
      <c r="N446">
        <f t="shared" si="68"/>
        <v>34.555</v>
      </c>
      <c r="O446">
        <f t="shared" si="69"/>
        <v>3.4103675000000003E-3</v>
      </c>
      <c r="P446" s="4">
        <f t="shared" si="70"/>
        <v>2.6102055836373483</v>
      </c>
    </row>
    <row r="447" spans="1:16" x14ac:dyDescent="0.75">
      <c r="A447">
        <v>4.46</v>
      </c>
      <c r="B447">
        <f t="shared" si="63"/>
        <v>6.8344779999999998</v>
      </c>
      <c r="C447">
        <f t="shared" si="71"/>
        <v>86.635000000000005</v>
      </c>
      <c r="D447">
        <f t="shared" si="72"/>
        <v>24121.828000000001</v>
      </c>
      <c r="E447">
        <f t="shared" si="64"/>
        <v>34.654000000000003</v>
      </c>
      <c r="K447">
        <f t="shared" si="65"/>
        <v>5.611024541018191E-6</v>
      </c>
      <c r="L447">
        <f t="shared" si="66"/>
        <v>1.7327000000000002E-2</v>
      </c>
      <c r="M447">
        <f t="shared" si="67"/>
        <v>1.0467489723809334E-5</v>
      </c>
      <c r="N447">
        <f t="shared" si="68"/>
        <v>34.654000000000003</v>
      </c>
      <c r="O447">
        <f t="shared" si="69"/>
        <v>3.4171389999999996E-3</v>
      </c>
      <c r="P447" s="4">
        <f t="shared" si="70"/>
        <v>2.6136331901270724</v>
      </c>
    </row>
    <row r="448" spans="1:16" x14ac:dyDescent="0.75">
      <c r="A448">
        <v>4.47</v>
      </c>
      <c r="B448">
        <f t="shared" si="63"/>
        <v>6.8480210000000001</v>
      </c>
      <c r="C448">
        <f t="shared" si="71"/>
        <v>86.882499999999993</v>
      </c>
      <c r="D448">
        <f t="shared" si="72"/>
        <v>24189.396000000001</v>
      </c>
      <c r="E448">
        <f t="shared" si="64"/>
        <v>34.753</v>
      </c>
      <c r="K448">
        <f t="shared" si="65"/>
        <v>5.595040556051115E-6</v>
      </c>
      <c r="L448">
        <f t="shared" si="66"/>
        <v>1.73765E-2</v>
      </c>
      <c r="M448">
        <f t="shared" si="67"/>
        <v>1.0361897613954983E-5</v>
      </c>
      <c r="N448">
        <f t="shared" si="68"/>
        <v>34.753</v>
      </c>
      <c r="O448">
        <f t="shared" si="69"/>
        <v>3.4239104999999998E-3</v>
      </c>
      <c r="P448" s="4">
        <f t="shared" si="70"/>
        <v>2.6170674625246866</v>
      </c>
    </row>
    <row r="449" spans="1:16" x14ac:dyDescent="0.75">
      <c r="A449">
        <v>4.4800000000000004</v>
      </c>
      <c r="B449">
        <f t="shared" si="63"/>
        <v>6.8615640000000004</v>
      </c>
      <c r="C449">
        <f t="shared" si="71"/>
        <v>87.13000000000001</v>
      </c>
      <c r="D449">
        <f t="shared" si="72"/>
        <v>24256.964000000004</v>
      </c>
      <c r="E449">
        <f t="shared" si="64"/>
        <v>34.852000000000004</v>
      </c>
      <c r="K449">
        <f t="shared" si="65"/>
        <v>5.5791473787571553E-6</v>
      </c>
      <c r="L449">
        <f t="shared" si="66"/>
        <v>1.7426000000000004E-2</v>
      </c>
      <c r="M449">
        <f t="shared" si="67"/>
        <v>1.0256905390412783E-5</v>
      </c>
      <c r="N449">
        <f t="shared" si="68"/>
        <v>34.852000000000004</v>
      </c>
      <c r="O449">
        <f t="shared" si="69"/>
        <v>3.430682E-3</v>
      </c>
      <c r="P449" s="4">
        <f t="shared" si="70"/>
        <v>2.6205084014300768</v>
      </c>
    </row>
    <row r="450" spans="1:16" x14ac:dyDescent="0.75">
      <c r="A450">
        <v>4.49</v>
      </c>
      <c r="B450">
        <f t="shared" ref="B450:B501" si="73">1.3543*A450+0.7943</f>
        <v>6.8751070000000007</v>
      </c>
      <c r="C450">
        <f t="shared" si="71"/>
        <v>87.377500000000012</v>
      </c>
      <c r="D450">
        <f t="shared" si="72"/>
        <v>24324.532000000003</v>
      </c>
      <c r="E450">
        <f t="shared" ref="E450:E501" si="74">C450/($J$2*$J$4)</f>
        <v>34.951000000000008</v>
      </c>
      <c r="K450">
        <f t="shared" ref="K450:K500" si="75">$I$501/E450</f>
        <v>5.5633442374880367E-6</v>
      </c>
      <c r="L450">
        <f t="shared" si="66"/>
        <v>1.7475500000000005E-2</v>
      </c>
      <c r="M450">
        <f t="shared" si="67"/>
        <v>1.0152507955582248E-5</v>
      </c>
      <c r="N450">
        <f t="shared" si="68"/>
        <v>34.951000000000008</v>
      </c>
      <c r="O450">
        <f t="shared" si="69"/>
        <v>3.4374535000000002E-3</v>
      </c>
      <c r="P450" s="4">
        <f t="shared" si="70"/>
        <v>2.6239560074380326</v>
      </c>
    </row>
    <row r="451" spans="1:16" x14ac:dyDescent="0.75">
      <c r="A451">
        <v>4.5</v>
      </c>
      <c r="B451">
        <f t="shared" si="73"/>
        <v>6.8886500000000002</v>
      </c>
      <c r="C451">
        <f t="shared" si="71"/>
        <v>87.625</v>
      </c>
      <c r="D451">
        <f t="shared" si="72"/>
        <v>24392.100000000002</v>
      </c>
      <c r="E451">
        <f t="shared" si="74"/>
        <v>35.049999999999997</v>
      </c>
      <c r="K451">
        <f t="shared" si="75"/>
        <v>5.5476303693136779E-6</v>
      </c>
      <c r="L451">
        <f t="shared" ref="L451:L501" si="76">$F$2*C451</f>
        <v>1.7525000000000002E-2</v>
      </c>
      <c r="M451">
        <f t="shared" ref="M451:M501" si="77">K451*($H$2-B451)</f>
        <v>1.0048700269456326E-5</v>
      </c>
      <c r="N451">
        <f t="shared" ref="N451:N501" si="78">C451/$J$2</f>
        <v>35.049999999999997</v>
      </c>
      <c r="O451">
        <f t="shared" ref="O451:O501" si="79">L451/N451*(B451-$F$2)</f>
        <v>3.4442250000000008E-3</v>
      </c>
      <c r="P451" s="4">
        <f t="shared" si="70"/>
        <v>2.6274102811383022</v>
      </c>
    </row>
    <row r="452" spans="1:16" x14ac:dyDescent="0.75">
      <c r="A452">
        <v>4.51</v>
      </c>
      <c r="B452">
        <f t="shared" si="73"/>
        <v>6.9021929999999996</v>
      </c>
      <c r="C452">
        <f t="shared" si="71"/>
        <v>87.872499999999988</v>
      </c>
      <c r="D452">
        <f t="shared" si="72"/>
        <v>24459.667999999998</v>
      </c>
      <c r="E452">
        <f t="shared" si="74"/>
        <v>35.148999999999994</v>
      </c>
      <c r="K452">
        <f t="shared" si="75"/>
        <v>5.532005019899412E-6</v>
      </c>
      <c r="L452">
        <f t="shared" si="76"/>
        <v>1.75745E-2</v>
      </c>
      <c r="M452">
        <f t="shared" si="77"/>
        <v>9.9454773488103008E-6</v>
      </c>
      <c r="N452">
        <f t="shared" si="78"/>
        <v>35.148999999999994</v>
      </c>
      <c r="O452">
        <f t="shared" si="79"/>
        <v>3.4509965000000002E-3</v>
      </c>
      <c r="P452" s="4">
        <f t="shared" ref="P452:P501" si="80">P451+O452+M452</f>
        <v>2.6308712231156508</v>
      </c>
    </row>
    <row r="453" spans="1:16" x14ac:dyDescent="0.75">
      <c r="A453">
        <v>4.5199999999999996</v>
      </c>
      <c r="B453">
        <f t="shared" si="73"/>
        <v>6.9157359999999999</v>
      </c>
      <c r="C453">
        <f t="shared" si="71"/>
        <v>88.11999999999999</v>
      </c>
      <c r="D453">
        <f t="shared" si="72"/>
        <v>24527.235999999997</v>
      </c>
      <c r="E453">
        <f t="shared" si="74"/>
        <v>35.247999999999998</v>
      </c>
      <c r="K453">
        <f t="shared" si="75"/>
        <v>5.5164674433852816E-6</v>
      </c>
      <c r="L453">
        <f t="shared" si="76"/>
        <v>1.7623999999999997E-2</v>
      </c>
      <c r="M453">
        <f t="shared" si="77"/>
        <v>9.8428342664043926E-6</v>
      </c>
      <c r="N453">
        <f t="shared" si="78"/>
        <v>35.247999999999998</v>
      </c>
      <c r="O453">
        <f t="shared" si="79"/>
        <v>3.457768E-3</v>
      </c>
      <c r="P453" s="4">
        <f t="shared" si="80"/>
        <v>2.6343388339499172</v>
      </c>
    </row>
    <row r="454" spans="1:16" x14ac:dyDescent="0.75">
      <c r="A454">
        <v>4.53</v>
      </c>
      <c r="B454">
        <f t="shared" si="73"/>
        <v>6.9292790000000002</v>
      </c>
      <c r="C454">
        <f t="shared" si="71"/>
        <v>88.367500000000007</v>
      </c>
      <c r="D454">
        <f t="shared" si="72"/>
        <v>24594.804000000004</v>
      </c>
      <c r="E454">
        <f t="shared" si="74"/>
        <v>35.347000000000001</v>
      </c>
      <c r="K454">
        <f t="shared" si="75"/>
        <v>5.5010169022673609E-6</v>
      </c>
      <c r="L454">
        <f t="shared" si="76"/>
        <v>1.7673500000000002E-2</v>
      </c>
      <c r="M454">
        <f t="shared" si="77"/>
        <v>9.7407661501997585E-6</v>
      </c>
      <c r="N454">
        <f t="shared" si="78"/>
        <v>35.347000000000001</v>
      </c>
      <c r="O454">
        <f t="shared" si="79"/>
        <v>3.4645395000000002E-3</v>
      </c>
      <c r="P454" s="4">
        <f t="shared" si="80"/>
        <v>2.6378131142160672</v>
      </c>
    </row>
    <row r="455" spans="1:16" x14ac:dyDescent="0.75">
      <c r="A455">
        <v>4.54</v>
      </c>
      <c r="B455">
        <f t="shared" si="73"/>
        <v>6.9428220000000005</v>
      </c>
      <c r="C455">
        <f t="shared" si="71"/>
        <v>88.614999999999995</v>
      </c>
      <c r="D455">
        <f t="shared" si="72"/>
        <v>24662.371999999999</v>
      </c>
      <c r="E455">
        <f t="shared" si="74"/>
        <v>35.445999999999998</v>
      </c>
      <c r="K455">
        <f t="shared" si="75"/>
        <v>5.4856526672810593E-6</v>
      </c>
      <c r="L455">
        <f t="shared" si="76"/>
        <v>1.7722999999999999E-2</v>
      </c>
      <c r="M455">
        <f t="shared" si="77"/>
        <v>9.6392681825875912E-6</v>
      </c>
      <c r="N455">
        <f t="shared" si="78"/>
        <v>35.445999999999998</v>
      </c>
      <c r="O455">
        <f t="shared" si="79"/>
        <v>3.4713109999999999E-3</v>
      </c>
      <c r="P455" s="4">
        <f t="shared" si="80"/>
        <v>2.6412940644842502</v>
      </c>
    </row>
    <row r="456" spans="1:16" x14ac:dyDescent="0.75">
      <c r="A456">
        <v>4.55</v>
      </c>
      <c r="B456">
        <f t="shared" si="73"/>
        <v>6.9563649999999999</v>
      </c>
      <c r="C456">
        <f t="shared" si="71"/>
        <v>88.862499999999997</v>
      </c>
      <c r="D456">
        <f t="shared" si="72"/>
        <v>24729.94</v>
      </c>
      <c r="E456">
        <f t="shared" si="74"/>
        <v>35.545000000000002</v>
      </c>
      <c r="K456">
        <f t="shared" si="75"/>
        <v>5.4703740172863804E-6</v>
      </c>
      <c r="L456">
        <f t="shared" si="76"/>
        <v>1.77725E-2</v>
      </c>
      <c r="M456">
        <f t="shared" si="77"/>
        <v>9.5383355996311343E-6</v>
      </c>
      <c r="N456">
        <f t="shared" si="78"/>
        <v>35.545000000000002</v>
      </c>
      <c r="O456">
        <f t="shared" si="79"/>
        <v>3.4780824999999997E-3</v>
      </c>
      <c r="P456" s="4">
        <f t="shared" si="80"/>
        <v>2.6447816853198498</v>
      </c>
    </row>
    <row r="457" spans="1:16" x14ac:dyDescent="0.75">
      <c r="A457">
        <v>4.5599999999999996</v>
      </c>
      <c r="B457">
        <f t="shared" si="73"/>
        <v>6.9699079999999993</v>
      </c>
      <c r="C457">
        <f t="shared" si="71"/>
        <v>89.109999999999985</v>
      </c>
      <c r="D457">
        <f t="shared" si="72"/>
        <v>24797.507999999998</v>
      </c>
      <c r="E457">
        <f t="shared" si="74"/>
        <v>35.643999999999991</v>
      </c>
      <c r="K457">
        <f t="shared" si="75"/>
        <v>5.4551802391551018E-6</v>
      </c>
      <c r="L457">
        <f t="shared" si="76"/>
        <v>1.7821999999999998E-2</v>
      </c>
      <c r="M457">
        <f t="shared" si="77"/>
        <v>9.4379636903203278E-6</v>
      </c>
      <c r="N457">
        <f t="shared" si="78"/>
        <v>35.643999999999991</v>
      </c>
      <c r="O457">
        <f t="shared" si="79"/>
        <v>3.4848539999999995E-3</v>
      </c>
      <c r="P457" s="4">
        <f t="shared" si="80"/>
        <v>2.6482759772835398</v>
      </c>
    </row>
    <row r="458" spans="1:16" x14ac:dyDescent="0.75">
      <c r="A458">
        <v>4.57</v>
      </c>
      <c r="B458">
        <f t="shared" si="73"/>
        <v>6.9834510000000005</v>
      </c>
      <c r="C458">
        <f t="shared" si="71"/>
        <v>89.357500000000002</v>
      </c>
      <c r="D458">
        <f t="shared" si="72"/>
        <v>24865.076000000005</v>
      </c>
      <c r="E458">
        <f t="shared" si="74"/>
        <v>35.743000000000002</v>
      </c>
      <c r="K458">
        <f t="shared" si="75"/>
        <v>5.4400706276598049E-6</v>
      </c>
      <c r="L458">
        <f t="shared" si="76"/>
        <v>1.7871500000000002E-2</v>
      </c>
      <c r="M458">
        <f t="shared" si="77"/>
        <v>9.3381477958388043E-6</v>
      </c>
      <c r="N458">
        <f t="shared" si="78"/>
        <v>35.743000000000002</v>
      </c>
      <c r="O458">
        <f t="shared" si="79"/>
        <v>3.4916255000000001E-3</v>
      </c>
      <c r="P458" s="4">
        <f t="shared" si="80"/>
        <v>2.6517769409313359</v>
      </c>
    </row>
    <row r="459" spans="1:16" x14ac:dyDescent="0.75">
      <c r="A459">
        <v>4.58</v>
      </c>
      <c r="B459">
        <f t="shared" si="73"/>
        <v>6.9969939999999999</v>
      </c>
      <c r="C459">
        <f t="shared" si="71"/>
        <v>89.605000000000004</v>
      </c>
      <c r="D459">
        <f t="shared" si="72"/>
        <v>24932.644</v>
      </c>
      <c r="E459">
        <f t="shared" si="74"/>
        <v>35.841999999999999</v>
      </c>
      <c r="K459">
        <f t="shared" si="75"/>
        <v>5.425044485364779E-6</v>
      </c>
      <c r="L459">
        <f t="shared" si="76"/>
        <v>1.7921000000000003E-2</v>
      </c>
      <c r="M459">
        <f t="shared" si="77"/>
        <v>9.2388833088431279E-6</v>
      </c>
      <c r="N459">
        <f t="shared" si="78"/>
        <v>35.841999999999999</v>
      </c>
      <c r="O459">
        <f t="shared" si="79"/>
        <v>3.4983970000000007E-3</v>
      </c>
      <c r="P459" s="4">
        <f t="shared" si="80"/>
        <v>2.6552845768146449</v>
      </c>
    </row>
    <row r="460" spans="1:16" x14ac:dyDescent="0.75">
      <c r="A460">
        <v>4.59</v>
      </c>
      <c r="B460">
        <f t="shared" si="73"/>
        <v>7.0105370000000002</v>
      </c>
      <c r="C460">
        <f t="shared" si="71"/>
        <v>89.852499999999992</v>
      </c>
      <c r="D460">
        <f t="shared" si="72"/>
        <v>25000.212</v>
      </c>
      <c r="E460">
        <f t="shared" si="74"/>
        <v>35.940999999999995</v>
      </c>
      <c r="K460">
        <f t="shared" si="75"/>
        <v>5.4101011225186956E-6</v>
      </c>
      <c r="L460">
        <f t="shared" si="76"/>
        <v>1.79705E-2</v>
      </c>
      <c r="M460">
        <f t="shared" si="77"/>
        <v>9.1401656727537977E-6</v>
      </c>
      <c r="N460">
        <f t="shared" si="78"/>
        <v>35.940999999999995</v>
      </c>
      <c r="O460">
        <f t="shared" si="79"/>
        <v>3.505168500000001E-3</v>
      </c>
      <c r="P460" s="4">
        <f t="shared" si="80"/>
        <v>2.6587988854803175</v>
      </c>
    </row>
    <row r="461" spans="1:16" x14ac:dyDescent="0.75">
      <c r="A461">
        <v>4.5999999999999996</v>
      </c>
      <c r="B461">
        <f t="shared" si="73"/>
        <v>7.0240799999999997</v>
      </c>
      <c r="C461">
        <f t="shared" si="71"/>
        <v>90.1</v>
      </c>
      <c r="D461">
        <f t="shared" si="72"/>
        <v>25067.78</v>
      </c>
      <c r="E461">
        <f t="shared" si="74"/>
        <v>36.04</v>
      </c>
      <c r="K461">
        <f t="shared" si="75"/>
        <v>5.3952398569490684E-6</v>
      </c>
      <c r="L461">
        <f t="shared" si="76"/>
        <v>1.8020000000000001E-2</v>
      </c>
      <c r="M461">
        <f t="shared" si="77"/>
        <v>9.0419903810580799E-6</v>
      </c>
      <c r="N461">
        <f t="shared" si="78"/>
        <v>36.04</v>
      </c>
      <c r="O461">
        <f t="shared" si="79"/>
        <v>3.5119399999999999E-3</v>
      </c>
      <c r="P461" s="4">
        <f t="shared" si="80"/>
        <v>2.6623198674706985</v>
      </c>
    </row>
    <row r="462" spans="1:16" x14ac:dyDescent="0.75">
      <c r="A462">
        <v>4.6100000000000003</v>
      </c>
      <c r="B462">
        <f t="shared" si="73"/>
        <v>7.0376230000000009</v>
      </c>
      <c r="C462">
        <f t="shared" si="71"/>
        <v>90.347500000000011</v>
      </c>
      <c r="D462">
        <f t="shared" si="72"/>
        <v>25135.348000000002</v>
      </c>
      <c r="E462">
        <f t="shared" si="74"/>
        <v>36.139000000000003</v>
      </c>
      <c r="K462">
        <f t="shared" si="75"/>
        <v>5.3804600139584492E-6</v>
      </c>
      <c r="L462">
        <f t="shared" si="76"/>
        <v>1.8069500000000002E-2</v>
      </c>
      <c r="M462">
        <f t="shared" si="77"/>
        <v>8.9443529766241963E-6</v>
      </c>
      <c r="N462">
        <f t="shared" si="78"/>
        <v>36.139000000000003</v>
      </c>
      <c r="O462">
        <f t="shared" si="79"/>
        <v>3.5187115000000005E-3</v>
      </c>
      <c r="P462" s="4">
        <f t="shared" si="80"/>
        <v>2.6658475233236749</v>
      </c>
    </row>
    <row r="463" spans="1:16" x14ac:dyDescent="0.75">
      <c r="A463">
        <v>4.62</v>
      </c>
      <c r="B463">
        <f t="shared" si="73"/>
        <v>7.0511660000000003</v>
      </c>
      <c r="C463">
        <f t="shared" si="71"/>
        <v>90.594999999999999</v>
      </c>
      <c r="D463">
        <f t="shared" si="72"/>
        <v>25202.916000000001</v>
      </c>
      <c r="E463">
        <f t="shared" si="74"/>
        <v>36.238</v>
      </c>
      <c r="K463">
        <f t="shared" si="75"/>
        <v>5.3657609262223193E-6</v>
      </c>
      <c r="L463">
        <f t="shared" si="76"/>
        <v>1.8119E-2</v>
      </c>
      <c r="M463">
        <f t="shared" si="77"/>
        <v>8.8472490510268466E-6</v>
      </c>
      <c r="N463">
        <f t="shared" si="78"/>
        <v>36.238</v>
      </c>
      <c r="O463">
        <f t="shared" si="79"/>
        <v>3.5254829999999998E-3</v>
      </c>
      <c r="P463" s="4">
        <f t="shared" si="80"/>
        <v>2.6693818535727263</v>
      </c>
    </row>
    <row r="464" spans="1:16" x14ac:dyDescent="0.75">
      <c r="A464">
        <v>4.63</v>
      </c>
      <c r="B464">
        <f t="shared" si="73"/>
        <v>7.0647089999999997</v>
      </c>
      <c r="C464">
        <f t="shared" si="71"/>
        <v>90.842500000000001</v>
      </c>
      <c r="D464">
        <f t="shared" si="72"/>
        <v>25270.484</v>
      </c>
      <c r="E464">
        <f t="shared" si="74"/>
        <v>36.337000000000003</v>
      </c>
      <c r="K464">
        <f t="shared" si="75"/>
        <v>5.3511419336886478E-6</v>
      </c>
      <c r="L464">
        <f t="shared" si="76"/>
        <v>1.8168500000000001E-2</v>
      </c>
      <c r="M464">
        <f t="shared" si="77"/>
        <v>8.7506742438836398E-6</v>
      </c>
      <c r="N464">
        <f t="shared" si="78"/>
        <v>36.337000000000003</v>
      </c>
      <c r="O464">
        <f t="shared" si="79"/>
        <v>3.5322544999999996E-3</v>
      </c>
      <c r="P464" s="4">
        <f t="shared" si="80"/>
        <v>2.6729228587469702</v>
      </c>
    </row>
    <row r="465" spans="1:16" x14ac:dyDescent="0.75">
      <c r="A465">
        <v>4.6399999999999997</v>
      </c>
      <c r="B465">
        <f t="shared" si="73"/>
        <v>7.078252</v>
      </c>
      <c r="C465">
        <f t="shared" si="71"/>
        <v>91.089999999999989</v>
      </c>
      <c r="D465">
        <f t="shared" si="72"/>
        <v>25338.052</v>
      </c>
      <c r="E465">
        <f t="shared" si="74"/>
        <v>36.435999999999993</v>
      </c>
      <c r="K465">
        <f t="shared" si="75"/>
        <v>5.3366023834790985E-6</v>
      </c>
      <c r="L465">
        <f t="shared" si="76"/>
        <v>1.8217999999999998E-2</v>
      </c>
      <c r="M465">
        <f t="shared" si="77"/>
        <v>8.6546242422024567E-6</v>
      </c>
      <c r="N465">
        <f t="shared" si="78"/>
        <v>36.435999999999993</v>
      </c>
      <c r="O465">
        <f t="shared" si="79"/>
        <v>3.5390259999999998E-3</v>
      </c>
      <c r="P465" s="4">
        <f t="shared" si="80"/>
        <v>2.6764705393712123</v>
      </c>
    </row>
    <row r="466" spans="1:16" x14ac:dyDescent="0.75">
      <c r="A466">
        <v>4.6500000000000004</v>
      </c>
      <c r="B466">
        <f t="shared" si="73"/>
        <v>7.0917950000000003</v>
      </c>
      <c r="C466">
        <f t="shared" si="71"/>
        <v>91.337500000000006</v>
      </c>
      <c r="D466">
        <f t="shared" si="72"/>
        <v>25405.620000000003</v>
      </c>
      <c r="E466">
        <f t="shared" si="74"/>
        <v>36.535000000000004</v>
      </c>
      <c r="K466">
        <f t="shared" si="75"/>
        <v>5.3221416297918263E-6</v>
      </c>
      <c r="L466">
        <f t="shared" si="76"/>
        <v>1.8267500000000002E-2</v>
      </c>
      <c r="M466">
        <f t="shared" si="77"/>
        <v>8.5590947797393587E-6</v>
      </c>
      <c r="N466">
        <f t="shared" si="78"/>
        <v>36.535000000000004</v>
      </c>
      <c r="O466">
        <f t="shared" si="79"/>
        <v>3.5457975E-3</v>
      </c>
      <c r="P466" s="4">
        <f t="shared" si="80"/>
        <v>2.680024895965992</v>
      </c>
    </row>
    <row r="467" spans="1:16" x14ac:dyDescent="0.75">
      <c r="A467">
        <v>4.66</v>
      </c>
      <c r="B467">
        <f t="shared" si="73"/>
        <v>7.1053380000000006</v>
      </c>
      <c r="C467">
        <f t="shared" si="71"/>
        <v>91.585000000000008</v>
      </c>
      <c r="D467">
        <f t="shared" si="72"/>
        <v>25473.188000000002</v>
      </c>
      <c r="E467">
        <f t="shared" si="74"/>
        <v>36.634</v>
      </c>
      <c r="K467">
        <f t="shared" si="75"/>
        <v>5.3077590338058741E-6</v>
      </c>
      <c r="L467">
        <f t="shared" si="76"/>
        <v>1.8317000000000003E-2</v>
      </c>
      <c r="M467">
        <f t="shared" si="77"/>
        <v>8.4640816363669362E-6</v>
      </c>
      <c r="N467">
        <f t="shared" si="78"/>
        <v>36.634</v>
      </c>
      <c r="O467">
        <f t="shared" si="79"/>
        <v>3.5525690000000011E-3</v>
      </c>
      <c r="P467" s="4">
        <f t="shared" si="80"/>
        <v>2.6835859290476285</v>
      </c>
    </row>
    <row r="468" spans="1:16" x14ac:dyDescent="0.75">
      <c r="A468">
        <v>4.67</v>
      </c>
      <c r="B468">
        <f t="shared" si="73"/>
        <v>7.118881</v>
      </c>
      <c r="C468">
        <f t="shared" si="71"/>
        <v>91.832499999999996</v>
      </c>
      <c r="D468">
        <f t="shared" si="72"/>
        <v>25540.756000000001</v>
      </c>
      <c r="E468">
        <f t="shared" si="74"/>
        <v>36.732999999999997</v>
      </c>
      <c r="K468">
        <f t="shared" si="75"/>
        <v>5.2934539635870855E-6</v>
      </c>
      <c r="L468">
        <f t="shared" si="76"/>
        <v>1.8366500000000001E-2</v>
      </c>
      <c r="M468">
        <f t="shared" si="77"/>
        <v>8.3695806374528444E-6</v>
      </c>
      <c r="N468">
        <f t="shared" si="78"/>
        <v>36.732999999999997</v>
      </c>
      <c r="O468">
        <f t="shared" si="79"/>
        <v>3.5593405000000009E-3</v>
      </c>
      <c r="P468" s="4">
        <f t="shared" si="80"/>
        <v>2.6871536391282658</v>
      </c>
    </row>
    <row r="469" spans="1:16" x14ac:dyDescent="0.75">
      <c r="A469">
        <v>4.68</v>
      </c>
      <c r="B469">
        <f t="shared" si="73"/>
        <v>7.1324239999999994</v>
      </c>
      <c r="C469">
        <f t="shared" si="71"/>
        <v>92.08</v>
      </c>
      <c r="D469">
        <f t="shared" si="72"/>
        <v>25608.324000000001</v>
      </c>
      <c r="E469">
        <f t="shared" si="74"/>
        <v>36.832000000000001</v>
      </c>
      <c r="K469">
        <f t="shared" si="75"/>
        <v>5.2792257939955586E-6</v>
      </c>
      <c r="L469">
        <f t="shared" si="76"/>
        <v>1.8416000000000002E-2</v>
      </c>
      <c r="M469">
        <f t="shared" si="77"/>
        <v>8.2755876532483806E-6</v>
      </c>
      <c r="N469">
        <f t="shared" si="78"/>
        <v>36.832000000000001</v>
      </c>
      <c r="O469">
        <f t="shared" si="79"/>
        <v>3.5661119999999998E-3</v>
      </c>
      <c r="P469" s="4">
        <f t="shared" si="80"/>
        <v>2.6907280267159193</v>
      </c>
    </row>
    <row r="470" spans="1:16" x14ac:dyDescent="0.75">
      <c r="A470">
        <v>4.6900000000000004</v>
      </c>
      <c r="B470">
        <f t="shared" si="73"/>
        <v>7.1459670000000006</v>
      </c>
      <c r="C470">
        <f t="shared" si="71"/>
        <v>92.327500000000015</v>
      </c>
      <c r="D470">
        <f t="shared" si="72"/>
        <v>25675.892000000003</v>
      </c>
      <c r="E470">
        <f t="shared" si="74"/>
        <v>36.931000000000004</v>
      </c>
      <c r="K470">
        <f t="shared" si="75"/>
        <v>5.2650739065945788E-6</v>
      </c>
      <c r="L470">
        <f t="shared" si="76"/>
        <v>1.8465500000000003E-2</v>
      </c>
      <c r="M470">
        <f t="shared" si="77"/>
        <v>8.182098598286886E-6</v>
      </c>
      <c r="N470">
        <f t="shared" si="78"/>
        <v>36.931000000000004</v>
      </c>
      <c r="O470">
        <f t="shared" si="79"/>
        <v>3.5728835E-3</v>
      </c>
      <c r="P470" s="4">
        <f t="shared" si="80"/>
        <v>2.6943090923145174</v>
      </c>
    </row>
    <row r="471" spans="1:16" x14ac:dyDescent="0.75">
      <c r="A471">
        <v>4.7</v>
      </c>
      <c r="B471">
        <f t="shared" si="73"/>
        <v>7.15951</v>
      </c>
      <c r="C471">
        <f t="shared" si="71"/>
        <v>92.575000000000003</v>
      </c>
      <c r="D471">
        <f t="shared" si="72"/>
        <v>25743.460000000003</v>
      </c>
      <c r="E471">
        <f t="shared" si="74"/>
        <v>37.03</v>
      </c>
      <c r="K471">
        <f t="shared" si="75"/>
        <v>5.2509976895610151E-6</v>
      </c>
      <c r="L471">
        <f t="shared" si="76"/>
        <v>1.8515E-2</v>
      </c>
      <c r="M471">
        <f t="shared" si="77"/>
        <v>8.0891094307918444E-6</v>
      </c>
      <c r="N471">
        <f t="shared" si="78"/>
        <v>37.03</v>
      </c>
      <c r="O471">
        <f t="shared" si="79"/>
        <v>3.5796549999999997E-3</v>
      </c>
      <c r="P471" s="4">
        <f t="shared" si="80"/>
        <v>2.697896836423948</v>
      </c>
    </row>
    <row r="472" spans="1:16" x14ac:dyDescent="0.75">
      <c r="A472">
        <v>4.71</v>
      </c>
      <c r="B472">
        <f t="shared" si="73"/>
        <v>7.1730530000000003</v>
      </c>
      <c r="C472">
        <f t="shared" si="71"/>
        <v>92.822500000000005</v>
      </c>
      <c r="D472">
        <f t="shared" si="72"/>
        <v>25811.028000000002</v>
      </c>
      <c r="E472">
        <f t="shared" si="74"/>
        <v>37.129000000000005</v>
      </c>
      <c r="K472">
        <f t="shared" si="75"/>
        <v>5.2369965375971443E-6</v>
      </c>
      <c r="L472">
        <f t="shared" si="76"/>
        <v>1.8564500000000001E-2</v>
      </c>
      <c r="M472">
        <f t="shared" si="77"/>
        <v>7.9966161520943416E-6</v>
      </c>
      <c r="N472">
        <f t="shared" si="78"/>
        <v>37.129000000000005</v>
      </c>
      <c r="O472">
        <f t="shared" si="79"/>
        <v>3.5864264999999999E-3</v>
      </c>
      <c r="P472" s="4">
        <f t="shared" si="80"/>
        <v>2.7014912595400999</v>
      </c>
    </row>
    <row r="473" spans="1:16" x14ac:dyDescent="0.75">
      <c r="A473">
        <v>4.72</v>
      </c>
      <c r="B473">
        <f t="shared" si="73"/>
        <v>7.1865959999999998</v>
      </c>
      <c r="C473">
        <f t="shared" si="71"/>
        <v>93.07</v>
      </c>
      <c r="D473">
        <f t="shared" si="72"/>
        <v>25878.595999999998</v>
      </c>
      <c r="E473">
        <f t="shared" si="74"/>
        <v>37.227999999999994</v>
      </c>
      <c r="K473">
        <f t="shared" si="75"/>
        <v>5.223069851843893E-6</v>
      </c>
      <c r="L473">
        <f t="shared" si="76"/>
        <v>1.8613999999999999E-2</v>
      </c>
      <c r="M473">
        <f t="shared" si="77"/>
        <v>7.9046148060599532E-6</v>
      </c>
      <c r="N473">
        <f t="shared" si="78"/>
        <v>37.227999999999994</v>
      </c>
      <c r="O473">
        <f t="shared" si="79"/>
        <v>3.5931979999999997E-3</v>
      </c>
      <c r="P473" s="4">
        <f t="shared" si="80"/>
        <v>2.7050923621549061</v>
      </c>
    </row>
    <row r="474" spans="1:16" x14ac:dyDescent="0.75">
      <c r="A474">
        <v>4.7300000000000004</v>
      </c>
      <c r="B474">
        <f t="shared" si="73"/>
        <v>7.200139000000001</v>
      </c>
      <c r="C474">
        <f t="shared" si="71"/>
        <v>93.31750000000001</v>
      </c>
      <c r="D474">
        <f t="shared" si="72"/>
        <v>25946.164000000004</v>
      </c>
      <c r="E474">
        <f t="shared" si="74"/>
        <v>37.327000000000005</v>
      </c>
      <c r="K474">
        <f t="shared" si="75"/>
        <v>5.2092170397954399E-6</v>
      </c>
      <c r="L474">
        <f t="shared" si="76"/>
        <v>1.8663500000000003E-2</v>
      </c>
      <c r="M474">
        <f t="shared" si="77"/>
        <v>7.8131014785246203E-6</v>
      </c>
      <c r="N474">
        <f t="shared" si="78"/>
        <v>37.327000000000005</v>
      </c>
      <c r="O474">
        <f t="shared" si="79"/>
        <v>3.5999695000000003E-3</v>
      </c>
      <c r="P474" s="4">
        <f t="shared" si="80"/>
        <v>2.708700144756385</v>
      </c>
    </row>
    <row r="475" spans="1:16" x14ac:dyDescent="0.75">
      <c r="A475">
        <v>4.74</v>
      </c>
      <c r="B475">
        <f t="shared" si="73"/>
        <v>7.2136820000000004</v>
      </c>
      <c r="C475">
        <f t="shared" si="71"/>
        <v>93.565000000000012</v>
      </c>
      <c r="D475">
        <f t="shared" si="72"/>
        <v>26013.732000000004</v>
      </c>
      <c r="E475">
        <f t="shared" si="74"/>
        <v>37.426000000000002</v>
      </c>
      <c r="K475">
        <f t="shared" si="75"/>
        <v>5.1954375152152083E-6</v>
      </c>
      <c r="L475">
        <f t="shared" si="76"/>
        <v>1.8713000000000004E-2</v>
      </c>
      <c r="M475">
        <f t="shared" si="77"/>
        <v>7.722072296739633E-6</v>
      </c>
      <c r="N475">
        <f t="shared" si="78"/>
        <v>37.426000000000002</v>
      </c>
      <c r="O475">
        <f t="shared" si="79"/>
        <v>3.606741000000001E-3</v>
      </c>
      <c r="P475" s="4">
        <f t="shared" si="80"/>
        <v>2.7123146078286817</v>
      </c>
    </row>
    <row r="476" spans="1:16" x14ac:dyDescent="0.75">
      <c r="A476">
        <v>4.75</v>
      </c>
      <c r="B476">
        <f t="shared" si="73"/>
        <v>7.2272249999999998</v>
      </c>
      <c r="C476">
        <f t="shared" si="71"/>
        <v>93.8125</v>
      </c>
      <c r="D476">
        <f t="shared" si="72"/>
        <v>26081.3</v>
      </c>
      <c r="E476">
        <f t="shared" si="74"/>
        <v>37.524999999999999</v>
      </c>
      <c r="K476">
        <f t="shared" si="75"/>
        <v>5.1817306980531488E-6</v>
      </c>
      <c r="L476">
        <f t="shared" si="76"/>
        <v>1.8762500000000001E-2</v>
      </c>
      <c r="M476">
        <f t="shared" si="77"/>
        <v>7.6315234288252231E-6</v>
      </c>
      <c r="N476">
        <f t="shared" si="78"/>
        <v>37.524999999999999</v>
      </c>
      <c r="O476">
        <f t="shared" si="79"/>
        <v>3.6135124999999999E-3</v>
      </c>
      <c r="P476" s="4">
        <f t="shared" si="80"/>
        <v>2.7159357518521103</v>
      </c>
    </row>
    <row r="477" spans="1:16" x14ac:dyDescent="0.75">
      <c r="A477">
        <v>4.76</v>
      </c>
      <c r="B477">
        <f t="shared" si="73"/>
        <v>7.2407680000000001</v>
      </c>
      <c r="C477">
        <f t="shared" si="71"/>
        <v>94.059999999999988</v>
      </c>
      <c r="D477">
        <f t="shared" si="72"/>
        <v>26148.867999999999</v>
      </c>
      <c r="E477">
        <f t="shared" si="74"/>
        <v>37.623999999999995</v>
      </c>
      <c r="K477">
        <f t="shared" si="75"/>
        <v>5.1680960143643536E-6</v>
      </c>
      <c r="L477">
        <f t="shared" si="76"/>
        <v>1.8811999999999999E-2</v>
      </c>
      <c r="M477">
        <f t="shared" si="77"/>
        <v>7.5414510832329199E-6</v>
      </c>
      <c r="N477">
        <f t="shared" si="78"/>
        <v>37.623999999999995</v>
      </c>
      <c r="O477">
        <f t="shared" si="79"/>
        <v>3.6202840000000001E-3</v>
      </c>
      <c r="P477" s="4">
        <f t="shared" si="80"/>
        <v>2.7195635773031936</v>
      </c>
    </row>
    <row r="478" spans="1:16" x14ac:dyDescent="0.75">
      <c r="A478">
        <v>4.7699999999999996</v>
      </c>
      <c r="B478">
        <f t="shared" si="73"/>
        <v>7.2543109999999995</v>
      </c>
      <c r="C478">
        <f t="shared" si="71"/>
        <v>94.30749999999999</v>
      </c>
      <c r="D478">
        <f t="shared" si="72"/>
        <v>26216.435999999998</v>
      </c>
      <c r="E478">
        <f t="shared" si="74"/>
        <v>37.722999999999999</v>
      </c>
      <c r="K478">
        <f t="shared" si="75"/>
        <v>5.1545328962289431E-6</v>
      </c>
      <c r="L478">
        <f t="shared" si="76"/>
        <v>1.88615E-2</v>
      </c>
      <c r="M478">
        <f t="shared" si="77"/>
        <v>7.4518515082163234E-6</v>
      </c>
      <c r="N478">
        <f t="shared" si="78"/>
        <v>37.722999999999999</v>
      </c>
      <c r="O478">
        <f t="shared" si="79"/>
        <v>3.6270554999999994E-3</v>
      </c>
      <c r="P478" s="4">
        <f t="shared" si="80"/>
        <v>2.7231980846547019</v>
      </c>
    </row>
    <row r="479" spans="1:16" x14ac:dyDescent="0.75">
      <c r="A479">
        <v>4.78</v>
      </c>
      <c r="B479">
        <f t="shared" si="73"/>
        <v>7.2678540000000007</v>
      </c>
      <c r="C479">
        <f t="shared" si="71"/>
        <v>94.555000000000007</v>
      </c>
      <c r="D479">
        <f t="shared" si="72"/>
        <v>26284.004000000001</v>
      </c>
      <c r="E479">
        <f t="shared" si="74"/>
        <v>37.822000000000003</v>
      </c>
      <c r="K479">
        <f t="shared" si="75"/>
        <v>5.1410407816732167E-6</v>
      </c>
      <c r="L479">
        <f t="shared" si="76"/>
        <v>1.8911000000000001E-2</v>
      </c>
      <c r="M479">
        <f t="shared" si="77"/>
        <v>7.3627209913101634E-6</v>
      </c>
      <c r="N479">
        <f t="shared" si="78"/>
        <v>37.822000000000003</v>
      </c>
      <c r="O479">
        <f t="shared" si="79"/>
        <v>3.6338270000000001E-3</v>
      </c>
      <c r="P479" s="4">
        <f t="shared" si="80"/>
        <v>2.7268392743756928</v>
      </c>
    </row>
    <row r="480" spans="1:16" x14ac:dyDescent="0.75">
      <c r="A480">
        <v>4.79</v>
      </c>
      <c r="B480">
        <f t="shared" si="73"/>
        <v>7.2813970000000001</v>
      </c>
      <c r="C480">
        <f t="shared" si="71"/>
        <v>94.802499999999995</v>
      </c>
      <c r="D480">
        <f t="shared" si="72"/>
        <v>26351.572</v>
      </c>
      <c r="E480">
        <f t="shared" si="74"/>
        <v>37.920999999999999</v>
      </c>
      <c r="K480">
        <f t="shared" si="75"/>
        <v>5.1276191145920306E-6</v>
      </c>
      <c r="L480">
        <f t="shared" si="76"/>
        <v>1.8960499999999998E-2</v>
      </c>
      <c r="M480">
        <f t="shared" si="77"/>
        <v>7.2740558588175944E-6</v>
      </c>
      <c r="N480">
        <f t="shared" si="78"/>
        <v>37.920999999999999</v>
      </c>
      <c r="O480">
        <f t="shared" si="79"/>
        <v>3.6405984999999998E-3</v>
      </c>
      <c r="P480" s="4">
        <f t="shared" si="80"/>
        <v>2.7304871469315519</v>
      </c>
    </row>
    <row r="481" spans="1:16" x14ac:dyDescent="0.75">
      <c r="A481">
        <v>4.8</v>
      </c>
      <c r="B481">
        <f t="shared" si="73"/>
        <v>7.2949399999999995</v>
      </c>
      <c r="C481">
        <f t="shared" si="71"/>
        <v>95.05</v>
      </c>
      <c r="D481">
        <f t="shared" si="72"/>
        <v>26419.14</v>
      </c>
      <c r="E481">
        <f t="shared" si="74"/>
        <v>38.019999999999996</v>
      </c>
      <c r="K481">
        <f t="shared" si="75"/>
        <v>5.1142673446723938E-6</v>
      </c>
      <c r="L481">
        <f t="shared" si="76"/>
        <v>1.9009999999999999E-2</v>
      </c>
      <c r="M481">
        <f t="shared" si="77"/>
        <v>7.1858524753053924E-6</v>
      </c>
      <c r="N481">
        <f t="shared" si="78"/>
        <v>38.019999999999996</v>
      </c>
      <c r="O481">
        <f t="shared" si="79"/>
        <v>3.6473699999999996E-3</v>
      </c>
      <c r="P481" s="4">
        <f t="shared" si="80"/>
        <v>2.7341417027840271</v>
      </c>
    </row>
    <row r="482" spans="1:16" x14ac:dyDescent="0.75">
      <c r="A482">
        <v>4.8099999999999996</v>
      </c>
      <c r="B482">
        <f t="shared" si="73"/>
        <v>7.3084829999999998</v>
      </c>
      <c r="C482">
        <f t="shared" ref="C482:C501" si="81">24.75* A482- 23.75</f>
        <v>95.297499999999985</v>
      </c>
      <c r="D482">
        <f t="shared" si="72"/>
        <v>26486.707999999999</v>
      </c>
      <c r="E482">
        <f t="shared" si="74"/>
        <v>38.118999999999993</v>
      </c>
      <c r="K482">
        <f t="shared" si="75"/>
        <v>5.1009849273182515E-6</v>
      </c>
      <c r="L482">
        <f t="shared" si="76"/>
        <v>1.9059499999999997E-2</v>
      </c>
      <c r="M482">
        <f t="shared" si="77"/>
        <v>7.0981072431071081E-6</v>
      </c>
      <c r="N482">
        <f t="shared" si="78"/>
        <v>38.118999999999993</v>
      </c>
      <c r="O482">
        <f t="shared" si="79"/>
        <v>3.6541414999999998E-3</v>
      </c>
      <c r="P482" s="4">
        <f t="shared" si="80"/>
        <v>2.7378029423912706</v>
      </c>
    </row>
    <row r="483" spans="1:16" x14ac:dyDescent="0.75">
      <c r="A483">
        <v>4.82</v>
      </c>
      <c r="B483">
        <f t="shared" si="73"/>
        <v>7.3220260000000001</v>
      </c>
      <c r="C483">
        <f t="shared" si="81"/>
        <v>95.545000000000002</v>
      </c>
      <c r="D483">
        <f t="shared" si="72"/>
        <v>26554.276000000002</v>
      </c>
      <c r="E483">
        <f t="shared" si="74"/>
        <v>38.218000000000004</v>
      </c>
      <c r="K483">
        <f t="shared" si="75"/>
        <v>5.0877713235764399E-6</v>
      </c>
      <c r="L483">
        <f t="shared" si="76"/>
        <v>1.9109000000000001E-2</v>
      </c>
      <c r="M483">
        <f t="shared" si="77"/>
        <v>7.0108166018339169E-6</v>
      </c>
      <c r="N483">
        <f t="shared" si="78"/>
        <v>38.218000000000004</v>
      </c>
      <c r="O483">
        <f t="shared" si="79"/>
        <v>3.660913E-3</v>
      </c>
      <c r="P483" s="4">
        <f t="shared" si="80"/>
        <v>2.7414708662078726</v>
      </c>
    </row>
    <row r="484" spans="1:16" x14ac:dyDescent="0.75">
      <c r="A484">
        <v>4.83</v>
      </c>
      <c r="B484">
        <f t="shared" si="73"/>
        <v>7.3355690000000005</v>
      </c>
      <c r="C484">
        <f t="shared" si="81"/>
        <v>95.792500000000004</v>
      </c>
      <c r="D484">
        <f t="shared" si="72"/>
        <v>26621.844000000001</v>
      </c>
      <c r="E484">
        <f t="shared" si="74"/>
        <v>38.317</v>
      </c>
      <c r="K484">
        <f t="shared" si="75"/>
        <v>5.0746260000637942E-6</v>
      </c>
      <c r="L484">
        <f t="shared" si="76"/>
        <v>1.9158500000000002E-2</v>
      </c>
      <c r="M484">
        <f t="shared" si="77"/>
        <v>6.9239770278930369E-6</v>
      </c>
      <c r="N484">
        <f t="shared" si="78"/>
        <v>38.317</v>
      </c>
      <c r="O484">
        <f t="shared" si="79"/>
        <v>3.6676845000000002E-3</v>
      </c>
      <c r="P484" s="4">
        <f t="shared" si="80"/>
        <v>2.7451454746849002</v>
      </c>
    </row>
    <row r="485" spans="1:16" x14ac:dyDescent="0.75">
      <c r="A485">
        <v>4.84</v>
      </c>
      <c r="B485">
        <f t="shared" si="73"/>
        <v>7.3491119999999999</v>
      </c>
      <c r="C485">
        <f t="shared" si="81"/>
        <v>96.039999999999992</v>
      </c>
      <c r="D485">
        <f t="shared" si="72"/>
        <v>26689.412</v>
      </c>
      <c r="E485">
        <f t="shared" si="74"/>
        <v>38.415999999999997</v>
      </c>
      <c r="K485">
        <f t="shared" si="75"/>
        <v>5.0615484288953668E-6</v>
      </c>
      <c r="L485">
        <f t="shared" si="76"/>
        <v>1.9207999999999999E-2</v>
      </c>
      <c r="M485">
        <f t="shared" si="77"/>
        <v>6.8375850340136018E-6</v>
      </c>
      <c r="N485">
        <f t="shared" si="78"/>
        <v>38.415999999999997</v>
      </c>
      <c r="O485">
        <f t="shared" si="79"/>
        <v>3.674456E-3</v>
      </c>
      <c r="P485" s="4">
        <f t="shared" si="80"/>
        <v>2.7488267682699346</v>
      </c>
    </row>
    <row r="486" spans="1:16" x14ac:dyDescent="0.75">
      <c r="A486">
        <v>4.8499999999999996</v>
      </c>
      <c r="B486">
        <f t="shared" si="73"/>
        <v>7.3626549999999993</v>
      </c>
      <c r="C486">
        <f t="shared" si="81"/>
        <v>96.287499999999994</v>
      </c>
      <c r="D486">
        <f t="shared" si="72"/>
        <v>26756.979999999996</v>
      </c>
      <c r="E486">
        <f t="shared" si="74"/>
        <v>38.515000000000001</v>
      </c>
      <c r="K486">
        <f t="shared" si="75"/>
        <v>5.0485380876137717E-6</v>
      </c>
      <c r="L486">
        <f t="shared" si="76"/>
        <v>1.92575E-2</v>
      </c>
      <c r="M486">
        <f t="shared" si="77"/>
        <v>6.7516371687798395E-6</v>
      </c>
      <c r="N486">
        <f t="shared" si="78"/>
        <v>38.515000000000001</v>
      </c>
      <c r="O486">
        <f t="shared" si="79"/>
        <v>3.6812274999999993E-3</v>
      </c>
      <c r="P486" s="4">
        <f t="shared" si="80"/>
        <v>2.7525147474071034</v>
      </c>
    </row>
    <row r="487" spans="1:16" x14ac:dyDescent="0.75">
      <c r="A487">
        <v>4.8600000000000003</v>
      </c>
      <c r="B487">
        <f t="shared" si="73"/>
        <v>7.3761980000000005</v>
      </c>
      <c r="C487">
        <f t="shared" si="81"/>
        <v>96.535000000000011</v>
      </c>
      <c r="D487">
        <f t="shared" si="72"/>
        <v>26824.548000000003</v>
      </c>
      <c r="E487">
        <f t="shared" si="74"/>
        <v>38.614000000000004</v>
      </c>
      <c r="K487">
        <f t="shared" si="75"/>
        <v>5.0355944591196036E-6</v>
      </c>
      <c r="L487">
        <f t="shared" si="76"/>
        <v>1.9307000000000005E-2</v>
      </c>
      <c r="M487">
        <f t="shared" si="77"/>
        <v>6.6661300161714438E-6</v>
      </c>
      <c r="N487">
        <f t="shared" si="78"/>
        <v>38.614000000000004</v>
      </c>
      <c r="O487">
        <f t="shared" si="79"/>
        <v>3.6879990000000008E-3</v>
      </c>
      <c r="P487" s="4">
        <f t="shared" si="80"/>
        <v>2.7562094125371193</v>
      </c>
    </row>
    <row r="488" spans="1:16" x14ac:dyDescent="0.75">
      <c r="A488">
        <v>4.87</v>
      </c>
      <c r="B488">
        <f t="shared" si="73"/>
        <v>7.3897409999999999</v>
      </c>
      <c r="C488">
        <f t="shared" si="81"/>
        <v>96.782499999999999</v>
      </c>
      <c r="D488">
        <f t="shared" si="72"/>
        <v>26892.116000000002</v>
      </c>
      <c r="E488">
        <f t="shared" si="74"/>
        <v>38.713000000000001</v>
      </c>
      <c r="K488">
        <f t="shared" si="75"/>
        <v>5.0227170316029348E-6</v>
      </c>
      <c r="L488">
        <f t="shared" si="76"/>
        <v>1.9356500000000002E-2</v>
      </c>
      <c r="M488">
        <f t="shared" si="77"/>
        <v>6.5810601951110266E-6</v>
      </c>
      <c r="N488">
        <f t="shared" si="78"/>
        <v>38.713000000000001</v>
      </c>
      <c r="O488">
        <f t="shared" si="79"/>
        <v>3.6947704999999997E-3</v>
      </c>
      <c r="P488" s="4">
        <f t="shared" si="80"/>
        <v>2.7599107640973144</v>
      </c>
    </row>
    <row r="489" spans="1:16" x14ac:dyDescent="0.75">
      <c r="A489">
        <v>4.88</v>
      </c>
      <c r="B489">
        <f t="shared" si="73"/>
        <v>7.4032840000000002</v>
      </c>
      <c r="C489">
        <f t="shared" si="81"/>
        <v>97.03</v>
      </c>
      <c r="D489">
        <f t="shared" si="72"/>
        <v>26959.684000000001</v>
      </c>
      <c r="E489">
        <f t="shared" si="74"/>
        <v>38.811999999999998</v>
      </c>
      <c r="K489">
        <f t="shared" si="75"/>
        <v>5.0099052984758432E-6</v>
      </c>
      <c r="L489">
        <f t="shared" si="76"/>
        <v>1.9406E-2</v>
      </c>
      <c r="M489">
        <f t="shared" si="77"/>
        <v>6.4964243590183968E-6</v>
      </c>
      <c r="N489">
        <f t="shared" si="78"/>
        <v>38.811999999999998</v>
      </c>
      <c r="O489">
        <f t="shared" si="79"/>
        <v>3.7015419999999999E-3</v>
      </c>
      <c r="P489" s="4">
        <f t="shared" si="80"/>
        <v>2.7636188025216732</v>
      </c>
    </row>
    <row r="490" spans="1:16" x14ac:dyDescent="0.75">
      <c r="A490">
        <v>4.8899999999999997</v>
      </c>
      <c r="B490">
        <f t="shared" si="73"/>
        <v>7.4168269999999996</v>
      </c>
      <c r="C490">
        <f t="shared" si="81"/>
        <v>97.277499999999989</v>
      </c>
      <c r="D490">
        <f t="shared" si="72"/>
        <v>27027.252</v>
      </c>
      <c r="E490">
        <f t="shared" si="74"/>
        <v>38.910999999999994</v>
      </c>
      <c r="K490">
        <f t="shared" si="75"/>
        <v>4.9971587583059914E-6</v>
      </c>
      <c r="L490">
        <f t="shared" si="76"/>
        <v>1.9455499999999997E-2</v>
      </c>
      <c r="M490">
        <f t="shared" si="77"/>
        <v>6.4122191953717726E-6</v>
      </c>
      <c r="N490">
        <f t="shared" si="78"/>
        <v>38.910999999999994</v>
      </c>
      <c r="O490">
        <f t="shared" si="79"/>
        <v>3.7083134999999997E-3</v>
      </c>
      <c r="P490" s="4">
        <f t="shared" si="80"/>
        <v>2.7673335282408682</v>
      </c>
    </row>
    <row r="491" spans="1:16" x14ac:dyDescent="0.75">
      <c r="A491">
        <v>4.9000000000000004</v>
      </c>
      <c r="B491">
        <f t="shared" si="73"/>
        <v>7.4303700000000008</v>
      </c>
      <c r="C491">
        <f t="shared" si="81"/>
        <v>97.525000000000006</v>
      </c>
      <c r="D491">
        <f t="shared" si="72"/>
        <v>27094.82</v>
      </c>
      <c r="E491">
        <f t="shared" si="74"/>
        <v>39.010000000000005</v>
      </c>
      <c r="K491">
        <f t="shared" si="75"/>
        <v>4.9844769147512015E-6</v>
      </c>
      <c r="L491">
        <f t="shared" si="76"/>
        <v>1.9505000000000002E-2</v>
      </c>
      <c r="M491">
        <f t="shared" si="77"/>
        <v>6.3284414252755602E-6</v>
      </c>
      <c r="N491">
        <f t="shared" si="78"/>
        <v>39.010000000000005</v>
      </c>
      <c r="O491">
        <f t="shared" si="79"/>
        <v>3.7150850000000003E-3</v>
      </c>
      <c r="P491" s="4">
        <f t="shared" si="80"/>
        <v>2.7710549416822934</v>
      </c>
    </row>
    <row r="492" spans="1:16" x14ac:dyDescent="0.75">
      <c r="A492">
        <v>4.91</v>
      </c>
      <c r="B492">
        <f t="shared" si="73"/>
        <v>7.4439130000000002</v>
      </c>
      <c r="C492">
        <f t="shared" si="81"/>
        <v>97.772500000000008</v>
      </c>
      <c r="D492">
        <f t="shared" si="72"/>
        <v>27162.387999999999</v>
      </c>
      <c r="E492">
        <f t="shared" si="74"/>
        <v>39.109000000000002</v>
      </c>
      <c r="K492">
        <f t="shared" si="75"/>
        <v>4.9718592764950373E-6</v>
      </c>
      <c r="L492">
        <f t="shared" si="76"/>
        <v>1.9554500000000002E-2</v>
      </c>
      <c r="M492">
        <f t="shared" si="77"/>
        <v>6.2450878030348169E-6</v>
      </c>
      <c r="N492">
        <f t="shared" si="78"/>
        <v>39.109000000000002</v>
      </c>
      <c r="O492">
        <f t="shared" si="79"/>
        <v>3.7218565000000001E-3</v>
      </c>
      <c r="P492" s="4">
        <f t="shared" si="80"/>
        <v>2.7747830432700962</v>
      </c>
    </row>
    <row r="493" spans="1:16" x14ac:dyDescent="0.75">
      <c r="A493">
        <v>4.92</v>
      </c>
      <c r="B493">
        <f t="shared" si="73"/>
        <v>7.4574559999999996</v>
      </c>
      <c r="C493">
        <f t="shared" si="81"/>
        <v>98.02</v>
      </c>
      <c r="D493">
        <f t="shared" si="72"/>
        <v>27229.955999999998</v>
      </c>
      <c r="E493">
        <f t="shared" si="74"/>
        <v>39.207999999999998</v>
      </c>
      <c r="K493">
        <f t="shared" si="75"/>
        <v>4.9593053571833402E-6</v>
      </c>
      <c r="L493">
        <f t="shared" si="76"/>
        <v>1.9604E-2</v>
      </c>
      <c r="M493">
        <f t="shared" si="77"/>
        <v>6.1621551157360149E-6</v>
      </c>
      <c r="N493">
        <f t="shared" si="78"/>
        <v>39.207999999999998</v>
      </c>
      <c r="O493">
        <f t="shared" si="79"/>
        <v>3.7286279999999999E-3</v>
      </c>
      <c r="P493" s="4">
        <f t="shared" si="80"/>
        <v>2.7785178334252123</v>
      </c>
    </row>
    <row r="494" spans="1:16" x14ac:dyDescent="0.75">
      <c r="A494">
        <v>4.93</v>
      </c>
      <c r="B494">
        <f t="shared" si="73"/>
        <v>7.4709989999999999</v>
      </c>
      <c r="C494">
        <f t="shared" si="81"/>
        <v>98.267499999999998</v>
      </c>
      <c r="D494">
        <f t="shared" ref="D494:D501" si="82" xml:space="preserve"> 6756.8*A494 - 6013.5</f>
        <v>27297.523999999998</v>
      </c>
      <c r="E494">
        <f t="shared" si="74"/>
        <v>39.307000000000002</v>
      </c>
      <c r="K494">
        <f t="shared" si="75"/>
        <v>4.9468146753617523E-6</v>
      </c>
      <c r="L494">
        <f t="shared" si="76"/>
        <v>1.9653500000000001E-2</v>
      </c>
      <c r="M494">
        <f t="shared" si="77"/>
        <v>6.0796401828342661E-6</v>
      </c>
      <c r="N494">
        <f t="shared" si="78"/>
        <v>39.307000000000002</v>
      </c>
      <c r="O494">
        <f t="shared" si="79"/>
        <v>3.7353994999999997E-3</v>
      </c>
      <c r="P494" s="4">
        <f t="shared" si="80"/>
        <v>2.7822593125653952</v>
      </c>
    </row>
    <row r="495" spans="1:16" x14ac:dyDescent="0.75">
      <c r="A495">
        <v>4.9400000000000004</v>
      </c>
      <c r="B495">
        <f t="shared" si="73"/>
        <v>7.4845420000000003</v>
      </c>
      <c r="C495">
        <f t="shared" si="81"/>
        <v>98.515000000000015</v>
      </c>
      <c r="D495">
        <f t="shared" si="82"/>
        <v>27365.092000000004</v>
      </c>
      <c r="E495">
        <f t="shared" si="74"/>
        <v>39.406000000000006</v>
      </c>
      <c r="K495">
        <f t="shared" si="75"/>
        <v>4.9343867544141599E-6</v>
      </c>
      <c r="L495">
        <f t="shared" si="76"/>
        <v>1.9703000000000005E-2</v>
      </c>
      <c r="M495">
        <f t="shared" si="77"/>
        <v>5.9975398557467214E-6</v>
      </c>
      <c r="N495">
        <f t="shared" si="78"/>
        <v>39.406000000000006</v>
      </c>
      <c r="O495">
        <f t="shared" si="79"/>
        <v>3.7421709999999999E-3</v>
      </c>
      <c r="P495" s="4">
        <f t="shared" si="80"/>
        <v>2.7860074811052509</v>
      </c>
    </row>
    <row r="496" spans="1:16" x14ac:dyDescent="0.75">
      <c r="A496">
        <v>4.95</v>
      </c>
      <c r="B496">
        <f t="shared" si="73"/>
        <v>7.4980850000000006</v>
      </c>
      <c r="C496">
        <f t="shared" si="81"/>
        <v>98.762500000000003</v>
      </c>
      <c r="D496">
        <f t="shared" si="82"/>
        <v>27432.660000000003</v>
      </c>
      <c r="E496">
        <f t="shared" si="74"/>
        <v>39.505000000000003</v>
      </c>
      <c r="K496">
        <f t="shared" si="75"/>
        <v>4.9220211225020727E-6</v>
      </c>
      <c r="L496">
        <f t="shared" si="76"/>
        <v>1.9752500000000003E-2</v>
      </c>
      <c r="M496">
        <f t="shared" si="77"/>
        <v>5.9158510174520726E-6</v>
      </c>
      <c r="N496">
        <f t="shared" si="78"/>
        <v>39.505000000000003</v>
      </c>
      <c r="O496">
        <f t="shared" si="79"/>
        <v>3.7489425000000001E-3</v>
      </c>
      <c r="P496" s="4">
        <f t="shared" si="80"/>
        <v>2.7897623394562685</v>
      </c>
    </row>
    <row r="497" spans="1:16" x14ac:dyDescent="0.75">
      <c r="A497">
        <v>4.96</v>
      </c>
      <c r="B497">
        <f t="shared" si="73"/>
        <v>7.511628</v>
      </c>
      <c r="C497">
        <f t="shared" si="81"/>
        <v>99.01</v>
      </c>
      <c r="D497">
        <f t="shared" si="82"/>
        <v>27500.228000000003</v>
      </c>
      <c r="E497">
        <f t="shared" si="74"/>
        <v>39.603999999999999</v>
      </c>
      <c r="K497">
        <f t="shared" si="75"/>
        <v>4.9097173125049086E-6</v>
      </c>
      <c r="L497">
        <f t="shared" si="76"/>
        <v>1.9802000000000004E-2</v>
      </c>
      <c r="M497">
        <f t="shared" si="77"/>
        <v>5.83457058209608E-6</v>
      </c>
      <c r="N497">
        <f t="shared" si="78"/>
        <v>39.603999999999999</v>
      </c>
      <c r="O497">
        <f t="shared" si="79"/>
        <v>3.7557140000000007E-3</v>
      </c>
      <c r="P497" s="4">
        <f t="shared" si="80"/>
        <v>2.7935238880268507</v>
      </c>
    </row>
    <row r="498" spans="1:16" x14ac:dyDescent="0.75">
      <c r="A498">
        <v>4.97</v>
      </c>
      <c r="B498">
        <f t="shared" si="73"/>
        <v>7.5251709999999994</v>
      </c>
      <c r="C498">
        <f t="shared" si="81"/>
        <v>99.257499999999993</v>
      </c>
      <c r="D498">
        <f t="shared" si="82"/>
        <v>27567.796000000002</v>
      </c>
      <c r="E498">
        <f t="shared" si="74"/>
        <v>39.702999999999996</v>
      </c>
      <c r="K498">
        <f t="shared" si="75"/>
        <v>4.8974748619611726E-6</v>
      </c>
      <c r="L498">
        <f t="shared" si="76"/>
        <v>1.9851500000000001E-2</v>
      </c>
      <c r="M498">
        <f t="shared" si="77"/>
        <v>5.753695494602982E-6</v>
      </c>
      <c r="N498">
        <f t="shared" si="78"/>
        <v>39.702999999999996</v>
      </c>
      <c r="O498">
        <f t="shared" si="79"/>
        <v>3.7624855000000005E-3</v>
      </c>
      <c r="P498" s="4">
        <f t="shared" si="80"/>
        <v>2.7972921272223452</v>
      </c>
    </row>
    <row r="499" spans="1:16" x14ac:dyDescent="0.75">
      <c r="A499">
        <v>4.9800000000000004</v>
      </c>
      <c r="B499">
        <f t="shared" si="73"/>
        <v>7.5387140000000006</v>
      </c>
      <c r="C499">
        <f t="shared" si="81"/>
        <v>99.50500000000001</v>
      </c>
      <c r="D499">
        <f t="shared" si="82"/>
        <v>27635.364000000001</v>
      </c>
      <c r="E499">
        <f t="shared" si="74"/>
        <v>39.802000000000007</v>
      </c>
      <c r="K499">
        <f t="shared" si="75"/>
        <v>4.8852933130105111E-6</v>
      </c>
      <c r="L499">
        <f t="shared" si="76"/>
        <v>1.9901000000000002E-2</v>
      </c>
      <c r="M499">
        <f t="shared" si="77"/>
        <v>5.6732227302927179E-6</v>
      </c>
      <c r="N499">
        <f t="shared" si="78"/>
        <v>39.802000000000007</v>
      </c>
      <c r="O499">
        <f t="shared" si="79"/>
        <v>3.7692570000000002E-3</v>
      </c>
      <c r="P499" s="4">
        <f t="shared" si="80"/>
        <v>2.8010670574450756</v>
      </c>
    </row>
    <row r="500" spans="1:16" x14ac:dyDescent="0.75">
      <c r="A500">
        <v>4.99</v>
      </c>
      <c r="B500">
        <f t="shared" si="73"/>
        <v>7.552257</v>
      </c>
      <c r="C500">
        <f t="shared" si="81"/>
        <v>99.752500000000012</v>
      </c>
      <c r="D500">
        <f t="shared" si="82"/>
        <v>27702.932000000001</v>
      </c>
      <c r="E500">
        <f t="shared" si="74"/>
        <v>39.901000000000003</v>
      </c>
      <c r="K500">
        <f t="shared" si="75"/>
        <v>4.8731722123366429E-6</v>
      </c>
      <c r="L500">
        <f t="shared" si="76"/>
        <v>1.9950500000000003E-2</v>
      </c>
      <c r="M500">
        <f t="shared" si="77"/>
        <v>5.5931492945038924E-6</v>
      </c>
      <c r="N500">
        <f t="shared" si="78"/>
        <v>39.901000000000003</v>
      </c>
      <c r="O500">
        <f t="shared" si="79"/>
        <v>3.7760285E-3</v>
      </c>
      <c r="P500" s="4">
        <f t="shared" si="80"/>
        <v>2.8048486790943699</v>
      </c>
    </row>
    <row r="501" spans="1:16" x14ac:dyDescent="0.75">
      <c r="A501">
        <v>5</v>
      </c>
      <c r="B501">
        <f t="shared" si="73"/>
        <v>7.5658000000000003</v>
      </c>
      <c r="C501">
        <f t="shared" si="81"/>
        <v>100</v>
      </c>
      <c r="D501">
        <f t="shared" si="82"/>
        <v>27770.5</v>
      </c>
      <c r="E501">
        <f t="shared" si="74"/>
        <v>40</v>
      </c>
      <c r="H501" t="s">
        <v>66</v>
      </c>
      <c r="I501">
        <f>$I$4*E501</f>
        <v>1.9444444444444441E-4</v>
      </c>
      <c r="K501">
        <f>$I$501/E501</f>
        <v>4.8611111111111105E-6</v>
      </c>
      <c r="L501">
        <f t="shared" si="76"/>
        <v>0.02</v>
      </c>
      <c r="M501">
        <f t="shared" si="77"/>
        <v>5.5134722222222166E-6</v>
      </c>
      <c r="N501">
        <f t="shared" si="78"/>
        <v>40</v>
      </c>
      <c r="O501">
        <f t="shared" si="79"/>
        <v>3.7828000000000002E-3</v>
      </c>
      <c r="P501" s="4">
        <f t="shared" si="80"/>
        <v>2.8086369925665924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 1</vt:lpstr>
      <vt:lpstr>6</vt:lpstr>
      <vt:lpstr>5</vt:lpstr>
      <vt:lpstr>Sheet1</vt:lpstr>
      <vt:lpstr>9</vt:lpstr>
      <vt:lpstr>TransportModel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2025-06-04T10:17:11Z</dcterms:created>
  <dcterms:modified xsi:type="dcterms:W3CDTF">2025-07-10T20:32:10Z</dcterms:modified>
</cp:coreProperties>
</file>