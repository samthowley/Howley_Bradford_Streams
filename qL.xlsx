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Howley_Bradford_Streams\Howley_Bradford_Streams\"/>
    </mc:Choice>
  </mc:AlternateContent>
  <xr:revisionPtr revIDLastSave="0" documentId="13_ncr:1_{F16E7AD0-221C-4C41-BF82-566B6804A3A7}" xr6:coauthVersionLast="47" xr6:coauthVersionMax="47" xr10:uidLastSave="{00000000-0000-0000-0000-000000000000}"/>
  <bookViews>
    <workbookView xWindow="-28920" yWindow="2220" windowWidth="29040" windowHeight="15720" activeTab="3" xr2:uid="{00000000-000D-0000-FFFF-FFFF00000000}"/>
  </bookViews>
  <sheets>
    <sheet name="Sheet 1" sheetId="1" r:id="rId1"/>
    <sheet name="6" sheetId="2" r:id="rId2"/>
    <sheet name="5" sheetId="3" r:id="rId3"/>
    <sheet name="Transport Model" sheetId="5" r:id="rId4"/>
    <sheet name="9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5" l="1"/>
  <c r="K20" i="5"/>
  <c r="K12" i="5"/>
  <c r="K26" i="5"/>
  <c r="K25" i="5"/>
  <c r="K27" i="5" s="1"/>
  <c r="K19" i="5"/>
  <c r="K18" i="5"/>
  <c r="K17" i="5"/>
  <c r="K13" i="5"/>
  <c r="K11" i="5"/>
  <c r="K10" i="5"/>
  <c r="K9" i="5"/>
  <c r="H4" i="5"/>
  <c r="K4" i="5" s="1"/>
  <c r="K2" i="5"/>
  <c r="K3" i="5"/>
  <c r="K5" i="5" s="1"/>
  <c r="K14" i="5" l="1"/>
  <c r="K21" i="5" s="1"/>
  <c r="K22" i="5" s="1"/>
  <c r="K29" i="5" s="1"/>
  <c r="K30" i="5" s="1"/>
  <c r="K6" i="5"/>
  <c r="U3" i="3"/>
  <c r="U4" i="3"/>
  <c r="U5" i="3"/>
  <c r="U6" i="3"/>
  <c r="U2" i="3"/>
  <c r="L10" i="2"/>
  <c r="M10" i="2"/>
  <c r="N10" i="2"/>
  <c r="O10" i="2"/>
  <c r="L11" i="2"/>
  <c r="M11" i="2"/>
  <c r="N11" i="2"/>
  <c r="O11" i="2"/>
  <c r="L12" i="2"/>
  <c r="M12" i="2"/>
  <c r="N12" i="2"/>
  <c r="O12" i="2"/>
  <c r="L13" i="2"/>
  <c r="M13" i="2"/>
  <c r="N13" i="2"/>
  <c r="O13" i="2"/>
  <c r="L14" i="2"/>
  <c r="M14" i="2"/>
  <c r="N14" i="2"/>
  <c r="O14" i="2"/>
  <c r="S10" i="4"/>
  <c r="S11" i="4"/>
  <c r="S12" i="4"/>
  <c r="S13" i="4"/>
  <c r="J9" i="4"/>
  <c r="S9" i="4"/>
  <c r="P11" i="4"/>
  <c r="P12" i="4"/>
  <c r="P9" i="4"/>
  <c r="M11" i="4"/>
  <c r="M12" i="4"/>
  <c r="J11" i="4"/>
  <c r="J12" i="4"/>
  <c r="J13" i="4"/>
  <c r="R3" i="4"/>
  <c r="P10" i="4" s="1"/>
  <c r="R4" i="4"/>
  <c r="R5" i="4"/>
  <c r="R6" i="4"/>
  <c r="P13" i="4" s="1"/>
  <c r="R2" i="4"/>
  <c r="M9" i="4" s="1"/>
  <c r="W10" i="3"/>
  <c r="W11" i="3"/>
  <c r="W12" i="3"/>
  <c r="W13" i="3"/>
  <c r="W9" i="3"/>
  <c r="S10" i="3"/>
  <c r="S11" i="3"/>
  <c r="S12" i="3"/>
  <c r="S13" i="3"/>
  <c r="S9" i="3"/>
  <c r="O10" i="3"/>
  <c r="O11" i="3"/>
  <c r="O12" i="3"/>
  <c r="O13" i="3"/>
  <c r="O9" i="3"/>
  <c r="L9" i="3"/>
  <c r="L10" i="3"/>
  <c r="L11" i="3"/>
  <c r="L12" i="3"/>
  <c r="L13" i="3"/>
  <c r="T2" i="3"/>
  <c r="T3" i="3"/>
  <c r="T4" i="3"/>
  <c r="T5" i="3"/>
  <c r="T6" i="3"/>
  <c r="AB18" i="2"/>
  <c r="AB19" i="2"/>
  <c r="AB20" i="2"/>
  <c r="AB21" i="2"/>
  <c r="AB22" i="2"/>
  <c r="AB17" i="2"/>
  <c r="U19" i="2"/>
  <c r="U20" i="2"/>
  <c r="U21" i="2"/>
  <c r="U22" i="2"/>
  <c r="U23" i="2"/>
  <c r="U18" i="2"/>
  <c r="P19" i="2"/>
  <c r="P20" i="2"/>
  <c r="P21" i="2"/>
  <c r="P22" i="2"/>
  <c r="P23" i="2"/>
  <c r="P18" i="2"/>
  <c r="L19" i="2"/>
  <c r="L20" i="2"/>
  <c r="L21" i="2"/>
  <c r="L22" i="2"/>
  <c r="L23" i="2"/>
  <c r="L18" i="2"/>
  <c r="R7" i="2"/>
  <c r="R3" i="2"/>
  <c r="R4" i="2"/>
  <c r="R5" i="2"/>
  <c r="R6" i="2"/>
  <c r="R2" i="2"/>
  <c r="M10" i="4" l="1"/>
  <c r="J10" i="4"/>
  <c r="M13" i="4"/>
</calcChain>
</file>

<file path=xl/sharedStrings.xml><?xml version="1.0" encoding="utf-8"?>
<sst xmlns="http://schemas.openxmlformats.org/spreadsheetml/2006/main" count="460" uniqueCount="51">
  <si>
    <t>Date</t>
  </si>
  <si>
    <t>ID</t>
  </si>
  <si>
    <t>Long</t>
  </si>
  <si>
    <t>DO</t>
  </si>
  <si>
    <t>pH</t>
  </si>
  <si>
    <t>distance</t>
  </si>
  <si>
    <t>RASTERVALU</t>
  </si>
  <si>
    <t>baseflow</t>
  </si>
  <si>
    <t>3</t>
  </si>
  <si>
    <t>4</t>
  </si>
  <si>
    <t>2</t>
  </si>
  <si>
    <t>1</t>
  </si>
  <si>
    <t>5</t>
  </si>
  <si>
    <t>*</t>
  </si>
  <si>
    <t>6</t>
  </si>
  <si>
    <t>0</t>
  </si>
  <si>
    <t>9</t>
  </si>
  <si>
    <t>Sam</t>
  </si>
  <si>
    <t>Q_fraction</t>
  </si>
  <si>
    <t>DO:</t>
  </si>
  <si>
    <t xml:space="preserve">baseflow: </t>
  </si>
  <si>
    <t>bf</t>
  </si>
  <si>
    <t>slope v similar across sampling days, especially if I remove the initial conc for 02/20/2025</t>
  </si>
  <si>
    <t>DO-12/12/2025</t>
  </si>
  <si>
    <t>DO-2/20/2025</t>
  </si>
  <si>
    <t>DO-3/11/2025</t>
  </si>
  <si>
    <t>DO-9192024</t>
  </si>
  <si>
    <t>DO-4/2/2025</t>
  </si>
  <si>
    <t>DO-9/19/2024</t>
  </si>
  <si>
    <t>DO-12/12/2024</t>
  </si>
  <si>
    <t>DO-02/20/2025</t>
  </si>
  <si>
    <t xml:space="preserve">UCA- proportional flow accum per unit length </t>
  </si>
  <si>
    <t>UCA</t>
  </si>
  <si>
    <t>area</t>
  </si>
  <si>
    <t>DO mg/L -9/19/2024</t>
  </si>
  <si>
    <t>qL=</t>
  </si>
  <si>
    <t>GW=</t>
  </si>
  <si>
    <t>Reach 0</t>
  </si>
  <si>
    <t>Reach 1</t>
  </si>
  <si>
    <t>Reach 2</t>
  </si>
  <si>
    <t>K=</t>
  </si>
  <si>
    <t>DO Saturation</t>
  </si>
  <si>
    <t>Saturation Defict=</t>
  </si>
  <si>
    <t>K_O2 1/day</t>
  </si>
  <si>
    <t>1/sec</t>
  </si>
  <si>
    <t>Reach</t>
  </si>
  <si>
    <t>distance (km)</t>
  </si>
  <si>
    <t>Total (C/t)=</t>
  </si>
  <si>
    <t>Upstream</t>
  </si>
  <si>
    <t>Unknown</t>
  </si>
  <si>
    <t>Reach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</si>
</sst>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/>
    <xf numFmtId="0" fontId="0" fillId="2" borderId="0" xfId="0" applyFill="1"/>
    <xf numFmtId="164" fontId="2" fillId="2" borderId="0" xfId="0" applyNumberFormat="1" applyFont="1" applyFill="1"/>
    <xf numFmtId="14" fontId="0" fillId="0" borderId="0" xfId="0" applyNumberFormat="1"/>
    <xf numFmtId="0" fontId="0" fillId="3" borderId="0" xfId="0" applyFill="1"/>
    <xf numFmtId="164" fontId="2" fillId="3" borderId="0" xfId="0" applyNumberFormat="1" applyFont="1" applyFill="1"/>
    <xf numFmtId="20" fontId="0" fillId="0" borderId="1" xfId="0" applyNumberFormat="1" applyBorder="1"/>
    <xf numFmtId="0" fontId="0" fillId="0" borderId="0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09/19/2024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'6'!$M$17</c:f>
              <c:strCache>
                <c:ptCount val="1"/>
                <c:pt idx="0">
                  <c:v>DO-9/19/2024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'6'!$L$18:$L$23</c:f>
              <c:numCache>
                <c:formatCode>General</c:formatCode>
                <c:ptCount val="6"/>
                <c:pt idx="0">
                  <c:v>0.12132545083985322</c:v>
                </c:pt>
                <c:pt idx="1">
                  <c:v>17.867953999719802</c:v>
                </c:pt>
                <c:pt idx="2">
                  <c:v>15.021735904832674</c:v>
                </c:pt>
                <c:pt idx="3">
                  <c:v>41.279126011953196</c:v>
                </c:pt>
                <c:pt idx="4">
                  <c:v>346.37730760253578</c:v>
                </c:pt>
                <c:pt idx="5">
                  <c:v>346.89139849592499</c:v>
                </c:pt>
              </c:numCache>
            </c:numRef>
          </c:xVal>
          <c:yVal>
            <c:numRef>
              <c:f>'6'!$M$18:$M$23</c:f>
              <c:numCache>
                <c:formatCode>General</c:formatCode>
                <c:ptCount val="6"/>
                <c:pt idx="1">
                  <c:v>0.56000000000000005</c:v>
                </c:pt>
                <c:pt idx="2">
                  <c:v>1.22</c:v>
                </c:pt>
                <c:pt idx="3">
                  <c:v>1.29</c:v>
                </c:pt>
                <c:pt idx="4">
                  <c:v>2.06</c:v>
                </c:pt>
                <c:pt idx="5">
                  <c:v>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A7-4437-B92A-2C37167C8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996528"/>
        <c:axId val="299992208"/>
      </c:scatterChart>
      <c:valAx>
        <c:axId val="29999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992208"/>
        <c:crosses val="autoZero"/>
        <c:crossBetween val="midCat"/>
      </c:valAx>
      <c:valAx>
        <c:axId val="29999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99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12/12/2024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'6'!$P$18:$P$23</c:f>
              <c:numCache>
                <c:formatCode>General</c:formatCode>
                <c:ptCount val="6"/>
                <c:pt idx="0">
                  <c:v>1.9341263334559074E-3</c:v>
                </c:pt>
                <c:pt idx="1">
                  <c:v>0.28484444209033927</c:v>
                </c:pt>
                <c:pt idx="2">
                  <c:v>0.23947106552365088</c:v>
                </c:pt>
                <c:pt idx="3">
                  <c:v>0.65805685525248192</c:v>
                </c:pt>
                <c:pt idx="4">
                  <c:v>5.5218214093424089</c:v>
                </c:pt>
                <c:pt idx="5">
                  <c:v>5.5300168599079003</c:v>
                </c:pt>
              </c:numCache>
            </c:numRef>
          </c:xVal>
          <c:yVal>
            <c:numRef>
              <c:f>'6'!$Q$18:$Q$23</c:f>
              <c:numCache>
                <c:formatCode>General</c:formatCode>
                <c:ptCount val="6"/>
                <c:pt idx="1">
                  <c:v>1.1200000000000001</c:v>
                </c:pt>
                <c:pt idx="2">
                  <c:v>1.7</c:v>
                </c:pt>
                <c:pt idx="4">
                  <c:v>4.3099999999999996</c:v>
                </c:pt>
                <c:pt idx="5">
                  <c:v>3.72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64-45EA-96D6-158478B7C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749200"/>
        <c:axId val="278748720"/>
      </c:scatterChart>
      <c:valAx>
        <c:axId val="27874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748720"/>
        <c:crosses val="autoZero"/>
        <c:crossBetween val="midCat"/>
      </c:valAx>
      <c:valAx>
        <c:axId val="27874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74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02/20/2025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'6'!$V$17</c:f>
              <c:strCache>
                <c:ptCount val="1"/>
                <c:pt idx="0">
                  <c:v>DO-02/20/2025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'6'!$U$18:$U$26</c:f>
              <c:numCache>
                <c:formatCode>General</c:formatCode>
                <c:ptCount val="9"/>
                <c:pt idx="0">
                  <c:v>2.4996000877988075E-2</c:v>
                </c:pt>
                <c:pt idx="1">
                  <c:v>3.6812341579870531</c:v>
                </c:pt>
                <c:pt idx="2">
                  <c:v>3.0948438375203882</c:v>
                </c:pt>
                <c:pt idx="3">
                  <c:v>8.5045063743412896</c:v>
                </c:pt>
                <c:pt idx="4">
                  <c:v>71.36217030321653</c:v>
                </c:pt>
                <c:pt idx="5">
                  <c:v>71.468085561174107</c:v>
                </c:pt>
              </c:numCache>
            </c:numRef>
          </c:xVal>
          <c:yVal>
            <c:numRef>
              <c:f>'6'!$V$18:$V$26</c:f>
              <c:numCache>
                <c:formatCode>General</c:formatCode>
                <c:ptCount val="9"/>
                <c:pt idx="0">
                  <c:v>2.77</c:v>
                </c:pt>
                <c:pt idx="1">
                  <c:v>1.62</c:v>
                </c:pt>
                <c:pt idx="2">
                  <c:v>4.72</c:v>
                </c:pt>
                <c:pt idx="3">
                  <c:v>4.04</c:v>
                </c:pt>
                <c:pt idx="4">
                  <c:v>4.12</c:v>
                </c:pt>
                <c:pt idx="5">
                  <c:v>4.0599999999999996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F0-425F-BDD3-91F9DFEE0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685424"/>
        <c:axId val="311686864"/>
      </c:scatterChart>
      <c:valAx>
        <c:axId val="31168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686864"/>
        <c:crosses val="autoZero"/>
        <c:crossBetween val="midCat"/>
      </c:valAx>
      <c:valAx>
        <c:axId val="31168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68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'6'!$AC$16</c:f>
              <c:strCache>
                <c:ptCount val="1"/>
                <c:pt idx="0">
                  <c:v>DO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'6'!$AB$17:$AB$22</c:f>
              <c:numCache>
                <c:formatCode>General</c:formatCode>
                <c:ptCount val="6"/>
                <c:pt idx="0">
                  <c:v>2.9536471148044623E-2</c:v>
                </c:pt>
                <c:pt idx="1">
                  <c:v>4.3499224946951855</c:v>
                </c:pt>
                <c:pt idx="2">
                  <c:v>3.6570156226519654</c:v>
                </c:pt>
                <c:pt idx="3">
                  <c:v>10.049331826328194</c:v>
                </c:pt>
                <c:pt idx="4">
                  <c:v>84.324956400483899</c:v>
                </c:pt>
                <c:pt idx="5">
                  <c:v>84.450110939246798</c:v>
                </c:pt>
              </c:numCache>
            </c:numRef>
          </c:xVal>
          <c:yVal>
            <c:numRef>
              <c:f>'6'!$AC$17:$AC$22</c:f>
              <c:numCache>
                <c:formatCode>General</c:formatCode>
                <c:ptCount val="6"/>
                <c:pt idx="0">
                  <c:v>2.7</c:v>
                </c:pt>
                <c:pt idx="1">
                  <c:v>1.89</c:v>
                </c:pt>
                <c:pt idx="3">
                  <c:v>4.2699999999999996</c:v>
                </c:pt>
                <c:pt idx="4">
                  <c:v>3.81</c:v>
                </c:pt>
                <c:pt idx="5">
                  <c:v>2.62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8E-4D60-9430-01DB6E79D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269264"/>
        <c:axId val="272266864"/>
      </c:scatterChart>
      <c:valAx>
        <c:axId val="27226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66864"/>
        <c:crosses val="autoZero"/>
        <c:crossBetween val="midCat"/>
      </c:valAx>
      <c:valAx>
        <c:axId val="27226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6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09/19/2024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9759405074366E-2"/>
          <c:y val="0.19486111111111112"/>
          <c:w val="0.87755796150481191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'5'!$L$9:$L$13</c:f>
              <c:numCache>
                <c:formatCode>General</c:formatCode>
                <c:ptCount val="5"/>
                <c:pt idx="0">
                  <c:v>110.354159360789</c:v>
                </c:pt>
                <c:pt idx="1">
                  <c:v>90.038947747975925</c:v>
                </c:pt>
                <c:pt idx="2">
                  <c:v>63.56077105661538</c:v>
                </c:pt>
                <c:pt idx="3">
                  <c:v>11.239070366728425</c:v>
                </c:pt>
                <c:pt idx="4">
                  <c:v>0.85812064071644711</c:v>
                </c:pt>
              </c:numCache>
            </c:numRef>
          </c:xVal>
          <c:yVal>
            <c:numRef>
              <c:f>'5'!$M$9:$M$13</c:f>
              <c:numCache>
                <c:formatCode>General</c:formatCode>
                <c:ptCount val="5"/>
                <c:pt idx="0">
                  <c:v>5.1100000000000003</c:v>
                </c:pt>
                <c:pt idx="1">
                  <c:v>4.01</c:v>
                </c:pt>
                <c:pt idx="2">
                  <c:v>2.68</c:v>
                </c:pt>
                <c:pt idx="3">
                  <c:v>0.67</c:v>
                </c:pt>
                <c:pt idx="4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B3-48E6-A0D2-EDE90858A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225952"/>
        <c:axId val="312229312"/>
      </c:scatterChart>
      <c:valAx>
        <c:axId val="31222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229312"/>
        <c:crosses val="autoZero"/>
        <c:crossBetween val="midCat"/>
      </c:valAx>
      <c:valAx>
        <c:axId val="31222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22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02/20/2025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'5'!$S$9:$S$13</c:f>
              <c:numCache>
                <c:formatCode>General</c:formatCode>
                <c:ptCount val="5"/>
                <c:pt idx="0">
                  <c:v>95.954546094173494</c:v>
                </c:pt>
                <c:pt idx="1">
                  <c:v>78.290174217247227</c:v>
                </c:pt>
                <c:pt idx="2">
                  <c:v>55.267014596101255</c:v>
                </c:pt>
                <c:pt idx="3">
                  <c:v>9.7725350979665304</c:v>
                </c:pt>
                <c:pt idx="4">
                  <c:v>0.74614837402535861</c:v>
                </c:pt>
              </c:numCache>
            </c:numRef>
          </c:xVal>
          <c:yVal>
            <c:numRef>
              <c:f>'5'!$T$9:$T$13</c:f>
              <c:numCache>
                <c:formatCode>General</c:formatCode>
                <c:ptCount val="5"/>
                <c:pt idx="0">
                  <c:v>7</c:v>
                </c:pt>
                <c:pt idx="1">
                  <c:v>6.1</c:v>
                </c:pt>
                <c:pt idx="2">
                  <c:v>6.04</c:v>
                </c:pt>
                <c:pt idx="3">
                  <c:v>3.68</c:v>
                </c:pt>
                <c:pt idx="4">
                  <c:v>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B1-48F7-BDD7-D2E58D664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991248"/>
        <c:axId val="299993648"/>
      </c:scatterChart>
      <c:valAx>
        <c:axId val="29999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993648"/>
        <c:crosses val="autoZero"/>
        <c:crossBetween val="midCat"/>
      </c:valAx>
      <c:valAx>
        <c:axId val="29999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99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04/02/2025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'5'!$W$9:$W$13</c:f>
              <c:numCache>
                <c:formatCode>General</c:formatCode>
                <c:ptCount val="5"/>
                <c:pt idx="0">
                  <c:v>154.84053801825601</c:v>
                </c:pt>
                <c:pt idx="1">
                  <c:v>126.33578283455246</c:v>
                </c:pt>
                <c:pt idx="2">
                  <c:v>89.183625196083909</c:v>
                </c:pt>
                <c:pt idx="3">
                  <c:v>15.76980616307986</c:v>
                </c:pt>
                <c:pt idx="4">
                  <c:v>1.204049421088855</c:v>
                </c:pt>
              </c:numCache>
            </c:numRef>
          </c:xVal>
          <c:yVal>
            <c:numRef>
              <c:f>'5'!$X$9:$X$13</c:f>
              <c:numCache>
                <c:formatCode>General</c:formatCode>
                <c:ptCount val="5"/>
                <c:pt idx="0">
                  <c:v>4.7699999999999996</c:v>
                </c:pt>
                <c:pt idx="1">
                  <c:v>4.3899999999999997</c:v>
                </c:pt>
                <c:pt idx="2">
                  <c:v>4.41</c:v>
                </c:pt>
                <c:pt idx="3">
                  <c:v>1.65</c:v>
                </c:pt>
                <c:pt idx="4">
                  <c:v>1.52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51-46FA-8011-0A4674498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749200"/>
        <c:axId val="278749680"/>
      </c:scatterChart>
      <c:valAx>
        <c:axId val="27874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749680"/>
        <c:crosses val="autoZero"/>
        <c:crossBetween val="midCat"/>
      </c:valAx>
      <c:valAx>
        <c:axId val="27874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74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042619592277809"/>
                  <c:y val="-0.735884394416838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'5'!$R$2:$R$6</c:f>
              <c:numCache>
                <c:formatCode>General</c:formatCode>
                <c:ptCount val="5"/>
                <c:pt idx="0">
                  <c:v>0</c:v>
                </c:pt>
                <c:pt idx="1">
                  <c:v>1267.3699999999999</c:v>
                </c:pt>
                <c:pt idx="2">
                  <c:v>2467.91</c:v>
                </c:pt>
                <c:pt idx="3">
                  <c:v>4497.8599999999997</c:v>
                </c:pt>
                <c:pt idx="4">
                  <c:v>6130.37</c:v>
                </c:pt>
              </c:numCache>
            </c:numRef>
          </c:xVal>
          <c:yVal>
            <c:numRef>
              <c:f>'5'!$T$2:$T$6</c:f>
              <c:numCache>
                <c:formatCode>General</c:formatCode>
                <c:ptCount val="5"/>
                <c:pt idx="0">
                  <c:v>1</c:v>
                </c:pt>
                <c:pt idx="1">
                  <c:v>0.81590896319190787</c:v>
                </c:pt>
                <c:pt idx="2">
                  <c:v>0.57597077830851362</c:v>
                </c:pt>
                <c:pt idx="3">
                  <c:v>0.10184546220848553</c:v>
                </c:pt>
                <c:pt idx="4">
                  <c:v>7.7760606912053946E-3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89-4549-93B2-4D45F33ED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41999"/>
        <c:axId val="181742959"/>
      </c:scatterChart>
      <c:valAx>
        <c:axId val="18174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42959"/>
        <c:crosses val="autoZero"/>
        <c:crossBetween val="midCat"/>
      </c:valAx>
      <c:valAx>
        <c:axId val="18174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41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12/12/2025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'9'!$M$9:$M$13</c:f>
              <c:numCache>
                <c:formatCode>General</c:formatCode>
                <c:ptCount val="5"/>
                <c:pt idx="0">
                  <c:v>5.30642319963549</c:v>
                </c:pt>
                <c:pt idx="1">
                  <c:v>5.1472366477825098</c:v>
                </c:pt>
                <c:pt idx="2">
                  <c:v>1.5550755002025809</c:v>
                </c:pt>
                <c:pt idx="3">
                  <c:v>0.52379027254782662</c:v>
                </c:pt>
                <c:pt idx="4">
                  <c:v>7.0041281406256914E-2</c:v>
                </c:pt>
              </c:numCache>
            </c:numRef>
          </c:xVal>
          <c:yVal>
            <c:numRef>
              <c:f>'9'!$N$9:$N$13</c:f>
              <c:numCache>
                <c:formatCode>General</c:formatCode>
                <c:ptCount val="5"/>
                <c:pt idx="1">
                  <c:v>4.0599999999999996</c:v>
                </c:pt>
                <c:pt idx="2">
                  <c:v>3.7</c:v>
                </c:pt>
                <c:pt idx="3">
                  <c:v>3.04</c:v>
                </c:pt>
                <c:pt idx="4">
                  <c:v>2.54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B9-4776-BEAA-B9FA9E002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937984"/>
        <c:axId val="136938464"/>
      </c:scatterChart>
      <c:valAx>
        <c:axId val="13693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38464"/>
        <c:crosses val="autoZero"/>
        <c:crossBetween val="midCat"/>
      </c:valAx>
      <c:valAx>
        <c:axId val="13693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3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02/20/2025</a:t>
            </a:r>
          </a:p>
        </c:rich>
      </c:tx>
      <c:layout>
        <c:manualLayout>
          <c:xMode val="edge"/>
          <c:yMode val="edge"/>
          <c:x val="0.31543710180811318"/>
          <c:y val="4.3715846994535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'9'!$P$9:$P$13</c:f>
              <c:numCache>
                <c:formatCode>General</c:formatCode>
                <c:ptCount val="5"/>
                <c:pt idx="0">
                  <c:v>37.743591811441398</c:v>
                </c:pt>
                <c:pt idx="1">
                  <c:v>36.61132775918442</c:v>
                </c:pt>
                <c:pt idx="2">
                  <c:v>11.06096003041203</c:v>
                </c:pt>
                <c:pt idx="3">
                  <c:v>3.7256218545114974</c:v>
                </c:pt>
                <c:pt idx="4">
                  <c:v>0.49819048272095157</c:v>
                </c:pt>
              </c:numCache>
            </c:numRef>
          </c:xVal>
          <c:yVal>
            <c:numRef>
              <c:f>'9'!$Q$9:$Q$13</c:f>
              <c:numCache>
                <c:formatCode>General</c:formatCode>
                <c:ptCount val="5"/>
                <c:pt idx="0">
                  <c:v>7.22</c:v>
                </c:pt>
                <c:pt idx="1">
                  <c:v>4.9000000000000004</c:v>
                </c:pt>
                <c:pt idx="2">
                  <c:v>3.16</c:v>
                </c:pt>
                <c:pt idx="3">
                  <c:v>1.52</c:v>
                </c:pt>
                <c:pt idx="4">
                  <c:v>1.1100000000000001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9C-4735-819F-242C98CD5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091248"/>
        <c:axId val="1989091728"/>
      </c:scatterChart>
      <c:valAx>
        <c:axId val="198909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091728"/>
        <c:crosses val="autoZero"/>
        <c:crossBetween val="midCat"/>
      </c:valAx>
      <c:valAx>
        <c:axId val="198909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09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03/11/2025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'9'!$S$9:$S$13</c:f>
              <c:numCache>
                <c:formatCode>General</c:formatCode>
                <c:ptCount val="5"/>
                <c:pt idx="0">
                  <c:v>68.679981822201199</c:v>
                </c:pt>
                <c:pt idx="1">
                  <c:v>66.61966188986851</c:v>
                </c:pt>
                <c:pt idx="2">
                  <c:v>20.127033421194184</c:v>
                </c:pt>
                <c:pt idx="3">
                  <c:v>6.7793134930703749</c:v>
                </c:pt>
                <c:pt idx="4">
                  <c:v>0.90653039774811839</c:v>
                </c:pt>
              </c:numCache>
            </c:numRef>
          </c:xVal>
          <c:yVal>
            <c:numRef>
              <c:f>'9'!$T$9:$T$13</c:f>
              <c:numCache>
                <c:formatCode>General</c:formatCode>
                <c:ptCount val="5"/>
                <c:pt idx="0">
                  <c:v>6.37</c:v>
                </c:pt>
                <c:pt idx="1">
                  <c:v>3.77</c:v>
                </c:pt>
                <c:pt idx="2">
                  <c:v>3.04</c:v>
                </c:pt>
                <c:pt idx="3">
                  <c:v>1.99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39-432D-B9E6-F4C31226B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379392"/>
        <c:axId val="274379872"/>
      </c:scatterChart>
      <c:valAx>
        <c:axId val="27437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379872"/>
        <c:crosses val="autoZero"/>
        <c:crossBetween val="midCat"/>
      </c:valAx>
      <c:valAx>
        <c:axId val="27437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37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09/19/2024</a:t>
            </a:r>
          </a:p>
        </c:rich>
      </c:tx>
      <c:layout>
        <c:manualLayout>
          <c:xMode val="edge"/>
          <c:yMode val="edge"/>
          <c:x val="0.3271954384424226"/>
          <c:y val="4.23280423280423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'9'!$J$9:$J$13</c:f>
              <c:numCache>
                <c:formatCode>General</c:formatCode>
                <c:ptCount val="5"/>
                <c:pt idx="0">
                  <c:v>100.03049449091</c:v>
                </c:pt>
                <c:pt idx="1">
                  <c:v>97.029695478262397</c:v>
                </c:pt>
                <c:pt idx="2">
                  <c:v>29.314467656226288</c:v>
                </c:pt>
                <c:pt idx="3">
                  <c:v>9.873882651516892</c:v>
                </c:pt>
                <c:pt idx="4">
                  <c:v>1.3203364583371593</c:v>
                </c:pt>
              </c:numCache>
            </c:numRef>
          </c:xVal>
          <c:yVal>
            <c:numRef>
              <c:f>'9'!$K$9:$K$13</c:f>
              <c:numCache>
                <c:formatCode>General</c:formatCode>
                <c:ptCount val="5"/>
                <c:pt idx="1">
                  <c:v>1.2</c:v>
                </c:pt>
                <c:pt idx="2">
                  <c:v>0.38</c:v>
                </c:pt>
                <c:pt idx="3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0E-47E3-8F33-519DC0C98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735712"/>
        <c:axId val="273737632"/>
      </c:scatterChart>
      <c:valAx>
        <c:axId val="27373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737632"/>
        <c:crosses val="autoZero"/>
        <c:crossBetween val="midCat"/>
      </c:valAx>
      <c:valAx>
        <c:axId val="27373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73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219074</xdr:colOff>
      <xdr:row>23</xdr:row>
      <xdr:rowOff>76199</xdr:rowOff>
    </xdr:from>
    <xdr:to>
      <xdr:col>13</xdr:col>
      <xdr:colOff>485774</xdr:colOff>
      <xdr:row>36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5A5CBE-F473-C4CA-CE27-8DE86F4FB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144462</xdr:colOff>
      <xdr:row>23</xdr:row>
      <xdr:rowOff>66675</xdr:rowOff>
    </xdr:from>
    <xdr:to>
      <xdr:col>18</xdr:col>
      <xdr:colOff>600075</xdr:colOff>
      <xdr:row>34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FC4FB9-EBBA-2F9B-2057-AA645F297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142875</xdr:colOff>
      <xdr:row>23</xdr:row>
      <xdr:rowOff>76200</xdr:rowOff>
    </xdr:from>
    <xdr:to>
      <xdr:col>25</xdr:col>
      <xdr:colOff>209550</xdr:colOff>
      <xdr:row>34</xdr:row>
      <xdr:rowOff>57149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AC4C49-D85A-E523-AAB6-4DB41401F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542925</xdr:colOff>
      <xdr:row>23</xdr:row>
      <xdr:rowOff>1587</xdr:rowOff>
    </xdr:from>
    <xdr:to>
      <xdr:col>30</xdr:col>
      <xdr:colOff>457200</xdr:colOff>
      <xdr:row>33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9C7B09-48D2-52DC-465F-DA2C430A8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371475</xdr:colOff>
      <xdr:row>13</xdr:row>
      <xdr:rowOff>104775</xdr:rowOff>
    </xdr:from>
    <xdr:to>
      <xdr:col>12</xdr:col>
      <xdr:colOff>590550</xdr:colOff>
      <xdr:row>22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CAB2E8-A728-27C0-C0A2-F995B40FC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584200</xdr:colOff>
      <xdr:row>13</xdr:row>
      <xdr:rowOff>177800</xdr:rowOff>
    </xdr:from>
    <xdr:to>
      <xdr:col>18</xdr:col>
      <xdr:colOff>615950</xdr:colOff>
      <xdr:row>24</xdr:row>
      <xdr:rowOff>74612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AAABD3-5BE2-6CC5-59B7-FB2FAD095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593725</xdr:colOff>
      <xdr:row>11</xdr:row>
      <xdr:rowOff>82549</xdr:rowOff>
    </xdr:from>
    <xdr:to>
      <xdr:col>25</xdr:col>
      <xdr:colOff>276225</xdr:colOff>
      <xdr:row>23</xdr:row>
      <xdr:rowOff>22225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6653B9-356A-19F2-2A93-BCBA9A893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132292</xdr:colOff>
      <xdr:row>18</xdr:row>
      <xdr:rowOff>14816</xdr:rowOff>
    </xdr:from>
    <xdr:to>
      <xdr:col>7</xdr:col>
      <xdr:colOff>338667</xdr:colOff>
      <xdr:row>32</xdr:row>
      <xdr:rowOff>165099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3E1CB9-21A7-2CD5-D045-4062029D3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7</xdr:row>
      <xdr:rowOff>114300</xdr:rowOff>
    </xdr:from>
    <xdr:to>
      <xdr:col>8</xdr:col>
      <xdr:colOff>285750</xdr:colOff>
      <xdr:row>33</xdr:row>
      <xdr:rowOff>57802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0564C7-E0A1-EF5F-5FBA-858982C5F5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11" t="2476" r="4551" b="4550"/>
        <a:stretch>
          <a:fillRect/>
        </a:stretch>
      </xdr:blipFill>
      <xdr:spPr>
        <a:xfrm>
          <a:off x="542925" y="1466850"/>
          <a:ext cx="5829300" cy="49441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268287</xdr:colOff>
      <xdr:row>14</xdr:row>
      <xdr:rowOff>19050</xdr:rowOff>
    </xdr:from>
    <xdr:to>
      <xdr:col>15</xdr:col>
      <xdr:colOff>104775</xdr:colOff>
      <xdr:row>23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6A3A75-9A27-5E9D-B628-45608ACD3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287336</xdr:colOff>
      <xdr:row>14</xdr:row>
      <xdr:rowOff>19049</xdr:rowOff>
    </xdr:from>
    <xdr:to>
      <xdr:col>19</xdr:col>
      <xdr:colOff>123825</xdr:colOff>
      <xdr:row>23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DC8634-195A-D4A3-84DD-DCA8013B6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268287</xdr:colOff>
      <xdr:row>14</xdr:row>
      <xdr:rowOff>9524</xdr:rowOff>
    </xdr:from>
    <xdr:to>
      <xdr:col>23</xdr:col>
      <xdr:colOff>133350</xdr:colOff>
      <xdr:row>23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DD8330-C9E7-4FBE-2BA3-EAF291841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468312</xdr:colOff>
      <xdr:row>22</xdr:row>
      <xdr:rowOff>28575</xdr:rowOff>
    </xdr:from>
    <xdr:to>
      <xdr:col>11</xdr:col>
      <xdr:colOff>571500</xdr:colOff>
      <xdr:row>31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990765-594F-41E4-D736-FD2444F61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workbookViewId="0">
      <selection activeCell="H1" sqref="A1:H1"/>
    </sheetView>
  </sheetViews>
  <sheetFormatPr defaultColWidth="10.90625" defaultRowHeight="14.75" x14ac:dyDescent="0.75"/>
  <sheetData>
    <row r="1" spans="1:8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75">
      <c r="A2" s="1">
        <v>45554</v>
      </c>
      <c r="B2" t="s">
        <v>8</v>
      </c>
      <c r="C2" t="s">
        <v>9</v>
      </c>
      <c r="D2">
        <v>1.22</v>
      </c>
      <c r="E2">
        <v>3.66</v>
      </c>
      <c r="F2">
        <v>5594.22</v>
      </c>
      <c r="G2">
        <v>80468</v>
      </c>
    </row>
    <row r="3" spans="1:8" x14ac:dyDescent="0.75">
      <c r="A3" s="1">
        <v>45554</v>
      </c>
      <c r="B3" t="s">
        <v>8</v>
      </c>
      <c r="C3" t="s">
        <v>10</v>
      </c>
      <c r="D3">
        <v>0.56000000000000005</v>
      </c>
      <c r="E3">
        <v>3.77</v>
      </c>
      <c r="F3">
        <v>7836.22</v>
      </c>
      <c r="G3">
        <v>1355500</v>
      </c>
    </row>
    <row r="4" spans="1:8" x14ac:dyDescent="0.75">
      <c r="A4" s="1">
        <v>45554</v>
      </c>
      <c r="B4" t="s">
        <v>8</v>
      </c>
      <c r="C4" t="s">
        <v>11</v>
      </c>
      <c r="D4">
        <v>0.81</v>
      </c>
      <c r="E4">
        <v>3.75</v>
      </c>
      <c r="F4">
        <v>9149.2199999999993</v>
      </c>
      <c r="G4">
        <v>9204</v>
      </c>
    </row>
    <row r="5" spans="1:8" x14ac:dyDescent="0.75">
      <c r="A5" s="1">
        <v>45554</v>
      </c>
      <c r="B5" t="s">
        <v>8</v>
      </c>
      <c r="C5" t="s">
        <v>8</v>
      </c>
    </row>
    <row r="6" spans="1:8" x14ac:dyDescent="0.75">
      <c r="A6" s="1">
        <v>45638</v>
      </c>
      <c r="B6" t="s">
        <v>8</v>
      </c>
      <c r="C6" t="s">
        <v>9</v>
      </c>
      <c r="D6">
        <v>1.7</v>
      </c>
      <c r="E6">
        <v>5.17</v>
      </c>
      <c r="F6">
        <v>5594.22</v>
      </c>
      <c r="G6">
        <v>80468</v>
      </c>
    </row>
    <row r="7" spans="1:8" x14ac:dyDescent="0.75">
      <c r="A7" s="1">
        <v>45638</v>
      </c>
      <c r="B7" t="s">
        <v>8</v>
      </c>
      <c r="C7" t="s">
        <v>10</v>
      </c>
      <c r="D7">
        <v>1.1200000000000001</v>
      </c>
      <c r="E7">
        <v>3.73</v>
      </c>
      <c r="F7">
        <v>7836.22</v>
      </c>
      <c r="G7">
        <v>1355500</v>
      </c>
    </row>
    <row r="8" spans="1:8" x14ac:dyDescent="0.75">
      <c r="A8" s="1">
        <v>45638</v>
      </c>
      <c r="B8" t="s">
        <v>8</v>
      </c>
      <c r="C8" t="s">
        <v>11</v>
      </c>
      <c r="D8">
        <v>1.54</v>
      </c>
      <c r="E8">
        <v>3.71</v>
      </c>
      <c r="F8">
        <v>9149.2199999999993</v>
      </c>
      <c r="G8">
        <v>9204</v>
      </c>
    </row>
    <row r="9" spans="1:8" x14ac:dyDescent="0.75">
      <c r="A9" s="1">
        <v>45708</v>
      </c>
      <c r="B9" t="s">
        <v>8</v>
      </c>
      <c r="C9" t="s">
        <v>9</v>
      </c>
      <c r="D9">
        <v>4.72</v>
      </c>
      <c r="E9">
        <v>3.71</v>
      </c>
      <c r="F9">
        <v>5594.22</v>
      </c>
      <c r="G9">
        <v>80468</v>
      </c>
    </row>
    <row r="10" spans="1:8" x14ac:dyDescent="0.75">
      <c r="A10" s="1">
        <v>45708</v>
      </c>
      <c r="B10" t="s">
        <v>8</v>
      </c>
      <c r="C10" t="s">
        <v>10</v>
      </c>
      <c r="D10">
        <v>1.62</v>
      </c>
      <c r="E10">
        <v>3.68</v>
      </c>
      <c r="F10">
        <v>7836.22</v>
      </c>
      <c r="G10">
        <v>1355500</v>
      </c>
    </row>
    <row r="11" spans="1:8" x14ac:dyDescent="0.75">
      <c r="A11" s="1">
        <v>45708</v>
      </c>
      <c r="B11" t="s">
        <v>8</v>
      </c>
      <c r="C11" t="s">
        <v>11</v>
      </c>
      <c r="D11">
        <v>2.77</v>
      </c>
      <c r="E11">
        <v>3.67</v>
      </c>
      <c r="F11">
        <v>9149.2199999999993</v>
      </c>
      <c r="G11">
        <v>9204</v>
      </c>
    </row>
    <row r="12" spans="1:8" x14ac:dyDescent="0.75">
      <c r="A12" s="1">
        <v>45727</v>
      </c>
      <c r="B12" t="s">
        <v>8</v>
      </c>
      <c r="C12" t="s">
        <v>10</v>
      </c>
      <c r="D12">
        <v>1.89</v>
      </c>
      <c r="E12">
        <v>3.59</v>
      </c>
      <c r="F12">
        <v>7836.22</v>
      </c>
      <c r="G12">
        <v>1355500</v>
      </c>
    </row>
    <row r="13" spans="1:8" x14ac:dyDescent="0.75">
      <c r="A13" s="1">
        <v>45727</v>
      </c>
      <c r="B13" t="s">
        <v>8</v>
      </c>
      <c r="C13" t="s">
        <v>11</v>
      </c>
      <c r="D13">
        <v>2.7</v>
      </c>
      <c r="E13">
        <v>3.57</v>
      </c>
      <c r="F13">
        <v>9149.2199999999993</v>
      </c>
      <c r="G13">
        <v>9204</v>
      </c>
    </row>
    <row r="14" spans="1:8" x14ac:dyDescent="0.75">
      <c r="A14" s="1">
        <v>45505</v>
      </c>
      <c r="B14" t="s">
        <v>12</v>
      </c>
      <c r="C14" t="s">
        <v>9</v>
      </c>
      <c r="D14" t="s">
        <v>13</v>
      </c>
      <c r="E14">
        <v>3.86</v>
      </c>
      <c r="F14">
        <v>1267.3699999999999</v>
      </c>
      <c r="G14">
        <v>14519100</v>
      </c>
      <c r="H14">
        <v>170.836843352438</v>
      </c>
    </row>
    <row r="15" spans="1:8" x14ac:dyDescent="0.75">
      <c r="A15" s="1">
        <v>45505</v>
      </c>
      <c r="B15" t="s">
        <v>12</v>
      </c>
      <c r="C15" t="s">
        <v>8</v>
      </c>
      <c r="E15">
        <v>3.6</v>
      </c>
      <c r="F15">
        <v>2467.91</v>
      </c>
      <c r="G15">
        <v>10249400</v>
      </c>
      <c r="H15">
        <v>170.836843352438</v>
      </c>
    </row>
    <row r="16" spans="1:8" x14ac:dyDescent="0.75">
      <c r="A16" s="1">
        <v>45505</v>
      </c>
      <c r="B16" t="s">
        <v>12</v>
      </c>
      <c r="C16" t="s">
        <v>10</v>
      </c>
      <c r="E16">
        <v>3.17</v>
      </c>
      <c r="F16">
        <v>4497.8599999999997</v>
      </c>
      <c r="G16">
        <v>1812340</v>
      </c>
      <c r="H16">
        <v>170.836843352438</v>
      </c>
    </row>
    <row r="17" spans="1:8" x14ac:dyDescent="0.75">
      <c r="A17" s="1">
        <v>45505</v>
      </c>
      <c r="B17" t="s">
        <v>12</v>
      </c>
      <c r="C17" t="s">
        <v>11</v>
      </c>
      <c r="E17">
        <v>3.46</v>
      </c>
      <c r="F17">
        <v>6130.37</v>
      </c>
      <c r="G17">
        <v>138375</v>
      </c>
      <c r="H17">
        <v>170.836843352438</v>
      </c>
    </row>
    <row r="18" spans="1:8" x14ac:dyDescent="0.75">
      <c r="A18" s="1">
        <v>45505</v>
      </c>
      <c r="B18" t="s">
        <v>12</v>
      </c>
      <c r="C18" t="s">
        <v>12</v>
      </c>
      <c r="E18">
        <v>3.6</v>
      </c>
      <c r="H18">
        <v>170.836843352438</v>
      </c>
    </row>
    <row r="19" spans="1:8" x14ac:dyDescent="0.75">
      <c r="A19" s="1">
        <v>45554</v>
      </c>
      <c r="B19" t="s">
        <v>12</v>
      </c>
      <c r="C19" t="s">
        <v>9</v>
      </c>
      <c r="D19">
        <v>4.01</v>
      </c>
      <c r="E19">
        <v>4.17</v>
      </c>
      <c r="F19">
        <v>1267.3699999999999</v>
      </c>
      <c r="G19">
        <v>14519100</v>
      </c>
      <c r="H19">
        <v>110.354159360789</v>
      </c>
    </row>
    <row r="20" spans="1:8" x14ac:dyDescent="0.75">
      <c r="A20" s="1">
        <v>45554</v>
      </c>
      <c r="B20" t="s">
        <v>12</v>
      </c>
      <c r="C20" t="s">
        <v>8</v>
      </c>
      <c r="D20">
        <v>2.68</v>
      </c>
      <c r="E20">
        <v>4.21</v>
      </c>
      <c r="F20">
        <v>2467.91</v>
      </c>
      <c r="G20">
        <v>10249400</v>
      </c>
      <c r="H20">
        <v>110.354159360789</v>
      </c>
    </row>
    <row r="21" spans="1:8" x14ac:dyDescent="0.75">
      <c r="A21" s="1">
        <v>45554</v>
      </c>
      <c r="B21" t="s">
        <v>12</v>
      </c>
      <c r="C21" t="s">
        <v>10</v>
      </c>
      <c r="D21">
        <v>0.67</v>
      </c>
      <c r="E21">
        <v>3.73</v>
      </c>
      <c r="F21">
        <v>4497.8599999999997</v>
      </c>
      <c r="G21">
        <v>1812340</v>
      </c>
      <c r="H21">
        <v>110.354159360789</v>
      </c>
    </row>
    <row r="22" spans="1:8" x14ac:dyDescent="0.75">
      <c r="A22" s="1">
        <v>45554</v>
      </c>
      <c r="B22" t="s">
        <v>12</v>
      </c>
      <c r="C22" t="s">
        <v>11</v>
      </c>
      <c r="D22">
        <v>0.6</v>
      </c>
      <c r="E22">
        <v>3.75</v>
      </c>
      <c r="F22">
        <v>6130.37</v>
      </c>
      <c r="G22">
        <v>138375</v>
      </c>
      <c r="H22">
        <v>110.354159360789</v>
      </c>
    </row>
    <row r="23" spans="1:8" x14ac:dyDescent="0.75">
      <c r="A23" s="1">
        <v>45554</v>
      </c>
      <c r="B23" t="s">
        <v>12</v>
      </c>
      <c r="C23" t="s">
        <v>12</v>
      </c>
      <c r="D23">
        <v>5.52</v>
      </c>
      <c r="E23">
        <v>4.22</v>
      </c>
      <c r="H23">
        <v>110.354159360789</v>
      </c>
    </row>
    <row r="24" spans="1:8" x14ac:dyDescent="0.75">
      <c r="A24" s="1">
        <v>45554</v>
      </c>
      <c r="B24" t="s">
        <v>12</v>
      </c>
      <c r="C24" t="s">
        <v>14</v>
      </c>
      <c r="D24">
        <v>5.75</v>
      </c>
      <c r="E24">
        <v>4.0599999999999996</v>
      </c>
      <c r="H24">
        <v>110.354159360789</v>
      </c>
    </row>
    <row r="25" spans="1:8" x14ac:dyDescent="0.75">
      <c r="A25" s="1">
        <v>45638</v>
      </c>
      <c r="B25" t="s">
        <v>12</v>
      </c>
      <c r="C25" t="s">
        <v>9</v>
      </c>
      <c r="F25">
        <v>1267.3699999999999</v>
      </c>
      <c r="G25">
        <v>14519100</v>
      </c>
      <c r="H25">
        <v>27.335123866996899</v>
      </c>
    </row>
    <row r="26" spans="1:8" x14ac:dyDescent="0.75">
      <c r="A26" s="1">
        <v>45638</v>
      </c>
      <c r="B26" t="s">
        <v>12</v>
      </c>
      <c r="C26" t="s">
        <v>8</v>
      </c>
      <c r="F26">
        <v>2467.91</v>
      </c>
      <c r="G26">
        <v>10249400</v>
      </c>
      <c r="H26">
        <v>27.335123866996899</v>
      </c>
    </row>
    <row r="27" spans="1:8" x14ac:dyDescent="0.75">
      <c r="A27" s="1">
        <v>45638</v>
      </c>
      <c r="B27" t="s">
        <v>12</v>
      </c>
      <c r="C27" t="s">
        <v>10</v>
      </c>
      <c r="F27">
        <v>4497.8599999999997</v>
      </c>
      <c r="G27">
        <v>1812340</v>
      </c>
      <c r="H27">
        <v>27.335123866996899</v>
      </c>
    </row>
    <row r="28" spans="1:8" x14ac:dyDescent="0.75">
      <c r="A28" s="1">
        <v>45638</v>
      </c>
      <c r="B28" t="s">
        <v>12</v>
      </c>
      <c r="C28" t="s">
        <v>11</v>
      </c>
      <c r="F28">
        <v>6130.37</v>
      </c>
      <c r="G28">
        <v>138375</v>
      </c>
      <c r="H28">
        <v>27.335123866996899</v>
      </c>
    </row>
    <row r="29" spans="1:8" x14ac:dyDescent="0.75">
      <c r="A29" s="1">
        <v>45638</v>
      </c>
      <c r="B29" t="s">
        <v>12</v>
      </c>
      <c r="C29" t="s">
        <v>12</v>
      </c>
      <c r="H29">
        <v>27.335123866996899</v>
      </c>
    </row>
    <row r="30" spans="1:8" x14ac:dyDescent="0.75">
      <c r="A30" s="1">
        <v>45708</v>
      </c>
      <c r="B30" t="s">
        <v>12</v>
      </c>
      <c r="C30" t="s">
        <v>15</v>
      </c>
      <c r="D30">
        <v>7</v>
      </c>
      <c r="E30">
        <v>5.55</v>
      </c>
      <c r="F30">
        <v>0</v>
      </c>
      <c r="G30">
        <v>17795000</v>
      </c>
      <c r="H30">
        <v>95.954546094173494</v>
      </c>
    </row>
    <row r="31" spans="1:8" x14ac:dyDescent="0.75">
      <c r="A31" s="1">
        <v>45708</v>
      </c>
      <c r="B31" t="s">
        <v>12</v>
      </c>
      <c r="C31" t="s">
        <v>9</v>
      </c>
      <c r="D31">
        <v>6.1</v>
      </c>
      <c r="E31">
        <v>4.72</v>
      </c>
      <c r="F31">
        <v>1267.3699999999999</v>
      </c>
      <c r="G31">
        <v>14519100</v>
      </c>
      <c r="H31">
        <v>95.954546094173494</v>
      </c>
    </row>
    <row r="32" spans="1:8" x14ac:dyDescent="0.75">
      <c r="A32" s="1">
        <v>45708</v>
      </c>
      <c r="B32" t="s">
        <v>12</v>
      </c>
      <c r="C32" t="s">
        <v>8</v>
      </c>
      <c r="D32">
        <v>6.04</v>
      </c>
      <c r="E32">
        <v>4.67</v>
      </c>
      <c r="F32">
        <v>2467.91</v>
      </c>
      <c r="G32">
        <v>10249400</v>
      </c>
      <c r="H32">
        <v>95.954546094173494</v>
      </c>
    </row>
    <row r="33" spans="1:8" x14ac:dyDescent="0.75">
      <c r="A33" s="1">
        <v>45708</v>
      </c>
      <c r="B33" t="s">
        <v>12</v>
      </c>
      <c r="C33" t="s">
        <v>10</v>
      </c>
      <c r="D33">
        <v>3.68</v>
      </c>
      <c r="E33">
        <v>3.8</v>
      </c>
      <c r="F33">
        <v>4497.8599999999997</v>
      </c>
      <c r="G33">
        <v>1812340</v>
      </c>
      <c r="H33">
        <v>95.954546094173494</v>
      </c>
    </row>
    <row r="34" spans="1:8" x14ac:dyDescent="0.75">
      <c r="A34" s="1">
        <v>45708</v>
      </c>
      <c r="B34" t="s">
        <v>12</v>
      </c>
      <c r="C34" t="s">
        <v>11</v>
      </c>
      <c r="D34">
        <v>5.8</v>
      </c>
      <c r="E34">
        <v>5.47</v>
      </c>
      <c r="F34">
        <v>6130.37</v>
      </c>
      <c r="G34">
        <v>138375</v>
      </c>
      <c r="H34">
        <v>95.954546094173494</v>
      </c>
    </row>
    <row r="35" spans="1:8" x14ac:dyDescent="0.75">
      <c r="A35" s="1">
        <v>45727</v>
      </c>
      <c r="B35" t="s">
        <v>12</v>
      </c>
      <c r="C35" t="s">
        <v>8</v>
      </c>
      <c r="D35">
        <v>6.12</v>
      </c>
      <c r="E35">
        <v>4.1500000000000004</v>
      </c>
      <c r="F35">
        <v>2467.91</v>
      </c>
      <c r="G35">
        <v>10249400</v>
      </c>
      <c r="H35">
        <v>163.31096051543099</v>
      </c>
    </row>
    <row r="36" spans="1:8" x14ac:dyDescent="0.75">
      <c r="A36" s="1">
        <v>45727</v>
      </c>
      <c r="B36" t="s">
        <v>12</v>
      </c>
      <c r="C36" t="s">
        <v>10</v>
      </c>
      <c r="D36">
        <v>3.19</v>
      </c>
      <c r="E36">
        <v>3.66</v>
      </c>
      <c r="F36">
        <v>4497.8599999999997</v>
      </c>
      <c r="G36">
        <v>1812340</v>
      </c>
      <c r="H36">
        <v>163.31096051543099</v>
      </c>
    </row>
    <row r="37" spans="1:8" x14ac:dyDescent="0.75">
      <c r="A37" s="1">
        <v>45727</v>
      </c>
      <c r="B37" t="s">
        <v>12</v>
      </c>
      <c r="C37" t="s">
        <v>11</v>
      </c>
      <c r="D37">
        <v>3.96</v>
      </c>
      <c r="E37">
        <v>3.72</v>
      </c>
      <c r="F37">
        <v>6130.37</v>
      </c>
      <c r="G37">
        <v>138375</v>
      </c>
      <c r="H37">
        <v>163.31096051543099</v>
      </c>
    </row>
    <row r="38" spans="1:8" x14ac:dyDescent="0.75">
      <c r="A38" s="1">
        <v>45727</v>
      </c>
      <c r="B38" t="s">
        <v>12</v>
      </c>
      <c r="C38" t="s">
        <v>12</v>
      </c>
      <c r="D38">
        <v>6.47</v>
      </c>
      <c r="E38">
        <v>4.28</v>
      </c>
      <c r="H38">
        <v>163.31096051543099</v>
      </c>
    </row>
    <row r="39" spans="1:8" x14ac:dyDescent="0.75">
      <c r="A39" s="1">
        <v>45749</v>
      </c>
      <c r="B39" t="s">
        <v>12</v>
      </c>
      <c r="C39" t="s">
        <v>9</v>
      </c>
      <c r="D39">
        <v>4.3899999999999997</v>
      </c>
      <c r="E39">
        <v>4.3099999999999996</v>
      </c>
      <c r="F39">
        <v>1267.3699999999999</v>
      </c>
      <c r="G39">
        <v>14519100</v>
      </c>
      <c r="H39">
        <v>154.84053801825601</v>
      </c>
    </row>
    <row r="40" spans="1:8" x14ac:dyDescent="0.75">
      <c r="A40" s="1">
        <v>45749</v>
      </c>
      <c r="B40" t="s">
        <v>12</v>
      </c>
      <c r="C40" t="s">
        <v>8</v>
      </c>
      <c r="D40">
        <v>4.41</v>
      </c>
      <c r="E40">
        <v>4.17</v>
      </c>
      <c r="F40">
        <v>2467.91</v>
      </c>
      <c r="G40">
        <v>10249400</v>
      </c>
      <c r="H40">
        <v>154.84053801825601</v>
      </c>
    </row>
    <row r="41" spans="1:8" x14ac:dyDescent="0.75">
      <c r="A41" s="1">
        <v>45749</v>
      </c>
      <c r="B41" t="s">
        <v>12</v>
      </c>
      <c r="C41" t="s">
        <v>10</v>
      </c>
      <c r="D41">
        <v>1.65</v>
      </c>
      <c r="E41">
        <v>3.78</v>
      </c>
      <c r="F41">
        <v>4497.8599999999997</v>
      </c>
      <c r="G41">
        <v>1812340</v>
      </c>
      <c r="H41">
        <v>154.84053801825601</v>
      </c>
    </row>
    <row r="42" spans="1:8" x14ac:dyDescent="0.75">
      <c r="A42" s="1">
        <v>45749</v>
      </c>
      <c r="B42" t="s">
        <v>12</v>
      </c>
      <c r="C42" t="s">
        <v>11</v>
      </c>
      <c r="D42">
        <v>1.52</v>
      </c>
      <c r="E42">
        <v>4.01</v>
      </c>
      <c r="F42">
        <v>6130.37</v>
      </c>
      <c r="G42">
        <v>138375</v>
      </c>
      <c r="H42">
        <v>154.84053801825601</v>
      </c>
    </row>
    <row r="43" spans="1:8" x14ac:dyDescent="0.75">
      <c r="A43" s="1">
        <v>45749</v>
      </c>
      <c r="B43" t="s">
        <v>12</v>
      </c>
      <c r="C43" t="s">
        <v>12</v>
      </c>
      <c r="D43">
        <v>5.22</v>
      </c>
      <c r="E43">
        <v>4.22</v>
      </c>
      <c r="H43">
        <v>154.84053801825601</v>
      </c>
    </row>
    <row r="44" spans="1:8" x14ac:dyDescent="0.75">
      <c r="A44" s="1">
        <v>45554</v>
      </c>
      <c r="B44" t="s">
        <v>14</v>
      </c>
      <c r="C44" t="s">
        <v>8</v>
      </c>
      <c r="D44">
        <v>2.2999999999999998</v>
      </c>
      <c r="E44">
        <v>4.21</v>
      </c>
      <c r="F44">
        <v>0</v>
      </c>
      <c r="G44">
        <v>26315900</v>
      </c>
      <c r="H44">
        <v>346.89139849592499</v>
      </c>
    </row>
    <row r="45" spans="1:8" x14ac:dyDescent="0.75">
      <c r="A45" s="1">
        <v>45554</v>
      </c>
      <c r="B45" t="s">
        <v>14</v>
      </c>
      <c r="C45" t="s">
        <v>11</v>
      </c>
      <c r="D45">
        <v>1.29</v>
      </c>
      <c r="E45">
        <v>3.84</v>
      </c>
      <c r="F45">
        <v>4518.92</v>
      </c>
      <c r="G45">
        <v>3131520</v>
      </c>
      <c r="H45">
        <v>346.89139849592499</v>
      </c>
    </row>
    <row r="46" spans="1:8" x14ac:dyDescent="0.75">
      <c r="A46" s="1">
        <v>45554</v>
      </c>
      <c r="B46" t="s">
        <v>14</v>
      </c>
      <c r="C46" t="s">
        <v>10</v>
      </c>
      <c r="D46">
        <v>2.06</v>
      </c>
      <c r="E46">
        <v>4.1399999999999997</v>
      </c>
      <c r="H46">
        <v>346.89139849592499</v>
      </c>
    </row>
    <row r="47" spans="1:8" x14ac:dyDescent="0.75">
      <c r="A47" s="1">
        <v>45638</v>
      </c>
      <c r="B47" t="s">
        <v>14</v>
      </c>
      <c r="C47" t="s">
        <v>8</v>
      </c>
      <c r="D47">
        <v>3.72</v>
      </c>
      <c r="E47">
        <v>4.0199999999999996</v>
      </c>
      <c r="F47">
        <v>0</v>
      </c>
      <c r="G47">
        <v>26315900</v>
      </c>
      <c r="H47">
        <v>5.5300168599079003</v>
      </c>
    </row>
    <row r="48" spans="1:8" x14ac:dyDescent="0.75">
      <c r="A48" s="1">
        <v>45638</v>
      </c>
      <c r="B48" t="s">
        <v>14</v>
      </c>
      <c r="C48" t="s">
        <v>11</v>
      </c>
      <c r="D48">
        <v>5.4</v>
      </c>
      <c r="E48">
        <v>6.04</v>
      </c>
      <c r="F48">
        <v>4518.92</v>
      </c>
      <c r="G48">
        <v>3131520</v>
      </c>
      <c r="H48">
        <v>5.5300168599079003</v>
      </c>
    </row>
    <row r="49" spans="1:8" x14ac:dyDescent="0.75">
      <c r="A49" s="1">
        <v>45638</v>
      </c>
      <c r="B49" t="s">
        <v>14</v>
      </c>
      <c r="C49" t="s">
        <v>10</v>
      </c>
      <c r="D49">
        <v>4.3099999999999996</v>
      </c>
      <c r="E49">
        <v>3.98</v>
      </c>
      <c r="H49">
        <v>5.5300168599079003</v>
      </c>
    </row>
    <row r="50" spans="1:8" x14ac:dyDescent="0.75">
      <c r="A50" s="1">
        <v>45708</v>
      </c>
      <c r="B50" t="s">
        <v>14</v>
      </c>
      <c r="C50" t="s">
        <v>8</v>
      </c>
      <c r="D50">
        <v>4.0599999999999996</v>
      </c>
      <c r="E50">
        <v>3.99</v>
      </c>
      <c r="F50">
        <v>0</v>
      </c>
      <c r="G50">
        <v>26315900</v>
      </c>
      <c r="H50">
        <v>71.468085561174107</v>
      </c>
    </row>
    <row r="51" spans="1:8" x14ac:dyDescent="0.75">
      <c r="A51" s="1">
        <v>45708</v>
      </c>
      <c r="B51" t="s">
        <v>14</v>
      </c>
      <c r="C51" t="s">
        <v>11</v>
      </c>
      <c r="D51">
        <v>4.04</v>
      </c>
      <c r="E51">
        <v>3.79</v>
      </c>
      <c r="F51">
        <v>4518.92</v>
      </c>
      <c r="G51">
        <v>3131520</v>
      </c>
      <c r="H51">
        <v>71.468085561174107</v>
      </c>
    </row>
    <row r="52" spans="1:8" x14ac:dyDescent="0.75">
      <c r="A52" s="1">
        <v>45708</v>
      </c>
      <c r="B52" t="s">
        <v>14</v>
      </c>
      <c r="C52" t="s">
        <v>10</v>
      </c>
      <c r="D52">
        <v>4.12</v>
      </c>
      <c r="E52">
        <v>3.99</v>
      </c>
      <c r="H52">
        <v>71.468085561174107</v>
      </c>
    </row>
    <row r="53" spans="1:8" x14ac:dyDescent="0.75">
      <c r="A53" s="1">
        <v>45727</v>
      </c>
      <c r="B53" t="s">
        <v>14</v>
      </c>
      <c r="C53" t="s">
        <v>8</v>
      </c>
      <c r="D53">
        <v>2.62</v>
      </c>
      <c r="E53">
        <v>6.37</v>
      </c>
      <c r="F53">
        <v>0</v>
      </c>
      <c r="G53">
        <v>26315900</v>
      </c>
      <c r="H53">
        <v>84.450110939246798</v>
      </c>
    </row>
    <row r="54" spans="1:8" x14ac:dyDescent="0.75">
      <c r="A54" s="1">
        <v>45727</v>
      </c>
      <c r="B54" t="s">
        <v>14</v>
      </c>
      <c r="C54" t="s">
        <v>11</v>
      </c>
      <c r="D54">
        <v>4.2699999999999996</v>
      </c>
      <c r="E54">
        <v>3.75</v>
      </c>
      <c r="F54">
        <v>4518.92</v>
      </c>
      <c r="G54">
        <v>3131520</v>
      </c>
      <c r="H54">
        <v>84.450110939246798</v>
      </c>
    </row>
    <row r="55" spans="1:8" x14ac:dyDescent="0.75">
      <c r="A55" s="1">
        <v>45727</v>
      </c>
      <c r="B55" t="s">
        <v>14</v>
      </c>
      <c r="C55" t="s">
        <v>10</v>
      </c>
      <c r="D55">
        <v>3.81</v>
      </c>
      <c r="E55">
        <v>4.04</v>
      </c>
      <c r="H55">
        <v>84.450110939246798</v>
      </c>
    </row>
    <row r="56" spans="1:8" x14ac:dyDescent="0.75">
      <c r="A56" s="1">
        <v>45505</v>
      </c>
      <c r="B56" t="s">
        <v>16</v>
      </c>
      <c r="C56" t="s">
        <v>9</v>
      </c>
      <c r="E56">
        <v>3.36</v>
      </c>
      <c r="F56">
        <v>904.88</v>
      </c>
      <c r="G56">
        <v>19268200</v>
      </c>
      <c r="H56">
        <v>7.4073456682228302</v>
      </c>
    </row>
    <row r="57" spans="1:8" x14ac:dyDescent="0.75">
      <c r="A57" s="1">
        <v>45505</v>
      </c>
      <c r="B57" t="s">
        <v>16</v>
      </c>
      <c r="C57" t="s">
        <v>8</v>
      </c>
      <c r="F57">
        <v>2002.8</v>
      </c>
      <c r="G57">
        <v>5821280</v>
      </c>
      <c r="H57">
        <v>7.4073456682228302</v>
      </c>
    </row>
    <row r="58" spans="1:8" x14ac:dyDescent="0.75">
      <c r="A58" s="1">
        <v>45505</v>
      </c>
      <c r="B58" t="s">
        <v>16</v>
      </c>
      <c r="C58" t="s">
        <v>10</v>
      </c>
      <c r="E58">
        <v>3.41</v>
      </c>
      <c r="F58">
        <v>3140.96</v>
      </c>
      <c r="G58">
        <v>1960760</v>
      </c>
      <c r="H58">
        <v>7.4073456682228302</v>
      </c>
    </row>
    <row r="59" spans="1:8" x14ac:dyDescent="0.75">
      <c r="A59" s="1">
        <v>45505</v>
      </c>
      <c r="B59" t="s">
        <v>16</v>
      </c>
      <c r="C59" t="s">
        <v>11</v>
      </c>
      <c r="E59">
        <v>3.71</v>
      </c>
      <c r="F59">
        <v>8475.9599999999991</v>
      </c>
      <c r="G59">
        <v>262193</v>
      </c>
      <c r="H59">
        <v>7.4073456682228302</v>
      </c>
    </row>
    <row r="60" spans="1:8" x14ac:dyDescent="0.75">
      <c r="A60" s="1">
        <v>45505</v>
      </c>
      <c r="B60" t="s">
        <v>16</v>
      </c>
      <c r="C60" t="s">
        <v>12</v>
      </c>
      <c r="E60">
        <v>3.39</v>
      </c>
      <c r="H60">
        <v>7.4073456682228302</v>
      </c>
    </row>
    <row r="61" spans="1:8" x14ac:dyDescent="0.75">
      <c r="A61" s="1">
        <v>45505</v>
      </c>
      <c r="B61" t="s">
        <v>16</v>
      </c>
      <c r="C61" t="s">
        <v>17</v>
      </c>
      <c r="E61">
        <v>3.45</v>
      </c>
      <c r="H61">
        <v>7.4073456682228302</v>
      </c>
    </row>
    <row r="62" spans="1:8" x14ac:dyDescent="0.75">
      <c r="A62" s="1">
        <v>45554</v>
      </c>
      <c r="B62" t="s">
        <v>16</v>
      </c>
      <c r="C62" t="s">
        <v>9</v>
      </c>
      <c r="D62">
        <v>1.2</v>
      </c>
      <c r="E62">
        <v>3.57</v>
      </c>
      <c r="F62">
        <v>904.88</v>
      </c>
      <c r="G62">
        <v>19268200</v>
      </c>
      <c r="H62">
        <v>100.03049449091</v>
      </c>
    </row>
    <row r="63" spans="1:8" x14ac:dyDescent="0.75">
      <c r="A63" s="1">
        <v>45554</v>
      </c>
      <c r="B63" t="s">
        <v>16</v>
      </c>
      <c r="C63" t="s">
        <v>8</v>
      </c>
      <c r="D63">
        <v>0.38</v>
      </c>
      <c r="E63">
        <v>3.76</v>
      </c>
      <c r="F63">
        <v>2002.8</v>
      </c>
      <c r="G63">
        <v>5821280</v>
      </c>
      <c r="H63">
        <v>100.03049449091</v>
      </c>
    </row>
    <row r="64" spans="1:8" x14ac:dyDescent="0.75">
      <c r="A64" s="1">
        <v>45554</v>
      </c>
      <c r="B64" t="s">
        <v>16</v>
      </c>
      <c r="C64" t="s">
        <v>10</v>
      </c>
      <c r="D64">
        <v>0.36</v>
      </c>
      <c r="E64">
        <v>3.81</v>
      </c>
      <c r="F64">
        <v>3140.96</v>
      </c>
      <c r="G64">
        <v>1960760</v>
      </c>
      <c r="H64">
        <v>100.03049449091</v>
      </c>
    </row>
    <row r="65" spans="1:8" x14ac:dyDescent="0.75">
      <c r="A65" s="1">
        <v>45554</v>
      </c>
      <c r="B65" t="s">
        <v>16</v>
      </c>
      <c r="C65" t="s">
        <v>11</v>
      </c>
      <c r="F65">
        <v>8475.9599999999991</v>
      </c>
      <c r="G65">
        <v>262193</v>
      </c>
      <c r="H65">
        <v>100.03049449091</v>
      </c>
    </row>
    <row r="66" spans="1:8" x14ac:dyDescent="0.75">
      <c r="A66" s="1">
        <v>45554</v>
      </c>
      <c r="B66" t="s">
        <v>16</v>
      </c>
      <c r="C66" t="s">
        <v>17</v>
      </c>
      <c r="D66">
        <v>5.96</v>
      </c>
      <c r="E66">
        <v>6.51</v>
      </c>
      <c r="H66">
        <v>100.03049449091</v>
      </c>
    </row>
    <row r="67" spans="1:8" x14ac:dyDescent="0.75">
      <c r="A67" s="1">
        <v>45554</v>
      </c>
      <c r="B67" t="s">
        <v>16</v>
      </c>
      <c r="C67" t="s">
        <v>12</v>
      </c>
      <c r="D67">
        <v>3.56</v>
      </c>
      <c r="E67">
        <v>3.58</v>
      </c>
      <c r="H67">
        <v>100.03049449091</v>
      </c>
    </row>
    <row r="68" spans="1:8" x14ac:dyDescent="0.75">
      <c r="A68" s="1">
        <v>45638</v>
      </c>
      <c r="B68" t="s">
        <v>16</v>
      </c>
      <c r="C68" t="s">
        <v>9</v>
      </c>
      <c r="D68">
        <v>4.0599999999999996</v>
      </c>
      <c r="E68">
        <v>3.6</v>
      </c>
      <c r="F68">
        <v>904.88</v>
      </c>
      <c r="G68">
        <v>19268200</v>
      </c>
      <c r="H68">
        <v>5.30642319963549</v>
      </c>
    </row>
    <row r="69" spans="1:8" x14ac:dyDescent="0.75">
      <c r="A69" s="1">
        <v>45638</v>
      </c>
      <c r="B69" t="s">
        <v>16</v>
      </c>
      <c r="C69" t="s">
        <v>8</v>
      </c>
      <c r="D69">
        <v>3.7</v>
      </c>
      <c r="E69">
        <v>4.0199999999999996</v>
      </c>
      <c r="F69">
        <v>2002.8</v>
      </c>
      <c r="G69">
        <v>5821280</v>
      </c>
      <c r="H69">
        <v>5.30642319963549</v>
      </c>
    </row>
    <row r="70" spans="1:8" x14ac:dyDescent="0.75">
      <c r="A70" s="1">
        <v>45638</v>
      </c>
      <c r="B70" t="s">
        <v>16</v>
      </c>
      <c r="C70" t="s">
        <v>10</v>
      </c>
      <c r="D70">
        <v>3.04</v>
      </c>
      <c r="E70">
        <v>4.5199999999999996</v>
      </c>
      <c r="F70">
        <v>3140.96</v>
      </c>
      <c r="G70">
        <v>1960760</v>
      </c>
      <c r="H70">
        <v>5.30642319963549</v>
      </c>
    </row>
    <row r="71" spans="1:8" x14ac:dyDescent="0.75">
      <c r="A71" s="1">
        <v>45638</v>
      </c>
      <c r="B71" t="s">
        <v>16</v>
      </c>
      <c r="C71" t="s">
        <v>11</v>
      </c>
      <c r="D71">
        <v>2.54</v>
      </c>
      <c r="E71">
        <v>4.5599999999999996</v>
      </c>
      <c r="F71">
        <v>8475.9599999999991</v>
      </c>
      <c r="G71">
        <v>262193</v>
      </c>
      <c r="H71">
        <v>5.30642319963549</v>
      </c>
    </row>
    <row r="72" spans="1:8" x14ac:dyDescent="0.75">
      <c r="A72" s="1">
        <v>45638</v>
      </c>
      <c r="B72" t="s">
        <v>16</v>
      </c>
      <c r="C72" t="s">
        <v>12</v>
      </c>
      <c r="D72">
        <v>7.5</v>
      </c>
      <c r="E72">
        <v>3.64</v>
      </c>
      <c r="H72">
        <v>5.30642319963549</v>
      </c>
    </row>
    <row r="73" spans="1:8" x14ac:dyDescent="0.75">
      <c r="A73" s="1">
        <v>45638</v>
      </c>
      <c r="B73" t="s">
        <v>16</v>
      </c>
      <c r="C73" t="s">
        <v>17</v>
      </c>
      <c r="D73">
        <v>6.55</v>
      </c>
      <c r="E73">
        <v>6.79</v>
      </c>
      <c r="H73">
        <v>5.30642319963549</v>
      </c>
    </row>
    <row r="74" spans="1:8" x14ac:dyDescent="0.75">
      <c r="A74" s="1">
        <v>45708</v>
      </c>
      <c r="B74" t="s">
        <v>16</v>
      </c>
      <c r="C74" t="s">
        <v>15</v>
      </c>
      <c r="D74">
        <v>7.22</v>
      </c>
      <c r="E74">
        <v>3.71</v>
      </c>
      <c r="F74">
        <v>0</v>
      </c>
      <c r="G74">
        <v>19864100</v>
      </c>
      <c r="H74">
        <v>37.743591811441398</v>
      </c>
    </row>
    <row r="75" spans="1:8" x14ac:dyDescent="0.75">
      <c r="A75" s="1">
        <v>45708</v>
      </c>
      <c r="B75" t="s">
        <v>16</v>
      </c>
      <c r="C75" t="s">
        <v>9</v>
      </c>
      <c r="D75">
        <v>4.9000000000000004</v>
      </c>
      <c r="E75">
        <v>3.73</v>
      </c>
      <c r="F75">
        <v>904.88</v>
      </c>
      <c r="G75">
        <v>19268200</v>
      </c>
      <c r="H75">
        <v>37.743591811441398</v>
      </c>
    </row>
    <row r="76" spans="1:8" x14ac:dyDescent="0.75">
      <c r="A76" s="1">
        <v>45708</v>
      </c>
      <c r="B76" t="s">
        <v>16</v>
      </c>
      <c r="C76" t="s">
        <v>8</v>
      </c>
      <c r="D76">
        <v>3.16</v>
      </c>
      <c r="E76">
        <v>3.86</v>
      </c>
      <c r="F76">
        <v>2002.8</v>
      </c>
      <c r="G76">
        <v>5821280</v>
      </c>
      <c r="H76">
        <v>37.743591811441398</v>
      </c>
    </row>
    <row r="77" spans="1:8" x14ac:dyDescent="0.75">
      <c r="A77" s="1">
        <v>45708</v>
      </c>
      <c r="B77" t="s">
        <v>16</v>
      </c>
      <c r="C77" t="s">
        <v>10</v>
      </c>
      <c r="D77">
        <v>1.52</v>
      </c>
      <c r="E77">
        <v>3.97</v>
      </c>
      <c r="F77">
        <v>3140.96</v>
      </c>
      <c r="G77">
        <v>1960760</v>
      </c>
      <c r="H77">
        <v>37.743591811441398</v>
      </c>
    </row>
    <row r="78" spans="1:8" x14ac:dyDescent="0.75">
      <c r="A78" s="1">
        <v>45708</v>
      </c>
      <c r="B78" t="s">
        <v>16</v>
      </c>
      <c r="C78" t="s">
        <v>11</v>
      </c>
      <c r="D78">
        <v>1.1100000000000001</v>
      </c>
      <c r="E78">
        <v>5.44</v>
      </c>
      <c r="F78">
        <v>8475.9599999999991</v>
      </c>
      <c r="G78">
        <v>262193</v>
      </c>
      <c r="H78">
        <v>37.743591811441398</v>
      </c>
    </row>
    <row r="79" spans="1:8" x14ac:dyDescent="0.75">
      <c r="A79" s="1">
        <v>45708</v>
      </c>
      <c r="B79" t="s">
        <v>16</v>
      </c>
      <c r="C79" t="s">
        <v>17</v>
      </c>
      <c r="D79">
        <v>7.93</v>
      </c>
      <c r="E79">
        <v>6.29</v>
      </c>
      <c r="H79">
        <v>37.743591811441398</v>
      </c>
    </row>
    <row r="80" spans="1:8" x14ac:dyDescent="0.75">
      <c r="A80" s="1">
        <v>45727</v>
      </c>
      <c r="B80" t="s">
        <v>16</v>
      </c>
      <c r="C80" t="s">
        <v>15</v>
      </c>
      <c r="D80">
        <v>6.37</v>
      </c>
      <c r="E80">
        <v>3.53</v>
      </c>
      <c r="F80">
        <v>0</v>
      </c>
      <c r="G80">
        <v>19864100</v>
      </c>
      <c r="H80">
        <v>68.679981822201199</v>
      </c>
    </row>
    <row r="81" spans="1:8" x14ac:dyDescent="0.75">
      <c r="A81" s="1">
        <v>45727</v>
      </c>
      <c r="B81" t="s">
        <v>16</v>
      </c>
      <c r="C81" t="s">
        <v>9</v>
      </c>
      <c r="D81">
        <v>3.77</v>
      </c>
      <c r="E81">
        <v>3.54</v>
      </c>
      <c r="F81">
        <v>904.88</v>
      </c>
      <c r="G81">
        <v>19268200</v>
      </c>
      <c r="H81">
        <v>68.679981822201199</v>
      </c>
    </row>
    <row r="82" spans="1:8" x14ac:dyDescent="0.75">
      <c r="A82" s="1">
        <v>45727</v>
      </c>
      <c r="B82" t="s">
        <v>16</v>
      </c>
      <c r="C82" t="s">
        <v>8</v>
      </c>
      <c r="D82">
        <v>3.04</v>
      </c>
      <c r="E82">
        <v>3.72</v>
      </c>
      <c r="F82">
        <v>2002.8</v>
      </c>
      <c r="G82">
        <v>5821280</v>
      </c>
      <c r="H82">
        <v>68.679981822201199</v>
      </c>
    </row>
    <row r="83" spans="1:8" x14ac:dyDescent="0.75">
      <c r="A83" s="1">
        <v>45727</v>
      </c>
      <c r="B83" t="s">
        <v>16</v>
      </c>
      <c r="C83" t="s">
        <v>10</v>
      </c>
      <c r="D83">
        <v>1.99</v>
      </c>
      <c r="E83">
        <v>3.61</v>
      </c>
      <c r="F83">
        <v>3140.96</v>
      </c>
      <c r="G83">
        <v>1960760</v>
      </c>
      <c r="H83">
        <v>68.679981822201199</v>
      </c>
    </row>
    <row r="84" spans="1:8" x14ac:dyDescent="0.75">
      <c r="A84" s="1">
        <v>45727</v>
      </c>
      <c r="B84" t="s">
        <v>16</v>
      </c>
      <c r="C84" t="s">
        <v>11</v>
      </c>
      <c r="D84">
        <v>8.9</v>
      </c>
      <c r="E84">
        <v>5.89</v>
      </c>
      <c r="F84">
        <v>8475.9599999999991</v>
      </c>
      <c r="G84">
        <v>262193</v>
      </c>
      <c r="H84">
        <v>68.679981822201199</v>
      </c>
    </row>
    <row r="85" spans="1:8" x14ac:dyDescent="0.75">
      <c r="A85" s="1">
        <v>45727</v>
      </c>
      <c r="B85" t="s">
        <v>16</v>
      </c>
      <c r="C85" t="s">
        <v>17</v>
      </c>
      <c r="D85">
        <v>8.69</v>
      </c>
      <c r="E85">
        <v>6.58</v>
      </c>
      <c r="H85">
        <v>68.679981822201199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D19F5-47B4-4382-B740-81546DE76DA3}">
  <dimension ref="A1:AC24"/>
  <sheetViews>
    <sheetView workbookViewId="0">
      <selection activeCell="F26" sqref="F26"/>
    </sheetView>
  </sheetViews>
  <sheetFormatPr defaultRowHeight="14.75" x14ac:dyDescent="0.75"/>
  <cols>
    <col min="1" max="1" width="10.40625" bestFit="1" customWidth="1"/>
    <col min="12" max="12" width="11.6796875" bestFit="1" customWidth="1"/>
    <col min="13" max="13" width="10.2265625" bestFit="1" customWidth="1"/>
    <col min="14" max="14" width="11.6796875" bestFit="1" customWidth="1"/>
    <col min="15" max="15" width="10.6796875" bestFit="1" customWidth="1"/>
    <col min="16" max="16" width="11.6796875" bestFit="1" customWidth="1"/>
    <col min="17" max="17" width="13.54296875" bestFit="1" customWidth="1"/>
  </cols>
  <sheetData>
    <row r="1" spans="1:29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19</v>
      </c>
      <c r="L1" s="6">
        <v>45554</v>
      </c>
      <c r="M1" s="6">
        <v>45638</v>
      </c>
      <c r="N1" s="6">
        <v>45708</v>
      </c>
      <c r="O1" s="6">
        <v>45727</v>
      </c>
      <c r="P1" t="s">
        <v>5</v>
      </c>
      <c r="Q1" t="s">
        <v>6</v>
      </c>
      <c r="R1" t="s">
        <v>18</v>
      </c>
    </row>
    <row r="2" spans="1:29" x14ac:dyDescent="0.75">
      <c r="A2" s="3">
        <v>45554</v>
      </c>
      <c r="B2" s="4" t="s">
        <v>8</v>
      </c>
      <c r="C2" s="4" t="s">
        <v>9</v>
      </c>
      <c r="D2" s="4">
        <v>1.22</v>
      </c>
      <c r="E2" s="4">
        <v>3.66</v>
      </c>
      <c r="F2" s="4">
        <v>5594.22</v>
      </c>
      <c r="G2" s="4">
        <v>80468</v>
      </c>
      <c r="H2" s="4">
        <v>346.89139849592499</v>
      </c>
      <c r="J2" t="s">
        <v>8</v>
      </c>
      <c r="K2" t="s">
        <v>11</v>
      </c>
      <c r="L2">
        <v>0.81</v>
      </c>
      <c r="M2">
        <v>1.54</v>
      </c>
      <c r="N2">
        <v>2.77</v>
      </c>
      <c r="O2">
        <v>2.7</v>
      </c>
      <c r="P2">
        <v>9149.2199999999993</v>
      </c>
      <c r="Q2">
        <v>9204</v>
      </c>
      <c r="R2">
        <f>Q2/$Q$7</f>
        <v>3.4975053104776958E-4</v>
      </c>
    </row>
    <row r="3" spans="1:29" x14ac:dyDescent="0.75">
      <c r="A3" s="3">
        <v>45554</v>
      </c>
      <c r="B3" s="4" t="s">
        <v>8</v>
      </c>
      <c r="C3" s="4" t="s">
        <v>10</v>
      </c>
      <c r="D3" s="4">
        <v>0.56000000000000005</v>
      </c>
      <c r="E3" s="4">
        <v>3.77</v>
      </c>
      <c r="F3" s="4">
        <v>7836.22</v>
      </c>
      <c r="G3" s="4">
        <v>1355500</v>
      </c>
      <c r="H3" s="4">
        <v>346.89139849592499</v>
      </c>
      <c r="J3" t="s">
        <v>8</v>
      </c>
      <c r="K3" t="s">
        <v>10</v>
      </c>
      <c r="L3">
        <v>0.56000000000000005</v>
      </c>
      <c r="M3">
        <v>1.1200000000000001</v>
      </c>
      <c r="N3">
        <v>1.62</v>
      </c>
      <c r="O3">
        <v>1.89</v>
      </c>
      <c r="P3">
        <v>7836.22</v>
      </c>
      <c r="Q3">
        <v>1355500</v>
      </c>
      <c r="R3">
        <f t="shared" ref="R3:R7" si="0">Q3/$Q$7</f>
        <v>5.1508783663108612E-2</v>
      </c>
    </row>
    <row r="4" spans="1:29" x14ac:dyDescent="0.75">
      <c r="A4" s="3">
        <v>45554</v>
      </c>
      <c r="B4" s="4" t="s">
        <v>8</v>
      </c>
      <c r="C4" s="4" t="s">
        <v>11</v>
      </c>
      <c r="D4" s="4">
        <v>0.81</v>
      </c>
      <c r="E4" s="4">
        <v>3.75</v>
      </c>
      <c r="F4" s="4">
        <v>9149.2199999999993</v>
      </c>
      <c r="G4" s="4">
        <v>9204</v>
      </c>
      <c r="H4" s="4">
        <v>346.89139849592499</v>
      </c>
      <c r="J4" t="s">
        <v>8</v>
      </c>
      <c r="K4" t="s">
        <v>9</v>
      </c>
      <c r="L4">
        <v>1.22</v>
      </c>
      <c r="M4">
        <v>1.7</v>
      </c>
      <c r="N4">
        <v>4.72</v>
      </c>
      <c r="P4">
        <v>5594.22</v>
      </c>
      <c r="Q4">
        <v>1139580</v>
      </c>
      <c r="R4">
        <f t="shared" si="0"/>
        <v>4.3303858123795877E-2</v>
      </c>
    </row>
    <row r="5" spans="1:29" x14ac:dyDescent="0.75">
      <c r="A5" s="1">
        <v>45638</v>
      </c>
      <c r="B5" t="s">
        <v>8</v>
      </c>
      <c r="C5" t="s">
        <v>9</v>
      </c>
      <c r="D5">
        <v>1.7</v>
      </c>
      <c r="E5">
        <v>5.17</v>
      </c>
      <c r="F5">
        <v>5594.22</v>
      </c>
      <c r="G5">
        <v>80468</v>
      </c>
      <c r="H5">
        <v>5.5300168599079003</v>
      </c>
      <c r="J5" t="s">
        <v>14</v>
      </c>
      <c r="K5" t="s">
        <v>11</v>
      </c>
      <c r="L5">
        <v>1.29</v>
      </c>
      <c r="M5">
        <v>5.4</v>
      </c>
      <c r="N5">
        <v>4.04</v>
      </c>
      <c r="O5">
        <v>4.2699999999999996</v>
      </c>
      <c r="P5">
        <v>4518.92</v>
      </c>
      <c r="Q5">
        <v>3131520</v>
      </c>
      <c r="R5">
        <f t="shared" si="0"/>
        <v>0.11899726021150711</v>
      </c>
    </row>
    <row r="6" spans="1:29" x14ac:dyDescent="0.75">
      <c r="A6" s="1">
        <v>45638</v>
      </c>
      <c r="B6" t="s">
        <v>8</v>
      </c>
      <c r="C6" t="s">
        <v>10</v>
      </c>
      <c r="D6">
        <v>1.1200000000000001</v>
      </c>
      <c r="E6">
        <v>3.73</v>
      </c>
      <c r="F6">
        <v>7836.22</v>
      </c>
      <c r="G6">
        <v>1355500</v>
      </c>
      <c r="H6">
        <v>5.5300168599079003</v>
      </c>
      <c r="J6" t="s">
        <v>14</v>
      </c>
      <c r="K6" t="s">
        <v>10</v>
      </c>
      <c r="L6">
        <v>2.06</v>
      </c>
      <c r="M6">
        <v>4.3099999999999996</v>
      </c>
      <c r="N6">
        <v>4.12</v>
      </c>
      <c r="O6">
        <v>3.81</v>
      </c>
      <c r="P6">
        <v>390.63</v>
      </c>
      <c r="Q6">
        <v>26276900</v>
      </c>
      <c r="R6">
        <f t="shared" si="0"/>
        <v>0.99851800622437381</v>
      </c>
    </row>
    <row r="7" spans="1:29" x14ac:dyDescent="0.75">
      <c r="A7" s="1">
        <v>45638</v>
      </c>
      <c r="B7" t="s">
        <v>8</v>
      </c>
      <c r="C7" t="s">
        <v>11</v>
      </c>
      <c r="D7">
        <v>1.54</v>
      </c>
      <c r="E7">
        <v>3.71</v>
      </c>
      <c r="F7">
        <v>9149.2199999999993</v>
      </c>
      <c r="G7">
        <v>9204</v>
      </c>
      <c r="H7">
        <v>5.5300168599079003</v>
      </c>
      <c r="J7" t="s">
        <v>14</v>
      </c>
      <c r="K7" t="s">
        <v>8</v>
      </c>
      <c r="L7">
        <v>2.2999999999999998</v>
      </c>
      <c r="M7">
        <v>3.72</v>
      </c>
      <c r="N7">
        <v>4.0599999999999996</v>
      </c>
      <c r="O7">
        <v>2.62</v>
      </c>
      <c r="P7">
        <v>0</v>
      </c>
      <c r="Q7">
        <v>26315900</v>
      </c>
      <c r="R7">
        <f t="shared" si="0"/>
        <v>1</v>
      </c>
    </row>
    <row r="8" spans="1:29" x14ac:dyDescent="0.75">
      <c r="A8" s="3">
        <v>45708</v>
      </c>
      <c r="B8" s="4" t="s">
        <v>8</v>
      </c>
      <c r="C8" s="4" t="s">
        <v>9</v>
      </c>
      <c r="D8" s="4">
        <v>4.72</v>
      </c>
      <c r="E8" s="4">
        <v>3.71</v>
      </c>
      <c r="F8" s="4">
        <v>5594.22</v>
      </c>
      <c r="G8" s="4">
        <v>80468</v>
      </c>
      <c r="H8" s="4">
        <v>71.468085561174107</v>
      </c>
    </row>
    <row r="9" spans="1:29" x14ac:dyDescent="0.75">
      <c r="A9" s="3">
        <v>45708</v>
      </c>
      <c r="B9" s="4" t="s">
        <v>8</v>
      </c>
      <c r="C9" s="4" t="s">
        <v>10</v>
      </c>
      <c r="D9" s="4">
        <v>1.62</v>
      </c>
      <c r="E9" s="4">
        <v>3.68</v>
      </c>
      <c r="F9" s="4">
        <v>7836.22</v>
      </c>
      <c r="G9" s="4">
        <v>1355500</v>
      </c>
      <c r="H9" s="4">
        <v>71.468085561174107</v>
      </c>
      <c r="J9" t="s">
        <v>20</v>
      </c>
      <c r="K9" t="s">
        <v>18</v>
      </c>
      <c r="L9" s="1">
        <v>45554</v>
      </c>
      <c r="M9" s="1">
        <v>45638</v>
      </c>
      <c r="N9" s="1">
        <v>45708</v>
      </c>
      <c r="O9" s="2">
        <v>45727</v>
      </c>
      <c r="P9" s="2"/>
    </row>
    <row r="10" spans="1:29" x14ac:dyDescent="0.75">
      <c r="A10" s="3">
        <v>45708</v>
      </c>
      <c r="B10" s="4" t="s">
        <v>8</v>
      </c>
      <c r="C10" s="4" t="s">
        <v>11</v>
      </c>
      <c r="D10" s="4">
        <v>2.77</v>
      </c>
      <c r="E10" s="4">
        <v>3.67</v>
      </c>
      <c r="F10" s="4">
        <v>9149.2199999999993</v>
      </c>
      <c r="G10" s="4">
        <v>9204</v>
      </c>
      <c r="H10" s="4">
        <v>71.468085561174107</v>
      </c>
      <c r="I10" t="s">
        <v>8</v>
      </c>
      <c r="J10" t="s">
        <v>11</v>
      </c>
      <c r="K10">
        <v>3.4975053104776958E-4</v>
      </c>
      <c r="L10">
        <f>K10*$L$15</f>
        <v>0.12132545083985322</v>
      </c>
      <c r="M10">
        <f>K10*$M$15</f>
        <v>1.9341263334559074E-3</v>
      </c>
      <c r="N10">
        <f>$K10*$N$15</f>
        <v>2.4996000877988075E-2</v>
      </c>
      <c r="O10">
        <f>$K10*$O$15</f>
        <v>2.9536471148044623E-2</v>
      </c>
    </row>
    <row r="11" spans="1:29" x14ac:dyDescent="0.75">
      <c r="A11" s="1">
        <v>45727</v>
      </c>
      <c r="B11" t="s">
        <v>8</v>
      </c>
      <c r="C11" t="s">
        <v>10</v>
      </c>
      <c r="D11">
        <v>1.89</v>
      </c>
      <c r="E11">
        <v>3.59</v>
      </c>
      <c r="F11">
        <v>7836.22</v>
      </c>
      <c r="G11">
        <v>1355500</v>
      </c>
      <c r="I11" t="s">
        <v>8</v>
      </c>
      <c r="J11" t="s">
        <v>10</v>
      </c>
      <c r="K11">
        <v>5.1508783663108612E-2</v>
      </c>
      <c r="L11">
        <f t="shared" ref="L11:L14" si="1">K11*$L$15</f>
        <v>17.867953999719802</v>
      </c>
      <c r="M11">
        <f t="shared" ref="M11:M14" si="2">K11*$M$15</f>
        <v>0.28484444209033927</v>
      </c>
      <c r="N11">
        <f t="shared" ref="N11:N14" si="3">$K11*$N$15</f>
        <v>3.6812341579870531</v>
      </c>
      <c r="O11">
        <f t="shared" ref="O11:O14" si="4">$K11*$O$15</f>
        <v>4.3499224946951855</v>
      </c>
    </row>
    <row r="12" spans="1:29" x14ac:dyDescent="0.75">
      <c r="A12" s="1">
        <v>45727</v>
      </c>
      <c r="B12" t="s">
        <v>8</v>
      </c>
      <c r="C12" t="s">
        <v>11</v>
      </c>
      <c r="D12">
        <v>2.7</v>
      </c>
      <c r="E12">
        <v>3.57</v>
      </c>
      <c r="F12">
        <v>9149.2199999999993</v>
      </c>
      <c r="G12">
        <v>9204</v>
      </c>
      <c r="I12" t="s">
        <v>8</v>
      </c>
      <c r="J12" t="s">
        <v>9</v>
      </c>
      <c r="K12">
        <v>4.3303858123795877E-2</v>
      </c>
      <c r="L12">
        <f t="shared" si="1"/>
        <v>15.021735904832674</v>
      </c>
      <c r="M12">
        <f t="shared" si="2"/>
        <v>0.23947106552365088</v>
      </c>
      <c r="N12">
        <f t="shared" si="3"/>
        <v>3.0948438375203882</v>
      </c>
      <c r="O12">
        <f t="shared" si="4"/>
        <v>3.6570156226519654</v>
      </c>
    </row>
    <row r="13" spans="1:29" x14ac:dyDescent="0.75">
      <c r="A13" s="5">
        <v>45554</v>
      </c>
      <c r="B13" s="4" t="s">
        <v>14</v>
      </c>
      <c r="C13" s="4" t="s">
        <v>8</v>
      </c>
      <c r="D13" s="4">
        <v>2.2999999999999998</v>
      </c>
      <c r="E13" s="4">
        <v>4.21</v>
      </c>
      <c r="F13" s="4">
        <v>0</v>
      </c>
      <c r="G13" s="4">
        <v>26315900</v>
      </c>
      <c r="H13" s="4">
        <v>346.89139849592499</v>
      </c>
      <c r="I13" t="s">
        <v>14</v>
      </c>
      <c r="J13" t="s">
        <v>11</v>
      </c>
      <c r="K13">
        <v>0.11899726021150711</v>
      </c>
      <c r="L13">
        <f t="shared" si="1"/>
        <v>41.279126011953196</v>
      </c>
      <c r="M13">
        <f t="shared" si="2"/>
        <v>0.65805685525248192</v>
      </c>
      <c r="N13">
        <f t="shared" si="3"/>
        <v>8.5045063743412896</v>
      </c>
      <c r="O13">
        <f t="shared" si="4"/>
        <v>10.049331826328194</v>
      </c>
    </row>
    <row r="14" spans="1:29" x14ac:dyDescent="0.75">
      <c r="A14" s="5">
        <v>45554</v>
      </c>
      <c r="B14" s="4" t="s">
        <v>14</v>
      </c>
      <c r="C14" s="4" t="s">
        <v>11</v>
      </c>
      <c r="D14" s="4">
        <v>1.29</v>
      </c>
      <c r="E14" s="4">
        <v>3.84</v>
      </c>
      <c r="F14" s="4">
        <v>4518.92</v>
      </c>
      <c r="G14" s="4">
        <v>3131520</v>
      </c>
      <c r="H14" s="4">
        <v>346.89139849592499</v>
      </c>
      <c r="I14" t="s">
        <v>14</v>
      </c>
      <c r="J14" t="s">
        <v>10</v>
      </c>
      <c r="K14">
        <v>0.99851800622437381</v>
      </c>
      <c r="L14">
        <f t="shared" si="1"/>
        <v>346.37730760253578</v>
      </c>
      <c r="M14">
        <f t="shared" si="2"/>
        <v>5.5218214093424089</v>
      </c>
      <c r="N14">
        <f t="shared" si="3"/>
        <v>71.36217030321653</v>
      </c>
      <c r="O14">
        <f t="shared" si="4"/>
        <v>84.324956400483899</v>
      </c>
    </row>
    <row r="15" spans="1:29" x14ac:dyDescent="0.75">
      <c r="A15" s="5">
        <v>45554</v>
      </c>
      <c r="B15" s="4" t="s">
        <v>14</v>
      </c>
      <c r="C15" s="4" t="s">
        <v>10</v>
      </c>
      <c r="D15" s="4">
        <v>2.06</v>
      </c>
      <c r="E15" s="4">
        <v>4.1399999999999997</v>
      </c>
      <c r="F15" s="4"/>
      <c r="G15" s="4"/>
      <c r="H15" s="4">
        <v>346.89139849592499</v>
      </c>
      <c r="I15" t="s">
        <v>14</v>
      </c>
      <c r="J15" t="s">
        <v>8</v>
      </c>
      <c r="K15">
        <v>1</v>
      </c>
      <c r="L15">
        <v>346.89139849592499</v>
      </c>
      <c r="M15">
        <v>5.5300168599079003</v>
      </c>
      <c r="N15">
        <v>71.468085561174107</v>
      </c>
      <c r="O15">
        <v>84.450110939246798</v>
      </c>
    </row>
    <row r="16" spans="1:29" x14ac:dyDescent="0.75">
      <c r="A16" s="2">
        <v>45638</v>
      </c>
      <c r="B16" t="s">
        <v>14</v>
      </c>
      <c r="C16" t="s">
        <v>8</v>
      </c>
      <c r="D16">
        <v>3.72</v>
      </c>
      <c r="E16">
        <v>4.0199999999999996</v>
      </c>
      <c r="F16">
        <v>0</v>
      </c>
      <c r="G16">
        <v>26315900</v>
      </c>
      <c r="H16">
        <v>5.5300168599079003</v>
      </c>
      <c r="AB16" s="2" t="s">
        <v>21</v>
      </c>
      <c r="AC16" s="6" t="s">
        <v>3</v>
      </c>
    </row>
    <row r="17" spans="1:29" x14ac:dyDescent="0.75">
      <c r="A17" s="2">
        <v>45638</v>
      </c>
      <c r="B17" t="s">
        <v>14</v>
      </c>
      <c r="C17" t="s">
        <v>11</v>
      </c>
      <c r="D17">
        <v>5.4</v>
      </c>
      <c r="E17">
        <v>6.04</v>
      </c>
      <c r="F17">
        <v>4518.92</v>
      </c>
      <c r="G17">
        <v>3131520</v>
      </c>
      <c r="H17">
        <v>5.5300168599079003</v>
      </c>
      <c r="L17" s="2" t="s">
        <v>21</v>
      </c>
      <c r="M17" s="2" t="s">
        <v>28</v>
      </c>
      <c r="P17" s="2" t="s">
        <v>21</v>
      </c>
      <c r="Q17" s="6" t="s">
        <v>29</v>
      </c>
      <c r="U17" s="2" t="s">
        <v>21</v>
      </c>
      <c r="V17" s="6" t="s">
        <v>30</v>
      </c>
      <c r="AB17">
        <f t="shared" ref="AB17:AB22" si="5">$K10*$O$15</f>
        <v>2.9536471148044623E-2</v>
      </c>
      <c r="AC17">
        <v>2.7</v>
      </c>
    </row>
    <row r="18" spans="1:29" x14ac:dyDescent="0.75">
      <c r="A18" s="2">
        <v>45638</v>
      </c>
      <c r="B18" t="s">
        <v>14</v>
      </c>
      <c r="C18" t="s">
        <v>10</v>
      </c>
      <c r="D18">
        <v>4.3099999999999996</v>
      </c>
      <c r="E18">
        <v>3.98</v>
      </c>
      <c r="H18">
        <v>5.5300168599079003</v>
      </c>
      <c r="J18" t="s">
        <v>8</v>
      </c>
      <c r="K18" t="s">
        <v>11</v>
      </c>
      <c r="L18">
        <f t="shared" ref="L18:L23" si="6">$K10*$L$15</f>
        <v>0.12132545083985322</v>
      </c>
      <c r="P18">
        <f t="shared" ref="P18:P23" si="7">$K10*$M$15</f>
        <v>1.9341263334559074E-3</v>
      </c>
      <c r="U18">
        <f t="shared" ref="U18:U23" si="8">$K10*$N$15</f>
        <v>2.4996000877988075E-2</v>
      </c>
      <c r="V18">
        <v>2.77</v>
      </c>
      <c r="AB18">
        <f t="shared" si="5"/>
        <v>4.3499224946951855</v>
      </c>
      <c r="AC18">
        <v>1.89</v>
      </c>
    </row>
    <row r="19" spans="1:29" x14ac:dyDescent="0.75">
      <c r="A19" s="5">
        <v>45708</v>
      </c>
      <c r="B19" s="4" t="s">
        <v>14</v>
      </c>
      <c r="C19" s="4" t="s">
        <v>8</v>
      </c>
      <c r="D19" s="4">
        <v>4.0599999999999996</v>
      </c>
      <c r="E19" s="4">
        <v>3.99</v>
      </c>
      <c r="F19" s="4">
        <v>0</v>
      </c>
      <c r="G19" s="4">
        <v>26315900</v>
      </c>
      <c r="H19" s="4">
        <v>71.468085561174107</v>
      </c>
      <c r="J19" t="s">
        <v>8</v>
      </c>
      <c r="K19" t="s">
        <v>10</v>
      </c>
      <c r="L19">
        <f t="shared" si="6"/>
        <v>17.867953999719802</v>
      </c>
      <c r="M19">
        <v>0.56000000000000005</v>
      </c>
      <c r="P19">
        <f t="shared" si="7"/>
        <v>0.28484444209033927</v>
      </c>
      <c r="Q19">
        <v>1.1200000000000001</v>
      </c>
      <c r="U19">
        <f t="shared" si="8"/>
        <v>3.6812341579870531</v>
      </c>
      <c r="V19">
        <v>1.62</v>
      </c>
      <c r="AB19">
        <f t="shared" si="5"/>
        <v>3.6570156226519654</v>
      </c>
    </row>
    <row r="20" spans="1:29" x14ac:dyDescent="0.75">
      <c r="A20" s="5">
        <v>45708</v>
      </c>
      <c r="B20" s="4" t="s">
        <v>14</v>
      </c>
      <c r="C20" s="4" t="s">
        <v>11</v>
      </c>
      <c r="D20" s="4">
        <v>4.04</v>
      </c>
      <c r="E20" s="4">
        <v>3.79</v>
      </c>
      <c r="F20" s="4">
        <v>4518.92</v>
      </c>
      <c r="G20" s="4">
        <v>3131520</v>
      </c>
      <c r="H20" s="4">
        <v>71.468085561174107</v>
      </c>
      <c r="J20" t="s">
        <v>8</v>
      </c>
      <c r="K20" t="s">
        <v>9</v>
      </c>
      <c r="L20">
        <f t="shared" si="6"/>
        <v>15.021735904832674</v>
      </c>
      <c r="M20">
        <v>1.22</v>
      </c>
      <c r="P20">
        <f t="shared" si="7"/>
        <v>0.23947106552365088</v>
      </c>
      <c r="Q20">
        <v>1.7</v>
      </c>
      <c r="U20">
        <f t="shared" si="8"/>
        <v>3.0948438375203882</v>
      </c>
      <c r="V20">
        <v>4.72</v>
      </c>
      <c r="AB20">
        <f t="shared" si="5"/>
        <v>10.049331826328194</v>
      </c>
      <c r="AC20">
        <v>4.2699999999999996</v>
      </c>
    </row>
    <row r="21" spans="1:29" x14ac:dyDescent="0.75">
      <c r="A21" s="5">
        <v>45708</v>
      </c>
      <c r="B21" s="4" t="s">
        <v>14</v>
      </c>
      <c r="C21" s="4" t="s">
        <v>10</v>
      </c>
      <c r="D21" s="4">
        <v>4.12</v>
      </c>
      <c r="E21" s="4">
        <v>3.99</v>
      </c>
      <c r="F21" s="4"/>
      <c r="G21" s="4"/>
      <c r="H21" s="4">
        <v>71.468085561174107</v>
      </c>
      <c r="J21" t="s">
        <v>14</v>
      </c>
      <c r="K21" t="s">
        <v>11</v>
      </c>
      <c r="L21">
        <f t="shared" si="6"/>
        <v>41.279126011953196</v>
      </c>
      <c r="M21">
        <v>1.29</v>
      </c>
      <c r="P21">
        <f t="shared" si="7"/>
        <v>0.65805685525248192</v>
      </c>
      <c r="U21">
        <f t="shared" si="8"/>
        <v>8.5045063743412896</v>
      </c>
      <c r="V21">
        <v>4.04</v>
      </c>
      <c r="AB21">
        <f t="shared" si="5"/>
        <v>84.324956400483899</v>
      </c>
      <c r="AC21">
        <v>3.81</v>
      </c>
    </row>
    <row r="22" spans="1:29" x14ac:dyDescent="0.75">
      <c r="A22" s="2">
        <v>45727</v>
      </c>
      <c r="B22" t="s">
        <v>14</v>
      </c>
      <c r="C22" t="s">
        <v>8</v>
      </c>
      <c r="D22">
        <v>2.62</v>
      </c>
      <c r="E22">
        <v>6.37</v>
      </c>
      <c r="F22">
        <v>0</v>
      </c>
      <c r="G22">
        <v>26315900</v>
      </c>
      <c r="H22">
        <v>84.450110939246798</v>
      </c>
      <c r="J22" t="s">
        <v>14</v>
      </c>
      <c r="K22" t="s">
        <v>10</v>
      </c>
      <c r="L22">
        <f t="shared" si="6"/>
        <v>346.37730760253578</v>
      </c>
      <c r="M22">
        <v>2.06</v>
      </c>
      <c r="P22">
        <f t="shared" si="7"/>
        <v>5.5218214093424089</v>
      </c>
      <c r="Q22">
        <v>4.3099999999999996</v>
      </c>
      <c r="U22">
        <f t="shared" si="8"/>
        <v>71.36217030321653</v>
      </c>
      <c r="V22">
        <v>4.12</v>
      </c>
      <c r="AB22">
        <f t="shared" si="5"/>
        <v>84.450110939246798</v>
      </c>
      <c r="AC22">
        <v>2.62</v>
      </c>
    </row>
    <row r="23" spans="1:29" x14ac:dyDescent="0.75">
      <c r="A23" s="2">
        <v>45727</v>
      </c>
      <c r="B23" t="s">
        <v>14</v>
      </c>
      <c r="C23" t="s">
        <v>11</v>
      </c>
      <c r="D23">
        <v>4.2699999999999996</v>
      </c>
      <c r="E23">
        <v>3.75</v>
      </c>
      <c r="F23">
        <v>4518.92</v>
      </c>
      <c r="G23">
        <v>3131520</v>
      </c>
      <c r="H23">
        <v>84.450110939246798</v>
      </c>
      <c r="J23" t="s">
        <v>14</v>
      </c>
      <c r="K23" t="s">
        <v>8</v>
      </c>
      <c r="L23">
        <f t="shared" si="6"/>
        <v>346.89139849592499</v>
      </c>
      <c r="M23">
        <v>2.2999999999999998</v>
      </c>
      <c r="P23">
        <f t="shared" si="7"/>
        <v>5.5300168599079003</v>
      </c>
      <c r="Q23">
        <v>3.72</v>
      </c>
      <c r="U23">
        <f t="shared" si="8"/>
        <v>71.468085561174107</v>
      </c>
      <c r="V23">
        <v>4.0599999999999996</v>
      </c>
    </row>
    <row r="24" spans="1:29" x14ac:dyDescent="0.75">
      <c r="A24" s="2">
        <v>45727</v>
      </c>
      <c r="B24" t="s">
        <v>14</v>
      </c>
      <c r="C24" t="s">
        <v>10</v>
      </c>
      <c r="D24">
        <v>3.81</v>
      </c>
      <c r="E24">
        <v>4.04</v>
      </c>
      <c r="H24">
        <v>84.450110939246798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FB811-A0E7-4526-9291-2CD16480ACDC}">
  <dimension ref="A1:X31"/>
  <sheetViews>
    <sheetView zoomScale="90" zoomScaleNormal="90" workbookViewId="0">
      <selection activeCell="U2" sqref="U2:U6"/>
    </sheetView>
  </sheetViews>
  <sheetFormatPr defaultRowHeight="14.75" x14ac:dyDescent="0.75"/>
  <cols>
    <col min="1" max="1" width="10.2265625" bestFit="1" customWidth="1"/>
    <col min="11" max="11" width="10.2265625" bestFit="1" customWidth="1"/>
    <col min="14" max="14" width="10.6796875" bestFit="1" customWidth="1"/>
    <col min="15" max="15" width="12.1796875" bestFit="1" customWidth="1"/>
    <col min="16" max="16" width="13" bestFit="1" customWidth="1"/>
    <col min="17" max="17" width="10.76953125" customWidth="1"/>
    <col min="19" max="19" width="11.6328125" bestFit="1" customWidth="1"/>
  </cols>
  <sheetData>
    <row r="1" spans="1:24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N1" s="1">
        <v>45708</v>
      </c>
      <c r="O1" s="1">
        <v>45554</v>
      </c>
      <c r="P1" s="1">
        <v>45727</v>
      </c>
      <c r="Q1" s="1">
        <v>45749</v>
      </c>
      <c r="R1" t="s">
        <v>5</v>
      </c>
      <c r="S1" t="s">
        <v>6</v>
      </c>
      <c r="T1" t="s">
        <v>31</v>
      </c>
    </row>
    <row r="2" spans="1:24" x14ac:dyDescent="0.75">
      <c r="A2" s="3">
        <v>45554</v>
      </c>
      <c r="B2" s="4" t="s">
        <v>12</v>
      </c>
      <c r="C2" s="4" t="s">
        <v>9</v>
      </c>
      <c r="D2" s="4">
        <v>4.01</v>
      </c>
      <c r="E2" s="4">
        <v>4.17</v>
      </c>
      <c r="F2" s="4">
        <v>1267.3699999999999</v>
      </c>
      <c r="G2" s="4">
        <v>14519100</v>
      </c>
      <c r="H2" s="4">
        <v>110.354159360789</v>
      </c>
      <c r="K2" s="1"/>
      <c r="L2" t="s">
        <v>12</v>
      </c>
      <c r="M2" t="s">
        <v>15</v>
      </c>
      <c r="N2">
        <v>7</v>
      </c>
      <c r="R2">
        <v>0</v>
      </c>
      <c r="S2">
        <v>17795000</v>
      </c>
      <c r="T2">
        <f t="shared" ref="T2:T5" si="0">S2/$S$2</f>
        <v>1</v>
      </c>
      <c r="U2">
        <f>S2/1000</f>
        <v>17795</v>
      </c>
    </row>
    <row r="3" spans="1:24" x14ac:dyDescent="0.75">
      <c r="A3" s="3">
        <v>45554</v>
      </c>
      <c r="B3" s="4" t="s">
        <v>12</v>
      </c>
      <c r="C3" s="4" t="s">
        <v>8</v>
      </c>
      <c r="D3" s="4">
        <v>2.68</v>
      </c>
      <c r="E3" s="4">
        <v>4.21</v>
      </c>
      <c r="F3" s="4">
        <v>2467.91</v>
      </c>
      <c r="G3" s="4">
        <v>10249400</v>
      </c>
      <c r="H3" s="4">
        <v>110.354159360789</v>
      </c>
      <c r="K3" s="1"/>
      <c r="L3" t="s">
        <v>12</v>
      </c>
      <c r="M3" t="s">
        <v>9</v>
      </c>
      <c r="N3">
        <v>6.1</v>
      </c>
      <c r="O3">
        <v>4.01</v>
      </c>
      <c r="Q3">
        <v>4.3899999999999997</v>
      </c>
      <c r="R3">
        <v>1267.3699999999999</v>
      </c>
      <c r="S3">
        <v>14519100</v>
      </c>
      <c r="T3">
        <f t="shared" si="0"/>
        <v>0.81590896319190787</v>
      </c>
      <c r="U3">
        <f t="shared" ref="U3:U6" si="1">S3/1000</f>
        <v>14519.1</v>
      </c>
    </row>
    <row r="4" spans="1:24" x14ac:dyDescent="0.75">
      <c r="A4" s="3">
        <v>45554</v>
      </c>
      <c r="B4" s="4" t="s">
        <v>12</v>
      </c>
      <c r="C4" s="4" t="s">
        <v>10</v>
      </c>
      <c r="D4" s="4">
        <v>0.67</v>
      </c>
      <c r="E4" s="4">
        <v>3.73</v>
      </c>
      <c r="F4" s="4">
        <v>4497.8599999999997</v>
      </c>
      <c r="G4" s="4">
        <v>1812340</v>
      </c>
      <c r="H4" s="4">
        <v>110.354159360789</v>
      </c>
      <c r="K4" s="1"/>
      <c r="L4" t="s">
        <v>12</v>
      </c>
      <c r="M4" t="s">
        <v>8</v>
      </c>
      <c r="N4">
        <v>6.04</v>
      </c>
      <c r="O4">
        <v>2.68</v>
      </c>
      <c r="P4">
        <v>6.12</v>
      </c>
      <c r="Q4">
        <v>4.41</v>
      </c>
      <c r="R4">
        <v>2467.91</v>
      </c>
      <c r="S4">
        <v>10249400</v>
      </c>
      <c r="T4">
        <f t="shared" si="0"/>
        <v>0.57597077830851362</v>
      </c>
      <c r="U4">
        <f t="shared" si="1"/>
        <v>10249.4</v>
      </c>
    </row>
    <row r="5" spans="1:24" x14ac:dyDescent="0.75">
      <c r="A5" s="3">
        <v>45554</v>
      </c>
      <c r="B5" s="4" t="s">
        <v>12</v>
      </c>
      <c r="C5" s="4" t="s">
        <v>11</v>
      </c>
      <c r="D5" s="4">
        <v>0.6</v>
      </c>
      <c r="E5" s="4">
        <v>3.75</v>
      </c>
      <c r="F5" s="4">
        <v>6130.37</v>
      </c>
      <c r="G5" s="4">
        <v>138375</v>
      </c>
      <c r="H5" s="4">
        <v>110.354159360789</v>
      </c>
      <c r="K5" s="1"/>
      <c r="L5" t="s">
        <v>12</v>
      </c>
      <c r="M5" t="s">
        <v>10</v>
      </c>
      <c r="N5">
        <v>3.68</v>
      </c>
      <c r="O5">
        <v>0.67</v>
      </c>
      <c r="P5">
        <v>3.19</v>
      </c>
      <c r="Q5">
        <v>1.65</v>
      </c>
      <c r="R5">
        <v>4497.8599999999997</v>
      </c>
      <c r="S5">
        <v>1812340</v>
      </c>
      <c r="T5">
        <f t="shared" si="0"/>
        <v>0.10184546220848553</v>
      </c>
      <c r="U5">
        <f t="shared" si="1"/>
        <v>1812.34</v>
      </c>
    </row>
    <row r="6" spans="1:24" x14ac:dyDescent="0.75">
      <c r="A6" s="1">
        <v>45708</v>
      </c>
      <c r="B6" t="s">
        <v>12</v>
      </c>
      <c r="C6" t="s">
        <v>15</v>
      </c>
      <c r="D6">
        <v>7</v>
      </c>
      <c r="E6">
        <v>5.55</v>
      </c>
      <c r="F6">
        <v>0</v>
      </c>
      <c r="G6">
        <v>17795000</v>
      </c>
      <c r="H6">
        <v>95.954546094173494</v>
      </c>
      <c r="K6" s="1"/>
      <c r="L6" t="s">
        <v>12</v>
      </c>
      <c r="M6" t="s">
        <v>11</v>
      </c>
      <c r="N6">
        <v>5.8</v>
      </c>
      <c r="O6">
        <v>0.6</v>
      </c>
      <c r="P6">
        <v>3.96</v>
      </c>
      <c r="Q6">
        <v>1.52</v>
      </c>
      <c r="R6">
        <v>6130.37</v>
      </c>
      <c r="S6">
        <v>138375</v>
      </c>
      <c r="T6">
        <f>S6/$S$2</f>
        <v>7.7760606912053946E-3</v>
      </c>
      <c r="U6">
        <f t="shared" si="1"/>
        <v>138.375</v>
      </c>
    </row>
    <row r="7" spans="1:24" x14ac:dyDescent="0.75">
      <c r="A7" s="1">
        <v>45708</v>
      </c>
      <c r="B7" t="s">
        <v>12</v>
      </c>
      <c r="C7" t="s">
        <v>9</v>
      </c>
      <c r="D7">
        <v>6.1</v>
      </c>
      <c r="E7">
        <v>4.72</v>
      </c>
      <c r="F7">
        <v>1267.3699999999999</v>
      </c>
      <c r="G7">
        <v>14519100</v>
      </c>
      <c r="H7">
        <v>95.954546094173494</v>
      </c>
    </row>
    <row r="8" spans="1:24" x14ac:dyDescent="0.75">
      <c r="A8" s="1">
        <v>45708</v>
      </c>
      <c r="B8" t="s">
        <v>12</v>
      </c>
      <c r="C8" t="s">
        <v>8</v>
      </c>
      <c r="D8">
        <v>6.04</v>
      </c>
      <c r="E8">
        <v>4.67</v>
      </c>
      <c r="F8">
        <v>2467.91</v>
      </c>
      <c r="G8">
        <v>10249400</v>
      </c>
      <c r="H8">
        <v>95.954546094173494</v>
      </c>
      <c r="K8" s="1"/>
      <c r="L8" s="7" t="s">
        <v>21</v>
      </c>
      <c r="M8" s="8" t="s">
        <v>28</v>
      </c>
      <c r="O8" t="s">
        <v>21</v>
      </c>
      <c r="P8" s="6" t="s">
        <v>25</v>
      </c>
      <c r="S8" t="s">
        <v>21</v>
      </c>
      <c r="T8" s="6" t="s">
        <v>24</v>
      </c>
      <c r="W8" t="s">
        <v>21</v>
      </c>
      <c r="X8" s="6" t="s">
        <v>27</v>
      </c>
    </row>
    <row r="9" spans="1:24" x14ac:dyDescent="0.75">
      <c r="A9" s="1">
        <v>45708</v>
      </c>
      <c r="B9" t="s">
        <v>12</v>
      </c>
      <c r="C9" t="s">
        <v>10</v>
      </c>
      <c r="D9">
        <v>3.68</v>
      </c>
      <c r="E9">
        <v>3.8</v>
      </c>
      <c r="F9">
        <v>4497.8599999999997</v>
      </c>
      <c r="G9">
        <v>1812340</v>
      </c>
      <c r="H9">
        <v>95.954546094173494</v>
      </c>
      <c r="J9" t="s">
        <v>12</v>
      </c>
      <c r="K9" t="s">
        <v>15</v>
      </c>
      <c r="L9" s="7">
        <f>$T2*$H$2</f>
        <v>110.354159360789</v>
      </c>
      <c r="M9" s="7">
        <v>5.1100000000000003</v>
      </c>
      <c r="O9">
        <f>$T2*$H$11</f>
        <v>163.31096051543099</v>
      </c>
      <c r="S9">
        <f>$T2*$H$6</f>
        <v>95.954546094173494</v>
      </c>
      <c r="T9">
        <v>7</v>
      </c>
      <c r="W9">
        <f>$T2*$H$14</f>
        <v>154.84053801825601</v>
      </c>
      <c r="X9">
        <v>4.7699999999999996</v>
      </c>
    </row>
    <row r="10" spans="1:24" x14ac:dyDescent="0.75">
      <c r="A10" s="1">
        <v>45708</v>
      </c>
      <c r="B10" t="s">
        <v>12</v>
      </c>
      <c r="C10" t="s">
        <v>11</v>
      </c>
      <c r="D10">
        <v>5.8</v>
      </c>
      <c r="E10">
        <v>5.47</v>
      </c>
      <c r="F10">
        <v>6130.37</v>
      </c>
      <c r="G10">
        <v>138375</v>
      </c>
      <c r="H10">
        <v>95.954546094173494</v>
      </c>
      <c r="J10" t="s">
        <v>12</v>
      </c>
      <c r="K10" t="s">
        <v>9</v>
      </c>
      <c r="L10" s="7">
        <f>$T3*$H$2</f>
        <v>90.038947747975925</v>
      </c>
      <c r="M10" s="7">
        <v>4.01</v>
      </c>
      <c r="O10">
        <f t="shared" ref="O10:O13" si="2">$T3*$H$11</f>
        <v>133.24687647201989</v>
      </c>
      <c r="S10">
        <f t="shared" ref="S10:S13" si="3">$T3*$H$6</f>
        <v>78.290174217247227</v>
      </c>
      <c r="T10">
        <v>6.1</v>
      </c>
      <c r="W10">
        <f t="shared" ref="W10:W13" si="4">$T3*$H$14</f>
        <v>126.33578283455246</v>
      </c>
      <c r="X10">
        <v>4.3899999999999997</v>
      </c>
    </row>
    <row r="11" spans="1:24" x14ac:dyDescent="0.75">
      <c r="A11" s="3">
        <v>45727</v>
      </c>
      <c r="B11" s="4" t="s">
        <v>12</v>
      </c>
      <c r="C11" s="4" t="s">
        <v>8</v>
      </c>
      <c r="D11" s="4">
        <v>6.12</v>
      </c>
      <c r="E11" s="4">
        <v>4.1500000000000004</v>
      </c>
      <c r="F11" s="4">
        <v>2467.91</v>
      </c>
      <c r="G11" s="4">
        <v>10249400</v>
      </c>
      <c r="H11" s="4">
        <v>163.31096051543099</v>
      </c>
      <c r="J11" t="s">
        <v>12</v>
      </c>
      <c r="K11" t="s">
        <v>8</v>
      </c>
      <c r="L11" s="7">
        <f>$T4*$H$2</f>
        <v>63.56077105661538</v>
      </c>
      <c r="M11" s="7">
        <v>2.68</v>
      </c>
      <c r="O11">
        <f t="shared" si="2"/>
        <v>94.062341034383721</v>
      </c>
      <c r="P11">
        <v>6.12</v>
      </c>
      <c r="S11">
        <f t="shared" si="3"/>
        <v>55.267014596101255</v>
      </c>
      <c r="T11">
        <v>6.04</v>
      </c>
      <c r="W11">
        <f t="shared" si="4"/>
        <v>89.183625196083909</v>
      </c>
      <c r="X11">
        <v>4.41</v>
      </c>
    </row>
    <row r="12" spans="1:24" x14ac:dyDescent="0.75">
      <c r="A12" s="3">
        <v>45727</v>
      </c>
      <c r="B12" s="4" t="s">
        <v>12</v>
      </c>
      <c r="C12" s="4" t="s">
        <v>10</v>
      </c>
      <c r="D12" s="4">
        <v>3.19</v>
      </c>
      <c r="E12" s="4">
        <v>3.66</v>
      </c>
      <c r="F12" s="4">
        <v>4497.8599999999997</v>
      </c>
      <c r="G12" s="4">
        <v>1812340</v>
      </c>
      <c r="H12" s="4">
        <v>163.31096051543099</v>
      </c>
      <c r="J12" t="s">
        <v>12</v>
      </c>
      <c r="K12" t="s">
        <v>10</v>
      </c>
      <c r="L12" s="7">
        <f>$T5*$H$2</f>
        <v>11.239070366728425</v>
      </c>
      <c r="M12" s="7">
        <v>0.67</v>
      </c>
      <c r="O12">
        <f t="shared" si="2"/>
        <v>16.632480257405799</v>
      </c>
      <c r="P12">
        <v>3.19</v>
      </c>
      <c r="S12">
        <f t="shared" si="3"/>
        <v>9.7725350979665304</v>
      </c>
      <c r="T12">
        <v>3.68</v>
      </c>
      <c r="W12">
        <f t="shared" si="4"/>
        <v>15.76980616307986</v>
      </c>
      <c r="X12">
        <v>1.65</v>
      </c>
    </row>
    <row r="13" spans="1:24" x14ac:dyDescent="0.75">
      <c r="A13" s="3">
        <v>45727</v>
      </c>
      <c r="B13" s="4" t="s">
        <v>12</v>
      </c>
      <c r="C13" s="4" t="s">
        <v>11</v>
      </c>
      <c r="D13" s="4">
        <v>3.96</v>
      </c>
      <c r="E13" s="4">
        <v>3.72</v>
      </c>
      <c r="F13" s="4">
        <v>6130.37</v>
      </c>
      <c r="G13" s="4">
        <v>138375</v>
      </c>
      <c r="H13" s="4">
        <v>163.31096051543099</v>
      </c>
      <c r="J13" t="s">
        <v>12</v>
      </c>
      <c r="K13" t="s">
        <v>11</v>
      </c>
      <c r="L13" s="7">
        <f>$T6*$H$2</f>
        <v>0.85812064071644711</v>
      </c>
      <c r="M13" s="7">
        <v>0.6</v>
      </c>
      <c r="O13">
        <f t="shared" si="2"/>
        <v>1.2699159405070393</v>
      </c>
      <c r="P13">
        <v>3.96</v>
      </c>
      <c r="S13">
        <f t="shared" si="3"/>
        <v>0.74614837402535861</v>
      </c>
      <c r="T13">
        <v>5.8</v>
      </c>
      <c r="W13">
        <f t="shared" si="4"/>
        <v>1.204049421088855</v>
      </c>
      <c r="X13">
        <v>1.52</v>
      </c>
    </row>
    <row r="14" spans="1:24" x14ac:dyDescent="0.75">
      <c r="A14" s="1">
        <v>45749</v>
      </c>
      <c r="B14" t="s">
        <v>12</v>
      </c>
      <c r="C14" t="s">
        <v>9</v>
      </c>
      <c r="D14">
        <v>4.3899999999999997</v>
      </c>
      <c r="E14">
        <v>4.3099999999999996</v>
      </c>
      <c r="F14">
        <v>1267.3699999999999</v>
      </c>
      <c r="G14">
        <v>14519100</v>
      </c>
      <c r="H14">
        <v>154.84053801825601</v>
      </c>
    </row>
    <row r="15" spans="1:24" x14ac:dyDescent="0.75">
      <c r="A15" s="1">
        <v>45749</v>
      </c>
      <c r="B15" t="s">
        <v>12</v>
      </c>
      <c r="C15" t="s">
        <v>8</v>
      </c>
      <c r="D15">
        <v>4.41</v>
      </c>
      <c r="E15">
        <v>4.17</v>
      </c>
      <c r="F15">
        <v>2467.91</v>
      </c>
      <c r="G15">
        <v>10249400</v>
      </c>
      <c r="H15">
        <v>154.84053801825601</v>
      </c>
    </row>
    <row r="16" spans="1:24" x14ac:dyDescent="0.75">
      <c r="A16" s="1">
        <v>45749</v>
      </c>
      <c r="B16" t="s">
        <v>12</v>
      </c>
      <c r="C16" t="s">
        <v>10</v>
      </c>
      <c r="D16">
        <v>1.65</v>
      </c>
      <c r="E16">
        <v>3.78</v>
      </c>
      <c r="F16">
        <v>4497.8599999999997</v>
      </c>
      <c r="G16">
        <v>1812340</v>
      </c>
      <c r="H16">
        <v>154.84053801825601</v>
      </c>
    </row>
    <row r="17" spans="1:18" x14ac:dyDescent="0.75">
      <c r="A17" s="1">
        <v>45749</v>
      </c>
      <c r="B17" t="s">
        <v>12</v>
      </c>
      <c r="C17" t="s">
        <v>11</v>
      </c>
      <c r="D17">
        <v>1.52</v>
      </c>
      <c r="E17">
        <v>4.01</v>
      </c>
      <c r="F17">
        <v>6130.37</v>
      </c>
      <c r="G17">
        <v>138375</v>
      </c>
      <c r="H17">
        <v>154.84053801825601</v>
      </c>
    </row>
    <row r="25" spans="1:18" x14ac:dyDescent="0.75">
      <c r="R25" t="s">
        <v>22</v>
      </c>
    </row>
    <row r="31" spans="1:18" x14ac:dyDescent="0.75">
      <c r="I31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C181A-D1D7-48D5-9F7D-DE1BA9F9A99E}">
  <dimension ref="A1:K30"/>
  <sheetViews>
    <sheetView tabSelected="1" zoomScaleNormal="100" workbookViewId="0">
      <selection activeCell="T25" sqref="T25"/>
    </sheetView>
  </sheetViews>
  <sheetFormatPr defaultRowHeight="14.75" x14ac:dyDescent="0.75"/>
  <cols>
    <col min="2" max="2" width="12.453125" bestFit="1" customWidth="1"/>
    <col min="4" max="4" width="17.76953125" bestFit="1" customWidth="1"/>
    <col min="5" max="6" width="7.6796875" customWidth="1"/>
    <col min="7" max="7" width="12.7265625" bestFit="1" customWidth="1"/>
    <col min="8" max="8" width="11.6328125" bestFit="1" customWidth="1"/>
    <col min="10" max="10" width="16.1328125" bestFit="1" customWidth="1"/>
    <col min="11" max="11" width="11.6328125" bestFit="1" customWidth="1"/>
  </cols>
  <sheetData>
    <row r="1" spans="1:11" ht="15.5" thickBot="1" x14ac:dyDescent="0.9">
      <c r="A1" t="s">
        <v>45</v>
      </c>
      <c r="B1" t="s">
        <v>46</v>
      </c>
      <c r="C1" t="s">
        <v>21</v>
      </c>
      <c r="D1" t="s">
        <v>34</v>
      </c>
      <c r="E1" t="s">
        <v>33</v>
      </c>
      <c r="G1" t="s">
        <v>32</v>
      </c>
      <c r="H1" t="s">
        <v>43</v>
      </c>
      <c r="J1" s="9" t="s">
        <v>37</v>
      </c>
    </row>
    <row r="2" spans="1:11" x14ac:dyDescent="0.75">
      <c r="A2">
        <v>3</v>
      </c>
      <c r="B2">
        <v>1</v>
      </c>
      <c r="C2">
        <v>90</v>
      </c>
      <c r="D2">
        <v>6</v>
      </c>
      <c r="E2">
        <v>15000</v>
      </c>
      <c r="G2">
        <v>2.0000000000000001E-4</v>
      </c>
      <c r="H2">
        <v>0.42</v>
      </c>
      <c r="J2" t="s">
        <v>42</v>
      </c>
      <c r="K2">
        <f>G4-D5</f>
        <v>7.33</v>
      </c>
    </row>
    <row r="3" spans="1:11" x14ac:dyDescent="0.75">
      <c r="A3">
        <v>2</v>
      </c>
      <c r="B3">
        <v>2</v>
      </c>
      <c r="C3">
        <v>60</v>
      </c>
      <c r="D3">
        <v>4</v>
      </c>
      <c r="E3">
        <v>10000</v>
      </c>
      <c r="G3" t="s">
        <v>41</v>
      </c>
      <c r="H3" t="s">
        <v>44</v>
      </c>
      <c r="J3" t="s">
        <v>35</v>
      </c>
      <c r="K3">
        <f>G2*C5</f>
        <v>2.0000000000000001E-4</v>
      </c>
    </row>
    <row r="4" spans="1:11" x14ac:dyDescent="0.75">
      <c r="A4">
        <v>1</v>
      </c>
      <c r="B4">
        <v>3</v>
      </c>
      <c r="C4">
        <v>10</v>
      </c>
      <c r="D4">
        <v>2</v>
      </c>
      <c r="E4">
        <v>1000</v>
      </c>
      <c r="G4">
        <v>8</v>
      </c>
      <c r="H4">
        <f>H2*(1/24)*(1/3600)</f>
        <v>4.8611111111111105E-6</v>
      </c>
      <c r="J4" t="s">
        <v>40</v>
      </c>
      <c r="K4">
        <f>H4*K2</f>
        <v>3.5631944444444442E-5</v>
      </c>
    </row>
    <row r="5" spans="1:11" x14ac:dyDescent="0.75">
      <c r="A5">
        <v>0</v>
      </c>
      <c r="B5">
        <v>4</v>
      </c>
      <c r="C5">
        <v>1</v>
      </c>
      <c r="D5">
        <v>0.67</v>
      </c>
      <c r="E5">
        <v>100</v>
      </c>
      <c r="J5" t="s">
        <v>36</v>
      </c>
      <c r="K5">
        <f>(K3/C5)*D5</f>
        <v>1.34E-4</v>
      </c>
    </row>
    <row r="6" spans="1:11" x14ac:dyDescent="0.75">
      <c r="J6" t="s">
        <v>47</v>
      </c>
      <c r="K6">
        <f>K5+K4</f>
        <v>1.6963194444444445E-4</v>
      </c>
    </row>
    <row r="7" spans="1:11" ht="15.5" thickBot="1" x14ac:dyDescent="0.9">
      <c r="E7" t="s">
        <v>49</v>
      </c>
      <c r="J7" s="10"/>
    </row>
    <row r="8" spans="1:11" ht="15.5" thickBot="1" x14ac:dyDescent="0.9">
      <c r="J8" s="11" t="s">
        <v>38</v>
      </c>
    </row>
    <row r="9" spans="1:11" x14ac:dyDescent="0.75">
      <c r="J9" t="s">
        <v>42</v>
      </c>
      <c r="K9">
        <f>$G$4-D4</f>
        <v>6</v>
      </c>
    </row>
    <row r="10" spans="1:11" x14ac:dyDescent="0.75">
      <c r="J10" t="s">
        <v>35</v>
      </c>
      <c r="K10">
        <f>$G$2*C4</f>
        <v>2E-3</v>
      </c>
    </row>
    <row r="11" spans="1:11" x14ac:dyDescent="0.75">
      <c r="J11" t="s">
        <v>40</v>
      </c>
      <c r="K11">
        <f>$H$4*K9</f>
        <v>2.9166666666666663E-5</v>
      </c>
    </row>
    <row r="12" spans="1:11" x14ac:dyDescent="0.75">
      <c r="J12" t="s">
        <v>36</v>
      </c>
      <c r="K12" t="e">
        <f>(K10/E4)*(E7-D4)</f>
        <v>#VALUE!</v>
      </c>
    </row>
    <row r="13" spans="1:11" x14ac:dyDescent="0.75">
      <c r="J13" t="s">
        <v>48</v>
      </c>
      <c r="K13">
        <f>K6</f>
        <v>1.6963194444444445E-4</v>
      </c>
    </row>
    <row r="14" spans="1:11" x14ac:dyDescent="0.75">
      <c r="J14" t="s">
        <v>47</v>
      </c>
      <c r="K14" t="e">
        <f>K13+K12+K11</f>
        <v>#VALUE!</v>
      </c>
    </row>
    <row r="15" spans="1:11" ht="15.5" thickBot="1" x14ac:dyDescent="0.9"/>
    <row r="16" spans="1:11" ht="15.5" thickBot="1" x14ac:dyDescent="0.9">
      <c r="J16" s="11" t="s">
        <v>39</v>
      </c>
    </row>
    <row r="17" spans="10:11" x14ac:dyDescent="0.75">
      <c r="J17" t="s">
        <v>42</v>
      </c>
      <c r="K17">
        <f>$G$4-D3</f>
        <v>4</v>
      </c>
    </row>
    <row r="18" spans="10:11" x14ac:dyDescent="0.75">
      <c r="J18" t="s">
        <v>35</v>
      </c>
      <c r="K18">
        <f>$G$2*C3</f>
        <v>1.2E-2</v>
      </c>
    </row>
    <row r="19" spans="10:11" x14ac:dyDescent="0.75">
      <c r="J19" t="s">
        <v>40</v>
      </c>
      <c r="K19">
        <f>$H$4*K17</f>
        <v>1.9444444444444442E-5</v>
      </c>
    </row>
    <row r="20" spans="10:11" x14ac:dyDescent="0.75">
      <c r="J20" t="s">
        <v>36</v>
      </c>
      <c r="K20" t="e">
        <f>(K18/E3)*(E7-D3)</f>
        <v>#VALUE!</v>
      </c>
    </row>
    <row r="21" spans="10:11" x14ac:dyDescent="0.75">
      <c r="J21" t="s">
        <v>48</v>
      </c>
      <c r="K21" t="e">
        <f>K14</f>
        <v>#VALUE!</v>
      </c>
    </row>
    <row r="22" spans="10:11" x14ac:dyDescent="0.75">
      <c r="J22" t="s">
        <v>47</v>
      </c>
      <c r="K22" t="e">
        <f>K21+K20+K19</f>
        <v>#VALUE!</v>
      </c>
    </row>
    <row r="23" spans="10:11" ht="15.5" thickBot="1" x14ac:dyDescent="0.9"/>
    <row r="24" spans="10:11" ht="15.5" thickBot="1" x14ac:dyDescent="0.9">
      <c r="J24" s="11" t="s">
        <v>50</v>
      </c>
    </row>
    <row r="25" spans="10:11" x14ac:dyDescent="0.75">
      <c r="J25" t="s">
        <v>42</v>
      </c>
      <c r="K25">
        <f>$G$4-D2</f>
        <v>2</v>
      </c>
    </row>
    <row r="26" spans="10:11" x14ac:dyDescent="0.75">
      <c r="J26" t="s">
        <v>35</v>
      </c>
      <c r="K26">
        <f>$G$2*C2</f>
        <v>1.8000000000000002E-2</v>
      </c>
    </row>
    <row r="27" spans="10:11" x14ac:dyDescent="0.75">
      <c r="J27" t="s">
        <v>40</v>
      </c>
      <c r="K27">
        <f>$H$4*K25</f>
        <v>9.722222222222221E-6</v>
      </c>
    </row>
    <row r="28" spans="10:11" x14ac:dyDescent="0.75">
      <c r="J28" t="s">
        <v>36</v>
      </c>
      <c r="K28" t="e">
        <f>(K26/E2)*(E7-D2)</f>
        <v>#VALUE!</v>
      </c>
    </row>
    <row r="29" spans="10:11" x14ac:dyDescent="0.75">
      <c r="J29" t="s">
        <v>48</v>
      </c>
      <c r="K29" t="e">
        <f>K22</f>
        <v>#VALUE!</v>
      </c>
    </row>
    <row r="30" spans="10:11" x14ac:dyDescent="0.75">
      <c r="J30" t="s">
        <v>47</v>
      </c>
      <c r="K30" t="e">
        <f>K29+K28+K27</f>
        <v>#VALUE!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5E58-BD10-4113-A538-64E594317AC5}">
  <dimension ref="A1:T19"/>
  <sheetViews>
    <sheetView topLeftCell="E1" workbookViewId="0">
      <selection activeCell="P1" sqref="P1"/>
    </sheetView>
  </sheetViews>
  <sheetFormatPr defaultRowHeight="14.75" x14ac:dyDescent="0.75"/>
  <cols>
    <col min="1" max="1" width="10.2265625" bestFit="1" customWidth="1"/>
    <col min="12" max="15" width="10.2265625" bestFit="1" customWidth="1"/>
    <col min="16" max="16" width="11.6328125" bestFit="1" customWidth="1"/>
    <col min="17" max="17" width="10.2265625" bestFit="1" customWidth="1"/>
    <col min="20" max="20" width="9.2265625" bestFit="1" customWidth="1"/>
  </cols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L1" s="1">
        <v>45727</v>
      </c>
      <c r="M1" s="1">
        <v>45708</v>
      </c>
      <c r="N1" s="1">
        <v>45638</v>
      </c>
      <c r="O1" s="1">
        <v>45554</v>
      </c>
      <c r="P1" t="s">
        <v>6</v>
      </c>
      <c r="Q1" t="s">
        <v>5</v>
      </c>
      <c r="R1" t="s">
        <v>18</v>
      </c>
    </row>
    <row r="2" spans="1:20" x14ac:dyDescent="0.75">
      <c r="A2" s="1">
        <v>45554</v>
      </c>
      <c r="B2" t="s">
        <v>16</v>
      </c>
      <c r="C2" t="s">
        <v>9</v>
      </c>
      <c r="D2">
        <v>1.2</v>
      </c>
      <c r="E2">
        <v>3.57</v>
      </c>
      <c r="F2">
        <v>904.88</v>
      </c>
      <c r="G2">
        <v>19268200</v>
      </c>
      <c r="H2">
        <v>100.03049449091</v>
      </c>
      <c r="J2" t="s">
        <v>16</v>
      </c>
      <c r="K2" t="s">
        <v>15</v>
      </c>
      <c r="L2">
        <v>6.37</v>
      </c>
      <c r="M2">
        <v>7.22</v>
      </c>
      <c r="P2">
        <v>19864100</v>
      </c>
      <c r="Q2">
        <v>0</v>
      </c>
      <c r="R2">
        <f>P2/$P$2</f>
        <v>1</v>
      </c>
    </row>
    <row r="3" spans="1:20" x14ac:dyDescent="0.75">
      <c r="A3" s="1">
        <v>45554</v>
      </c>
      <c r="B3" t="s">
        <v>16</v>
      </c>
      <c r="C3" t="s">
        <v>8</v>
      </c>
      <c r="D3">
        <v>0.38</v>
      </c>
      <c r="E3">
        <v>3.76</v>
      </c>
      <c r="F3">
        <v>2002.8</v>
      </c>
      <c r="G3">
        <v>5821280</v>
      </c>
      <c r="H3">
        <v>100.03049449091</v>
      </c>
      <c r="J3" t="s">
        <v>16</v>
      </c>
      <c r="K3" t="s">
        <v>9</v>
      </c>
      <c r="L3">
        <v>3.77</v>
      </c>
      <c r="M3">
        <v>4.9000000000000004</v>
      </c>
      <c r="N3">
        <v>4.0599999999999996</v>
      </c>
      <c r="O3">
        <v>1.2</v>
      </c>
      <c r="P3">
        <v>19268200</v>
      </c>
      <c r="Q3">
        <v>904.88</v>
      </c>
      <c r="R3">
        <f t="shared" ref="R3:R6" si="0">P3/$P$2</f>
        <v>0.97000115786771113</v>
      </c>
    </row>
    <row r="4" spans="1:20" x14ac:dyDescent="0.75">
      <c r="A4" s="1">
        <v>45554</v>
      </c>
      <c r="B4" t="s">
        <v>16</v>
      </c>
      <c r="C4" t="s">
        <v>10</v>
      </c>
      <c r="D4">
        <v>0.36</v>
      </c>
      <c r="E4">
        <v>3.81</v>
      </c>
      <c r="F4">
        <v>3140.96</v>
      </c>
      <c r="G4">
        <v>1960760</v>
      </c>
      <c r="H4">
        <v>100.03049449091</v>
      </c>
      <c r="J4" t="s">
        <v>16</v>
      </c>
      <c r="K4" t="s">
        <v>8</v>
      </c>
      <c r="L4">
        <v>3.04</v>
      </c>
      <c r="M4">
        <v>3.16</v>
      </c>
      <c r="N4">
        <v>3.7</v>
      </c>
      <c r="O4">
        <v>0.38</v>
      </c>
      <c r="P4">
        <v>5821280</v>
      </c>
      <c r="Q4">
        <v>2002.8</v>
      </c>
      <c r="R4">
        <f t="shared" si="0"/>
        <v>0.29305531083713837</v>
      </c>
    </row>
    <row r="5" spans="1:20" x14ac:dyDescent="0.75">
      <c r="A5" s="1">
        <v>45554</v>
      </c>
      <c r="B5" t="s">
        <v>16</v>
      </c>
      <c r="C5" t="s">
        <v>11</v>
      </c>
      <c r="F5">
        <v>8475.9599999999991</v>
      </c>
      <c r="G5">
        <v>262193</v>
      </c>
      <c r="H5">
        <v>100.03049449091</v>
      </c>
      <c r="J5" t="s">
        <v>16</v>
      </c>
      <c r="K5" t="s">
        <v>10</v>
      </c>
      <c r="L5">
        <v>1.99</v>
      </c>
      <c r="M5">
        <v>1.52</v>
      </c>
      <c r="N5">
        <v>3.04</v>
      </c>
      <c r="O5">
        <v>0.36</v>
      </c>
      <c r="P5">
        <v>1960760</v>
      </c>
      <c r="Q5">
        <v>3140.96</v>
      </c>
      <c r="R5">
        <f t="shared" si="0"/>
        <v>9.8708725791754978E-2</v>
      </c>
    </row>
    <row r="6" spans="1:20" x14ac:dyDescent="0.75">
      <c r="A6" s="3">
        <v>45638</v>
      </c>
      <c r="B6" s="4" t="s">
        <v>16</v>
      </c>
      <c r="C6" s="4" t="s">
        <v>9</v>
      </c>
      <c r="D6" s="4">
        <v>4.0599999999999996</v>
      </c>
      <c r="E6" s="4">
        <v>3.6</v>
      </c>
      <c r="F6" s="4">
        <v>904.88</v>
      </c>
      <c r="G6" s="4">
        <v>19268200</v>
      </c>
      <c r="H6" s="4">
        <v>5.30642319963549</v>
      </c>
      <c r="J6" t="s">
        <v>16</v>
      </c>
      <c r="K6" t="s">
        <v>11</v>
      </c>
      <c r="L6">
        <v>8.9</v>
      </c>
      <c r="M6">
        <v>1.1100000000000001</v>
      </c>
      <c r="N6">
        <v>2.54</v>
      </c>
      <c r="P6">
        <v>262193</v>
      </c>
      <c r="Q6">
        <v>8475.9599999999991</v>
      </c>
      <c r="R6">
        <f t="shared" si="0"/>
        <v>1.319933951198393E-2</v>
      </c>
    </row>
    <row r="7" spans="1:20" x14ac:dyDescent="0.75">
      <c r="A7" s="3">
        <v>45638</v>
      </c>
      <c r="B7" s="4" t="s">
        <v>16</v>
      </c>
      <c r="C7" s="4" t="s">
        <v>8</v>
      </c>
      <c r="D7" s="4">
        <v>3.7</v>
      </c>
      <c r="E7" s="4">
        <v>4.0199999999999996</v>
      </c>
      <c r="F7" s="4">
        <v>2002.8</v>
      </c>
      <c r="G7" s="4">
        <v>5821280</v>
      </c>
      <c r="H7" s="4">
        <v>5.30642319963549</v>
      </c>
    </row>
    <row r="8" spans="1:20" x14ac:dyDescent="0.75">
      <c r="A8" s="3">
        <v>45638</v>
      </c>
      <c r="B8" s="4" t="s">
        <v>16</v>
      </c>
      <c r="C8" s="4" t="s">
        <v>10</v>
      </c>
      <c r="D8" s="4">
        <v>3.04</v>
      </c>
      <c r="E8" s="4">
        <v>4.5199999999999996</v>
      </c>
      <c r="F8" s="4">
        <v>3140.96</v>
      </c>
      <c r="G8" s="4">
        <v>1960760</v>
      </c>
      <c r="H8" s="4">
        <v>5.30642319963549</v>
      </c>
      <c r="J8" t="s">
        <v>21</v>
      </c>
      <c r="K8" t="s">
        <v>26</v>
      </c>
      <c r="M8" t="s">
        <v>21</v>
      </c>
      <c r="N8" s="6" t="s">
        <v>23</v>
      </c>
      <c r="P8" t="s">
        <v>21</v>
      </c>
      <c r="Q8" s="2" t="s">
        <v>24</v>
      </c>
      <c r="S8" t="s">
        <v>21</v>
      </c>
      <c r="T8" s="6" t="s">
        <v>25</v>
      </c>
    </row>
    <row r="9" spans="1:20" x14ac:dyDescent="0.75">
      <c r="A9" s="3">
        <v>45638</v>
      </c>
      <c r="B9" s="4" t="s">
        <v>16</v>
      </c>
      <c r="C9" s="4" t="s">
        <v>11</v>
      </c>
      <c r="D9" s="4">
        <v>2.54</v>
      </c>
      <c r="E9" s="4">
        <v>4.5599999999999996</v>
      </c>
      <c r="F9" s="4">
        <v>8475.9599999999991</v>
      </c>
      <c r="G9" s="4">
        <v>262193</v>
      </c>
      <c r="H9" s="4">
        <v>5.30642319963549</v>
      </c>
      <c r="I9" t="s">
        <v>15</v>
      </c>
      <c r="J9">
        <f>$R2*$H$2</f>
        <v>100.03049449091</v>
      </c>
      <c r="M9">
        <f>$R2*$H$6</f>
        <v>5.30642319963549</v>
      </c>
      <c r="P9">
        <f>$R2*$H$10</f>
        <v>37.743591811441398</v>
      </c>
      <c r="Q9">
        <v>7.22</v>
      </c>
      <c r="S9">
        <f>$R2*$H$15</f>
        <v>68.679981822201199</v>
      </c>
      <c r="T9">
        <v>6.37</v>
      </c>
    </row>
    <row r="10" spans="1:20" x14ac:dyDescent="0.75">
      <c r="A10" s="1">
        <v>45708</v>
      </c>
      <c r="B10" t="s">
        <v>16</v>
      </c>
      <c r="C10" t="s">
        <v>15</v>
      </c>
      <c r="D10">
        <v>7.22</v>
      </c>
      <c r="E10">
        <v>3.71</v>
      </c>
      <c r="F10">
        <v>0</v>
      </c>
      <c r="G10">
        <v>19864100</v>
      </c>
      <c r="H10">
        <v>37.743591811441398</v>
      </c>
      <c r="I10" t="s">
        <v>9</v>
      </c>
      <c r="J10">
        <f t="shared" ref="J10:J13" si="1">$R3*$H$2</f>
        <v>97.029695478262397</v>
      </c>
      <c r="K10">
        <v>1.2</v>
      </c>
      <c r="M10">
        <f t="shared" ref="M10:M13" si="2">$R3*$H$6</f>
        <v>5.1472366477825098</v>
      </c>
      <c r="N10">
        <v>4.0599999999999996</v>
      </c>
      <c r="P10">
        <f t="shared" ref="P10:P12" si="3">$R3*$H$10</f>
        <v>36.61132775918442</v>
      </c>
      <c r="Q10">
        <v>4.9000000000000004</v>
      </c>
      <c r="S10">
        <f t="shared" ref="S10:S13" si="4">$R3*$H$15</f>
        <v>66.61966188986851</v>
      </c>
      <c r="T10">
        <v>3.77</v>
      </c>
    </row>
    <row r="11" spans="1:20" x14ac:dyDescent="0.75">
      <c r="A11" s="1">
        <v>45708</v>
      </c>
      <c r="B11" t="s">
        <v>16</v>
      </c>
      <c r="C11" t="s">
        <v>9</v>
      </c>
      <c r="D11">
        <v>4.9000000000000004</v>
      </c>
      <c r="E11">
        <v>3.73</v>
      </c>
      <c r="F11">
        <v>904.88</v>
      </c>
      <c r="G11">
        <v>19268200</v>
      </c>
      <c r="H11">
        <v>37.743591811441398</v>
      </c>
      <c r="I11" t="s">
        <v>8</v>
      </c>
      <c r="J11">
        <f t="shared" si="1"/>
        <v>29.314467656226288</v>
      </c>
      <c r="K11">
        <v>0.38</v>
      </c>
      <c r="M11">
        <f t="shared" si="2"/>
        <v>1.5550755002025809</v>
      </c>
      <c r="N11">
        <v>3.7</v>
      </c>
      <c r="P11">
        <f t="shared" si="3"/>
        <v>11.06096003041203</v>
      </c>
      <c r="Q11">
        <v>3.16</v>
      </c>
      <c r="S11">
        <f t="shared" si="4"/>
        <v>20.127033421194184</v>
      </c>
      <c r="T11">
        <v>3.04</v>
      </c>
    </row>
    <row r="12" spans="1:20" x14ac:dyDescent="0.75">
      <c r="A12" s="1">
        <v>45708</v>
      </c>
      <c r="B12" t="s">
        <v>16</v>
      </c>
      <c r="C12" t="s">
        <v>8</v>
      </c>
      <c r="D12">
        <v>3.16</v>
      </c>
      <c r="E12">
        <v>3.86</v>
      </c>
      <c r="F12">
        <v>2002.8</v>
      </c>
      <c r="G12">
        <v>5821280</v>
      </c>
      <c r="H12">
        <v>37.743591811441398</v>
      </c>
      <c r="I12" t="s">
        <v>10</v>
      </c>
      <c r="J12">
        <f t="shared" si="1"/>
        <v>9.873882651516892</v>
      </c>
      <c r="K12">
        <v>0.36</v>
      </c>
      <c r="M12">
        <f t="shared" si="2"/>
        <v>0.52379027254782662</v>
      </c>
      <c r="N12">
        <v>3.04</v>
      </c>
      <c r="P12">
        <f t="shared" si="3"/>
        <v>3.7256218545114974</v>
      </c>
      <c r="Q12">
        <v>1.52</v>
      </c>
      <c r="S12">
        <f t="shared" si="4"/>
        <v>6.7793134930703749</v>
      </c>
      <c r="T12">
        <v>1.99</v>
      </c>
    </row>
    <row r="13" spans="1:20" x14ac:dyDescent="0.75">
      <c r="A13" s="1">
        <v>45708</v>
      </c>
      <c r="B13" t="s">
        <v>16</v>
      </c>
      <c r="C13" t="s">
        <v>10</v>
      </c>
      <c r="D13">
        <v>1.52</v>
      </c>
      <c r="E13">
        <v>3.97</v>
      </c>
      <c r="F13">
        <v>3140.96</v>
      </c>
      <c r="G13">
        <v>1960760</v>
      </c>
      <c r="H13">
        <v>37.743591811441398</v>
      </c>
      <c r="I13" t="s">
        <v>11</v>
      </c>
      <c r="J13">
        <f t="shared" si="1"/>
        <v>1.3203364583371593</v>
      </c>
      <c r="M13">
        <f t="shared" si="2"/>
        <v>7.0041281406256914E-2</v>
      </c>
      <c r="N13">
        <v>2.54</v>
      </c>
      <c r="P13">
        <f>$R6*$H$10</f>
        <v>0.49819048272095157</v>
      </c>
      <c r="Q13">
        <v>1.1100000000000001</v>
      </c>
      <c r="S13">
        <f t="shared" si="4"/>
        <v>0.90653039774811839</v>
      </c>
    </row>
    <row r="14" spans="1:20" x14ac:dyDescent="0.75">
      <c r="A14" s="1">
        <v>45708</v>
      </c>
      <c r="B14" t="s">
        <v>16</v>
      </c>
      <c r="C14" t="s">
        <v>11</v>
      </c>
      <c r="D14">
        <v>1.1100000000000001</v>
      </c>
      <c r="E14">
        <v>5.44</v>
      </c>
      <c r="F14">
        <v>8475.9599999999991</v>
      </c>
      <c r="G14">
        <v>262193</v>
      </c>
      <c r="H14">
        <v>37.743591811441398</v>
      </c>
    </row>
    <row r="15" spans="1:20" x14ac:dyDescent="0.75">
      <c r="A15" s="3">
        <v>45727</v>
      </c>
      <c r="B15" s="4" t="s">
        <v>16</v>
      </c>
      <c r="C15" s="4" t="s">
        <v>15</v>
      </c>
      <c r="D15" s="4">
        <v>6.37</v>
      </c>
      <c r="E15" s="4">
        <v>3.53</v>
      </c>
      <c r="F15" s="4">
        <v>0</v>
      </c>
      <c r="G15" s="4">
        <v>19864100</v>
      </c>
      <c r="H15" s="4">
        <v>68.679981822201199</v>
      </c>
    </row>
    <row r="16" spans="1:20" x14ac:dyDescent="0.75">
      <c r="A16" s="3">
        <v>45727</v>
      </c>
      <c r="B16" s="4" t="s">
        <v>16</v>
      </c>
      <c r="C16" s="4" t="s">
        <v>9</v>
      </c>
      <c r="D16" s="4">
        <v>3.77</v>
      </c>
      <c r="E16" s="4">
        <v>3.54</v>
      </c>
      <c r="F16" s="4">
        <v>904.88</v>
      </c>
      <c r="G16" s="4">
        <v>19268200</v>
      </c>
      <c r="H16" s="4">
        <v>68.679981822201199</v>
      </c>
    </row>
    <row r="17" spans="1:8" x14ac:dyDescent="0.75">
      <c r="A17" s="3">
        <v>45727</v>
      </c>
      <c r="B17" s="4" t="s">
        <v>16</v>
      </c>
      <c r="C17" s="4" t="s">
        <v>8</v>
      </c>
      <c r="D17" s="4">
        <v>3.04</v>
      </c>
      <c r="E17" s="4">
        <v>3.72</v>
      </c>
      <c r="F17" s="4">
        <v>2002.8</v>
      </c>
      <c r="G17" s="4">
        <v>5821280</v>
      </c>
      <c r="H17" s="4">
        <v>68.679981822201199</v>
      </c>
    </row>
    <row r="18" spans="1:8" x14ac:dyDescent="0.75">
      <c r="A18" s="3">
        <v>45727</v>
      </c>
      <c r="B18" s="4" t="s">
        <v>16</v>
      </c>
      <c r="C18" s="4" t="s">
        <v>10</v>
      </c>
      <c r="D18" s="4">
        <v>1.99</v>
      </c>
      <c r="E18" s="4">
        <v>3.61</v>
      </c>
      <c r="F18" s="4">
        <v>3140.96</v>
      </c>
      <c r="G18" s="4">
        <v>1960760</v>
      </c>
      <c r="H18" s="4">
        <v>68.679981822201199</v>
      </c>
    </row>
    <row r="19" spans="1:8" x14ac:dyDescent="0.75">
      <c r="A19" s="3">
        <v>45727</v>
      </c>
      <c r="B19" s="4" t="s">
        <v>16</v>
      </c>
      <c r="C19" s="4" t="s">
        <v>11</v>
      </c>
      <c r="D19" s="4">
        <v>8.9</v>
      </c>
      <c r="E19" s="4">
        <v>5.89</v>
      </c>
      <c r="F19" s="4">
        <v>8475.9599999999991</v>
      </c>
      <c r="G19" s="4">
        <v>262193</v>
      </c>
      <c r="H19" s="4">
        <v>68.679981822201199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</vt:lpstr>
      <vt:lpstr>6</vt:lpstr>
      <vt:lpstr>5</vt:lpstr>
      <vt:lpstr>Transport Model</vt:lpstr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19126</dc:creator>
  <cp:lastModifiedBy>Howley,Samantha T</cp:lastModifiedBy>
  <dcterms:created xsi:type="dcterms:W3CDTF">2025-06-04T10:17:11Z</dcterms:created>
  <dcterms:modified xsi:type="dcterms:W3CDTF">2025-06-11T14:36:45Z</dcterms:modified>
</cp:coreProperties>
</file>