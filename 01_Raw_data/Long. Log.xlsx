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Howley_Bradford_Streams\Howley_Bradford_Streams\01_Raw_data\"/>
    </mc:Choice>
  </mc:AlternateContent>
  <xr:revisionPtr revIDLastSave="0" documentId="13_ncr:1_{0B28B00C-E4B3-4E80-B3C2-F380B7F01D5E}" xr6:coauthVersionLast="47" xr6:coauthVersionMax="47" xr10:uidLastSave="{00000000-0000-0000-0000-000000000000}"/>
  <bookViews>
    <workbookView xWindow="-120" yWindow="-120" windowWidth="29040" windowHeight="15720" activeTab="1" xr2:uid="{64D2FBDD-F42D-4992-8C84-743158C68750}"/>
  </bookViews>
  <sheets>
    <sheet name="Long. Log" sheetId="1" r:id="rId1"/>
    <sheet name="dim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4" i="2" l="1"/>
  <c r="E15" i="2"/>
  <c r="E16" i="2"/>
  <c r="E17" i="2"/>
  <c r="E13" i="2"/>
  <c r="E3" i="2"/>
  <c r="E4" i="2"/>
  <c r="E5" i="2"/>
  <c r="E6" i="2"/>
  <c r="E2" i="2"/>
  <c r="E12" i="2"/>
  <c r="E11" i="2"/>
  <c r="E7" i="2"/>
  <c r="E8" i="2"/>
  <c r="E9" i="2"/>
  <c r="E10" i="2"/>
</calcChain>
</file>

<file path=xl/sharedStrings.xml><?xml version="1.0" encoding="utf-8"?>
<sst xmlns="http://schemas.openxmlformats.org/spreadsheetml/2006/main" count="26" uniqueCount="20">
  <si>
    <t>Site</t>
  </si>
  <si>
    <t>ID</t>
  </si>
  <si>
    <t>Visited</t>
  </si>
  <si>
    <t>Time</t>
  </si>
  <si>
    <t>pH</t>
  </si>
  <si>
    <t>DO</t>
  </si>
  <si>
    <t>Temp</t>
  </si>
  <si>
    <t>SpC</t>
  </si>
  <si>
    <t>TDS</t>
  </si>
  <si>
    <t>X</t>
  </si>
  <si>
    <t>Y</t>
  </si>
  <si>
    <t>9.Sam</t>
  </si>
  <si>
    <t>*</t>
  </si>
  <si>
    <t>distance</t>
  </si>
  <si>
    <t>Y_04.2025</t>
  </si>
  <si>
    <t>X_04.2025</t>
  </si>
  <si>
    <t>RASTERVALU_04.2025</t>
  </si>
  <si>
    <t>Q_fraction_04.2025</t>
  </si>
  <si>
    <t>X_07.2025</t>
  </si>
  <si>
    <t>Y_07.2025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</si>
</sst>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20" fontId="0" fillId="0" borderId="0" xfId="0" applyNumberFormat="1"/>
    <xf numFmtId="49" fontId="0" fillId="0" borderId="0" xfId="0" applyNumberFormat="1"/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dims!$C$2:$C$6</c:f>
              <c:numCache>
                <c:formatCode>General</c:formatCode>
                <c:ptCount val="5"/>
                <c:pt idx="0">
                  <c:v>0</c:v>
                </c:pt>
                <c:pt idx="1">
                  <c:v>1267.3699999999999</c:v>
                </c:pt>
                <c:pt idx="2">
                  <c:v>2467.91</c:v>
                </c:pt>
                <c:pt idx="3">
                  <c:v>4497.8599999999997</c:v>
                </c:pt>
                <c:pt idx="4">
                  <c:v>6130.37</c:v>
                </c:pt>
              </c:numCache>
            </c:numRef>
          </c:xVal>
          <c:yVal>
            <c:numRef>
              <c:f>dims!$D$2:$D$6</c:f>
              <c:numCache>
                <c:formatCode>General</c:formatCode>
                <c:ptCount val="5"/>
                <c:pt idx="0">
                  <c:v>17795000</c:v>
                </c:pt>
                <c:pt idx="1">
                  <c:v>14519100</c:v>
                </c:pt>
                <c:pt idx="2">
                  <c:v>10249400</c:v>
                </c:pt>
                <c:pt idx="3">
                  <c:v>1812340</c:v>
                </c:pt>
                <c:pt idx="4">
                  <c:v>138375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0E7-49AA-9E39-EC01FEECDA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2168704"/>
        <c:axId val="232169184"/>
      </c:scatterChart>
      <c:valAx>
        <c:axId val="2321687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2169184"/>
        <c:crosses val="autoZero"/>
        <c:crossBetween val="midCat"/>
      </c:valAx>
      <c:valAx>
        <c:axId val="232169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21687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6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dims!$C$7:$C$12</c:f>
              <c:numCache>
                <c:formatCode>General</c:formatCode>
                <c:ptCount val="6"/>
                <c:pt idx="0">
                  <c:v>9149.2199999999993</c:v>
                </c:pt>
                <c:pt idx="1">
                  <c:v>7836.22</c:v>
                </c:pt>
                <c:pt idx="2">
                  <c:v>5594.22</c:v>
                </c:pt>
                <c:pt idx="3">
                  <c:v>4518.92</c:v>
                </c:pt>
                <c:pt idx="4">
                  <c:v>390.63</c:v>
                </c:pt>
                <c:pt idx="5">
                  <c:v>0</c:v>
                </c:pt>
              </c:numCache>
            </c:numRef>
          </c:xVal>
          <c:yVal>
            <c:numRef>
              <c:f>dims!$D$7:$D$12</c:f>
              <c:numCache>
                <c:formatCode>General</c:formatCode>
                <c:ptCount val="6"/>
                <c:pt idx="0">
                  <c:v>9204</c:v>
                </c:pt>
                <c:pt idx="1">
                  <c:v>1355500</c:v>
                </c:pt>
                <c:pt idx="2">
                  <c:v>1139580</c:v>
                </c:pt>
                <c:pt idx="3">
                  <c:v>3131520</c:v>
                </c:pt>
                <c:pt idx="4">
                  <c:v>26276900</c:v>
                </c:pt>
                <c:pt idx="5">
                  <c:v>26315900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B08-4A5D-83DB-39468D1008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2168704"/>
        <c:axId val="232169184"/>
      </c:scatterChart>
      <c:valAx>
        <c:axId val="2321687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2169184"/>
        <c:crosses val="autoZero"/>
        <c:crossBetween val="midCat"/>
      </c:valAx>
      <c:valAx>
        <c:axId val="232169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21687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9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dims!$C$13:$C$17</c:f>
              <c:numCache>
                <c:formatCode>General</c:formatCode>
                <c:ptCount val="5"/>
                <c:pt idx="0">
                  <c:v>0</c:v>
                </c:pt>
                <c:pt idx="1">
                  <c:v>904.88</c:v>
                </c:pt>
                <c:pt idx="2">
                  <c:v>2002.8</c:v>
                </c:pt>
                <c:pt idx="3">
                  <c:v>3140.96</c:v>
                </c:pt>
                <c:pt idx="4">
                  <c:v>8475.9599999999991</c:v>
                </c:pt>
              </c:numCache>
            </c:numRef>
          </c:xVal>
          <c:yVal>
            <c:numRef>
              <c:f>dims!$D$13:$D$17</c:f>
              <c:numCache>
                <c:formatCode>General</c:formatCode>
                <c:ptCount val="5"/>
                <c:pt idx="0">
                  <c:v>19864100</c:v>
                </c:pt>
                <c:pt idx="1">
                  <c:v>19268200</c:v>
                </c:pt>
                <c:pt idx="2">
                  <c:v>5821280</c:v>
                </c:pt>
                <c:pt idx="3">
                  <c:v>1960760</c:v>
                </c:pt>
                <c:pt idx="4">
                  <c:v>262193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ABA-4836-8A52-D6A5282D9E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2168704"/>
        <c:axId val="232169184"/>
      </c:scatterChart>
      <c:valAx>
        <c:axId val="2321687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2169184"/>
        <c:crosses val="autoZero"/>
        <c:crossBetween val="midCat"/>
      </c:valAx>
      <c:valAx>
        <c:axId val="232169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21687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76200</xdr:colOff>
      <xdr:row>1</xdr:row>
      <xdr:rowOff>14287</xdr:rowOff>
    </xdr:from>
    <xdr:to>
      <xdr:col>16</xdr:col>
      <xdr:colOff>381000</xdr:colOff>
      <xdr:row>15</xdr:row>
      <xdr:rowOff>90487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9B178BE-360F-DCE1-F134-8F0E345717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85725</xdr:colOff>
      <xdr:row>15</xdr:row>
      <xdr:rowOff>171450</xdr:rowOff>
    </xdr:from>
    <xdr:to>
      <xdr:col>16</xdr:col>
      <xdr:colOff>390525</xdr:colOff>
      <xdr:row>30</xdr:row>
      <xdr:rowOff>57150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4FE5783-8D43-4874-B672-0836A7A96E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466725</xdr:colOff>
      <xdr:row>7</xdr:row>
      <xdr:rowOff>28575</xdr:rowOff>
    </xdr:from>
    <xdr:to>
      <xdr:col>24</xdr:col>
      <xdr:colOff>161925</xdr:colOff>
      <xdr:row>21</xdr:row>
      <xdr:rowOff>104775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938CB04-3014-4609-BC3B-5AF4D1B61D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46461-839F-424C-AB60-C569389E6220}">
  <dimension ref="A1:K85"/>
  <sheetViews>
    <sheetView workbookViewId="0">
      <selection activeCell="A38" sqref="A38:B60"/>
    </sheetView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9.1</v>
      </c>
      <c r="B2">
        <v>9</v>
      </c>
      <c r="C2" s="1">
        <v>45505</v>
      </c>
      <c r="E2">
        <v>3.71</v>
      </c>
    </row>
    <row r="3" spans="1:11" x14ac:dyDescent="0.25">
      <c r="A3">
        <v>9.1999999999999993</v>
      </c>
      <c r="B3">
        <v>9</v>
      </c>
      <c r="C3" s="1">
        <v>45505</v>
      </c>
      <c r="E3">
        <v>3.41</v>
      </c>
    </row>
    <row r="4" spans="1:11" x14ac:dyDescent="0.25">
      <c r="A4">
        <v>9.3000000000000007</v>
      </c>
      <c r="B4">
        <v>9</v>
      </c>
      <c r="C4" s="1">
        <v>45505</v>
      </c>
    </row>
    <row r="5" spans="1:11" x14ac:dyDescent="0.25">
      <c r="A5">
        <v>9.4</v>
      </c>
      <c r="B5">
        <v>9</v>
      </c>
      <c r="C5" s="1">
        <v>45505</v>
      </c>
      <c r="E5">
        <v>3.36</v>
      </c>
    </row>
    <row r="6" spans="1:11" x14ac:dyDescent="0.25">
      <c r="A6">
        <v>9.5</v>
      </c>
      <c r="B6">
        <v>9</v>
      </c>
      <c r="C6" s="1">
        <v>45505</v>
      </c>
      <c r="E6">
        <v>3.39</v>
      </c>
    </row>
    <row r="7" spans="1:11" x14ac:dyDescent="0.25">
      <c r="A7" t="s">
        <v>11</v>
      </c>
      <c r="B7">
        <v>9</v>
      </c>
      <c r="C7" s="1">
        <v>45505</v>
      </c>
      <c r="E7">
        <v>3.45</v>
      </c>
    </row>
    <row r="8" spans="1:11" x14ac:dyDescent="0.25">
      <c r="A8">
        <v>5.0999999999999996</v>
      </c>
      <c r="B8">
        <v>5</v>
      </c>
      <c r="C8" s="1">
        <v>45505</v>
      </c>
      <c r="E8">
        <v>3.46</v>
      </c>
    </row>
    <row r="9" spans="1:11" x14ac:dyDescent="0.25">
      <c r="A9">
        <v>5.2</v>
      </c>
      <c r="B9">
        <v>5</v>
      </c>
      <c r="C9" s="1">
        <v>45505</v>
      </c>
      <c r="E9">
        <v>3.17</v>
      </c>
    </row>
    <row r="10" spans="1:11" x14ac:dyDescent="0.25">
      <c r="A10">
        <v>5.3</v>
      </c>
      <c r="B10">
        <v>5</v>
      </c>
      <c r="C10" s="1">
        <v>45505</v>
      </c>
      <c r="E10">
        <v>3.6</v>
      </c>
    </row>
    <row r="11" spans="1:11" x14ac:dyDescent="0.25">
      <c r="A11">
        <v>5.4</v>
      </c>
      <c r="B11">
        <v>5</v>
      </c>
      <c r="C11" s="1">
        <v>45505</v>
      </c>
      <c r="E11">
        <v>3.86</v>
      </c>
      <c r="F11" t="s">
        <v>12</v>
      </c>
    </row>
    <row r="12" spans="1:11" x14ac:dyDescent="0.25">
      <c r="A12">
        <v>5.5</v>
      </c>
      <c r="B12">
        <v>5</v>
      </c>
      <c r="C12" s="1">
        <v>45505</v>
      </c>
      <c r="E12">
        <v>3.6</v>
      </c>
    </row>
    <row r="13" spans="1:11" x14ac:dyDescent="0.25">
      <c r="A13">
        <v>3.1</v>
      </c>
      <c r="B13">
        <v>6</v>
      </c>
      <c r="C13" s="1">
        <v>45554</v>
      </c>
      <c r="E13">
        <v>3.75</v>
      </c>
      <c r="F13">
        <v>0.81</v>
      </c>
      <c r="G13">
        <v>23.7</v>
      </c>
      <c r="H13">
        <v>123.6</v>
      </c>
      <c r="I13">
        <v>80</v>
      </c>
    </row>
    <row r="14" spans="1:11" x14ac:dyDescent="0.25">
      <c r="A14">
        <v>3.2</v>
      </c>
      <c r="B14">
        <v>6</v>
      </c>
      <c r="C14" s="1">
        <v>45554</v>
      </c>
      <c r="E14">
        <v>3.77</v>
      </c>
      <c r="F14">
        <v>0.56000000000000005</v>
      </c>
      <c r="G14">
        <v>23.8</v>
      </c>
      <c r="H14">
        <v>122</v>
      </c>
      <c r="I14">
        <v>79</v>
      </c>
    </row>
    <row r="15" spans="1:11" x14ac:dyDescent="0.25">
      <c r="A15">
        <v>3.3</v>
      </c>
      <c r="B15">
        <v>6</v>
      </c>
      <c r="C15" s="1">
        <v>45554</v>
      </c>
    </row>
    <row r="16" spans="1:11" x14ac:dyDescent="0.25">
      <c r="A16">
        <v>3.4</v>
      </c>
      <c r="B16">
        <v>6</v>
      </c>
      <c r="C16" s="1">
        <v>45554</v>
      </c>
      <c r="E16">
        <v>3.66</v>
      </c>
      <c r="F16">
        <v>1.22</v>
      </c>
      <c r="G16">
        <v>25</v>
      </c>
      <c r="H16">
        <v>133.4</v>
      </c>
      <c r="I16">
        <v>87</v>
      </c>
    </row>
    <row r="17" spans="1:9" x14ac:dyDescent="0.25">
      <c r="A17">
        <v>6.1</v>
      </c>
      <c r="B17">
        <v>6</v>
      </c>
      <c r="C17" s="1">
        <v>45554</v>
      </c>
      <c r="E17">
        <v>3.84</v>
      </c>
      <c r="F17">
        <v>1.29</v>
      </c>
      <c r="G17">
        <v>24.5</v>
      </c>
      <c r="H17">
        <v>111.7</v>
      </c>
      <c r="I17">
        <v>73</v>
      </c>
    </row>
    <row r="18" spans="1:9" x14ac:dyDescent="0.25">
      <c r="A18">
        <v>6.2</v>
      </c>
      <c r="B18">
        <v>6</v>
      </c>
      <c r="C18" s="1">
        <v>45554</v>
      </c>
      <c r="E18">
        <v>4.1399999999999997</v>
      </c>
      <c r="F18">
        <v>2.06</v>
      </c>
      <c r="G18">
        <v>24.4</v>
      </c>
      <c r="H18">
        <v>77.900000000000006</v>
      </c>
      <c r="I18">
        <v>51</v>
      </c>
    </row>
    <row r="19" spans="1:9" x14ac:dyDescent="0.25">
      <c r="A19">
        <v>6.3</v>
      </c>
      <c r="B19">
        <v>6</v>
      </c>
      <c r="C19" s="1">
        <v>45554</v>
      </c>
      <c r="E19">
        <v>4.21</v>
      </c>
      <c r="F19">
        <v>2.2999999999999998</v>
      </c>
      <c r="G19">
        <v>24.7</v>
      </c>
      <c r="H19">
        <v>77.8</v>
      </c>
      <c r="I19">
        <v>51</v>
      </c>
    </row>
    <row r="20" spans="1:9" x14ac:dyDescent="0.25">
      <c r="A20" t="s">
        <v>11</v>
      </c>
      <c r="B20">
        <v>9</v>
      </c>
      <c r="C20" s="1">
        <v>45554</v>
      </c>
      <c r="E20">
        <v>6.51</v>
      </c>
      <c r="F20">
        <v>5.96</v>
      </c>
      <c r="G20">
        <v>26.6</v>
      </c>
      <c r="H20">
        <v>92.2</v>
      </c>
      <c r="I20">
        <v>60</v>
      </c>
    </row>
    <row r="21" spans="1:9" x14ac:dyDescent="0.25">
      <c r="A21">
        <v>9.5</v>
      </c>
      <c r="B21">
        <v>9</v>
      </c>
      <c r="C21" s="1">
        <v>45554</v>
      </c>
      <c r="E21">
        <v>3.58</v>
      </c>
      <c r="F21">
        <v>3.56</v>
      </c>
      <c r="G21">
        <v>24.5</v>
      </c>
      <c r="H21">
        <v>146.6</v>
      </c>
      <c r="I21">
        <v>95</v>
      </c>
    </row>
    <row r="22" spans="1:9" x14ac:dyDescent="0.25">
      <c r="A22">
        <v>9.4</v>
      </c>
      <c r="B22">
        <v>9</v>
      </c>
      <c r="C22" s="1">
        <v>45554</v>
      </c>
      <c r="E22">
        <v>3.57</v>
      </c>
      <c r="F22">
        <v>1.2</v>
      </c>
      <c r="G22">
        <v>24.3</v>
      </c>
      <c r="H22">
        <v>148.1</v>
      </c>
      <c r="I22">
        <v>96</v>
      </c>
    </row>
    <row r="23" spans="1:9" x14ac:dyDescent="0.25">
      <c r="A23">
        <v>9.3000000000000007</v>
      </c>
      <c r="B23">
        <v>9</v>
      </c>
      <c r="C23" s="1">
        <v>45554</v>
      </c>
      <c r="E23">
        <v>3.76</v>
      </c>
      <c r="F23">
        <v>0.38</v>
      </c>
      <c r="G23">
        <v>24.4</v>
      </c>
      <c r="H23">
        <v>110.1</v>
      </c>
      <c r="I23">
        <v>72</v>
      </c>
    </row>
    <row r="24" spans="1:9" x14ac:dyDescent="0.25">
      <c r="A24">
        <v>9.1999999999999993</v>
      </c>
      <c r="B24">
        <v>9</v>
      </c>
      <c r="C24" s="1">
        <v>45554</v>
      </c>
      <c r="E24">
        <v>3.81</v>
      </c>
      <c r="F24">
        <v>0.36</v>
      </c>
      <c r="G24">
        <v>24.8</v>
      </c>
      <c r="H24">
        <v>103.5</v>
      </c>
      <c r="I24">
        <v>67</v>
      </c>
    </row>
    <row r="25" spans="1:9" x14ac:dyDescent="0.25">
      <c r="A25">
        <v>9.1</v>
      </c>
      <c r="B25">
        <v>9</v>
      </c>
      <c r="C25" s="1">
        <v>45554</v>
      </c>
    </row>
    <row r="26" spans="1:9" x14ac:dyDescent="0.25">
      <c r="A26">
        <v>5.0999999999999996</v>
      </c>
      <c r="B26">
        <v>5</v>
      </c>
      <c r="C26" s="1">
        <v>45554</v>
      </c>
      <c r="E26">
        <v>3.75</v>
      </c>
      <c r="F26">
        <v>0.6</v>
      </c>
      <c r="G26">
        <v>24.3</v>
      </c>
      <c r="H26">
        <v>123.4</v>
      </c>
      <c r="I26">
        <v>80</v>
      </c>
    </row>
    <row r="27" spans="1:9" x14ac:dyDescent="0.25">
      <c r="A27">
        <v>5.2</v>
      </c>
      <c r="B27">
        <v>5</v>
      </c>
      <c r="C27" s="1">
        <v>45554</v>
      </c>
      <c r="E27">
        <v>3.73</v>
      </c>
      <c r="F27">
        <v>0.67</v>
      </c>
      <c r="G27">
        <v>24.9</v>
      </c>
      <c r="H27">
        <v>108.3</v>
      </c>
      <c r="I27">
        <v>70</v>
      </c>
    </row>
    <row r="28" spans="1:9" x14ac:dyDescent="0.25">
      <c r="A28">
        <v>5.3</v>
      </c>
      <c r="B28">
        <v>5</v>
      </c>
      <c r="C28" s="1">
        <v>45554</v>
      </c>
      <c r="E28">
        <v>4.21</v>
      </c>
      <c r="F28">
        <v>2.68</v>
      </c>
      <c r="G28">
        <v>25</v>
      </c>
      <c r="H28">
        <v>78.400000000000006</v>
      </c>
      <c r="I28">
        <v>51</v>
      </c>
    </row>
    <row r="29" spans="1:9" x14ac:dyDescent="0.25">
      <c r="A29">
        <v>5.4</v>
      </c>
      <c r="B29">
        <v>5</v>
      </c>
      <c r="C29" s="1">
        <v>45554</v>
      </c>
      <c r="E29">
        <v>4.17</v>
      </c>
      <c r="F29">
        <v>4.01</v>
      </c>
      <c r="G29">
        <v>24.6</v>
      </c>
      <c r="H29">
        <v>75.8</v>
      </c>
      <c r="I29">
        <v>49</v>
      </c>
    </row>
    <row r="30" spans="1:9" x14ac:dyDescent="0.25">
      <c r="A30">
        <v>5.5</v>
      </c>
      <c r="B30">
        <v>5</v>
      </c>
      <c r="C30" s="1">
        <v>45554</v>
      </c>
      <c r="E30">
        <v>4.22</v>
      </c>
      <c r="F30">
        <v>5.52</v>
      </c>
      <c r="G30">
        <v>24.5</v>
      </c>
      <c r="H30">
        <v>73.400000000000006</v>
      </c>
      <c r="I30">
        <v>48</v>
      </c>
    </row>
    <row r="31" spans="1:9" x14ac:dyDescent="0.25">
      <c r="A31">
        <v>5.6</v>
      </c>
      <c r="B31">
        <v>5</v>
      </c>
      <c r="C31" s="1">
        <v>45554</v>
      </c>
      <c r="E31">
        <v>4.0599999999999996</v>
      </c>
      <c r="F31">
        <v>5.75</v>
      </c>
      <c r="G31">
        <v>28</v>
      </c>
      <c r="H31">
        <v>76.099999999999994</v>
      </c>
      <c r="I31">
        <v>49</v>
      </c>
    </row>
    <row r="32" spans="1:9" x14ac:dyDescent="0.25">
      <c r="A32">
        <v>9.1</v>
      </c>
      <c r="B32">
        <v>9</v>
      </c>
      <c r="C32" s="1">
        <v>45638</v>
      </c>
      <c r="D32" s="2">
        <v>0.51388888888888884</v>
      </c>
      <c r="E32">
        <v>4.5599999999999996</v>
      </c>
      <c r="F32">
        <v>2.54</v>
      </c>
      <c r="G32">
        <v>11.5</v>
      </c>
      <c r="H32">
        <v>80.099999999999994</v>
      </c>
      <c r="I32">
        <v>52</v>
      </c>
    </row>
    <row r="33" spans="1:9" x14ac:dyDescent="0.25">
      <c r="A33">
        <v>9.1999999999999993</v>
      </c>
      <c r="B33">
        <v>9</v>
      </c>
      <c r="C33" s="1">
        <v>45638</v>
      </c>
      <c r="D33" s="2">
        <v>0.52083333333333337</v>
      </c>
      <c r="E33">
        <v>4.5199999999999996</v>
      </c>
      <c r="F33">
        <v>3.04</v>
      </c>
      <c r="G33">
        <v>10.8</v>
      </c>
      <c r="H33">
        <v>91.8</v>
      </c>
      <c r="I33">
        <v>60</v>
      </c>
    </row>
    <row r="34" spans="1:9" x14ac:dyDescent="0.25">
      <c r="A34">
        <v>9.3000000000000007</v>
      </c>
      <c r="B34">
        <v>9</v>
      </c>
      <c r="C34" s="1">
        <v>45638</v>
      </c>
      <c r="D34" s="2">
        <v>0.53680555555555554</v>
      </c>
      <c r="E34">
        <v>4.0199999999999996</v>
      </c>
      <c r="F34">
        <v>3.7</v>
      </c>
      <c r="G34">
        <v>10.7</v>
      </c>
      <c r="H34">
        <v>105.9</v>
      </c>
      <c r="I34">
        <v>69</v>
      </c>
    </row>
    <row r="35" spans="1:9" x14ac:dyDescent="0.25">
      <c r="A35">
        <v>9.4</v>
      </c>
      <c r="B35">
        <v>9</v>
      </c>
      <c r="C35" s="1">
        <v>45638</v>
      </c>
      <c r="D35" s="2">
        <v>0.54652777777777772</v>
      </c>
      <c r="E35">
        <v>3.6</v>
      </c>
      <c r="F35">
        <v>4.0599999999999996</v>
      </c>
      <c r="G35">
        <v>12</v>
      </c>
      <c r="H35">
        <v>158.9</v>
      </c>
      <c r="I35">
        <v>103</v>
      </c>
    </row>
    <row r="36" spans="1:9" x14ac:dyDescent="0.25">
      <c r="A36">
        <v>9.5</v>
      </c>
      <c r="B36">
        <v>9</v>
      </c>
      <c r="C36" s="1">
        <v>45638</v>
      </c>
      <c r="D36" s="2">
        <v>0.55138888888888893</v>
      </c>
      <c r="E36">
        <v>3.64</v>
      </c>
      <c r="F36">
        <v>7.5</v>
      </c>
      <c r="G36">
        <v>11.1</v>
      </c>
      <c r="H36">
        <v>151</v>
      </c>
      <c r="I36">
        <v>98</v>
      </c>
    </row>
    <row r="37" spans="1:9" x14ac:dyDescent="0.25">
      <c r="A37" t="s">
        <v>11</v>
      </c>
      <c r="B37">
        <v>9</v>
      </c>
      <c r="C37" s="1">
        <v>45638</v>
      </c>
      <c r="D37" s="2">
        <v>0.56597222222222221</v>
      </c>
      <c r="E37">
        <v>6.79</v>
      </c>
      <c r="F37">
        <v>6.55</v>
      </c>
      <c r="G37">
        <v>13.1</v>
      </c>
      <c r="H37">
        <v>1756</v>
      </c>
      <c r="I37">
        <v>114</v>
      </c>
    </row>
    <row r="38" spans="1:9" x14ac:dyDescent="0.25">
      <c r="A38">
        <v>5.0999999999999996</v>
      </c>
      <c r="B38">
        <v>5</v>
      </c>
      <c r="C38" s="1">
        <v>45638</v>
      </c>
      <c r="D38" s="2">
        <v>0.59722222222222221</v>
      </c>
    </row>
    <row r="39" spans="1:9" x14ac:dyDescent="0.25">
      <c r="A39">
        <v>5.2</v>
      </c>
      <c r="B39">
        <v>5</v>
      </c>
      <c r="C39" s="1">
        <v>45638</v>
      </c>
      <c r="D39" s="2">
        <v>0.57916666666666672</v>
      </c>
    </row>
    <row r="40" spans="1:9" x14ac:dyDescent="0.25">
      <c r="A40">
        <v>5.3</v>
      </c>
      <c r="B40">
        <v>5</v>
      </c>
      <c r="C40" s="1">
        <v>45638</v>
      </c>
      <c r="D40" s="2">
        <v>0.61805555555555558</v>
      </c>
    </row>
    <row r="41" spans="1:9" x14ac:dyDescent="0.25">
      <c r="A41">
        <v>5.4</v>
      </c>
      <c r="B41">
        <v>5</v>
      </c>
      <c r="C41" s="1">
        <v>45638</v>
      </c>
    </row>
    <row r="42" spans="1:9" x14ac:dyDescent="0.25">
      <c r="A42">
        <v>5.5</v>
      </c>
      <c r="B42">
        <v>5</v>
      </c>
      <c r="C42" s="1">
        <v>45638</v>
      </c>
    </row>
    <row r="43" spans="1:9" x14ac:dyDescent="0.25">
      <c r="A43">
        <v>3.1</v>
      </c>
      <c r="B43">
        <v>6</v>
      </c>
      <c r="C43" s="1">
        <v>45638</v>
      </c>
      <c r="D43" s="2">
        <v>0.47916666666666669</v>
      </c>
      <c r="E43">
        <v>3.71</v>
      </c>
      <c r="F43">
        <v>1.54</v>
      </c>
      <c r="G43">
        <v>9.6999999999999993</v>
      </c>
      <c r="H43">
        <v>135.30000000000001</v>
      </c>
      <c r="I43">
        <v>88</v>
      </c>
    </row>
    <row r="44" spans="1:9" x14ac:dyDescent="0.25">
      <c r="A44">
        <v>3.2</v>
      </c>
      <c r="B44">
        <v>6</v>
      </c>
      <c r="C44" s="1">
        <v>45638</v>
      </c>
      <c r="D44" s="2">
        <v>0.46527777777777779</v>
      </c>
      <c r="E44">
        <v>3.73</v>
      </c>
      <c r="F44">
        <v>1.1200000000000001</v>
      </c>
      <c r="G44">
        <v>10.5</v>
      </c>
      <c r="H44">
        <v>135.30000000000001</v>
      </c>
      <c r="I44">
        <v>88</v>
      </c>
    </row>
    <row r="45" spans="1:9" x14ac:dyDescent="0.25">
      <c r="A45">
        <v>3.4</v>
      </c>
      <c r="B45">
        <v>6</v>
      </c>
      <c r="C45" s="1">
        <v>45638</v>
      </c>
      <c r="D45" s="2">
        <v>0.4548611111111111</v>
      </c>
      <c r="E45">
        <v>5.17</v>
      </c>
      <c r="F45">
        <v>1.7</v>
      </c>
      <c r="G45">
        <v>11.2</v>
      </c>
      <c r="H45">
        <v>86.7</v>
      </c>
      <c r="I45">
        <v>56</v>
      </c>
    </row>
    <row r="46" spans="1:9" x14ac:dyDescent="0.25">
      <c r="A46">
        <v>6.1</v>
      </c>
      <c r="B46">
        <v>6</v>
      </c>
      <c r="C46" s="1">
        <v>45638</v>
      </c>
      <c r="D46" s="2">
        <v>0.4375</v>
      </c>
      <c r="E46">
        <v>6.04</v>
      </c>
      <c r="F46">
        <v>5.4</v>
      </c>
      <c r="G46">
        <v>11</v>
      </c>
      <c r="H46">
        <v>104.5</v>
      </c>
      <c r="I46">
        <v>68</v>
      </c>
    </row>
    <row r="47" spans="1:9" x14ac:dyDescent="0.25">
      <c r="A47">
        <v>6.2</v>
      </c>
      <c r="B47">
        <v>6</v>
      </c>
      <c r="C47" s="1">
        <v>45638</v>
      </c>
      <c r="D47" s="2">
        <v>0.41666666666666669</v>
      </c>
      <c r="E47">
        <v>3.98</v>
      </c>
      <c r="F47">
        <v>4.3099999999999996</v>
      </c>
      <c r="G47">
        <v>12.9</v>
      </c>
      <c r="H47">
        <v>92.2</v>
      </c>
      <c r="I47">
        <v>60</v>
      </c>
    </row>
    <row r="48" spans="1:9" x14ac:dyDescent="0.25">
      <c r="A48">
        <v>6.3</v>
      </c>
      <c r="B48">
        <v>6</v>
      </c>
      <c r="C48" s="1">
        <v>45638</v>
      </c>
      <c r="D48" s="2">
        <v>0.4284722222222222</v>
      </c>
      <c r="E48">
        <v>4.0199999999999996</v>
      </c>
      <c r="F48">
        <v>3.72</v>
      </c>
      <c r="G48">
        <v>12.3</v>
      </c>
      <c r="H48">
        <v>87.6</v>
      </c>
      <c r="I48">
        <v>57</v>
      </c>
    </row>
    <row r="49" spans="1:11" x14ac:dyDescent="0.25">
      <c r="A49">
        <v>3.1</v>
      </c>
      <c r="B49">
        <v>6</v>
      </c>
      <c r="C49" s="1">
        <v>45708</v>
      </c>
      <c r="E49">
        <v>3.67</v>
      </c>
      <c r="F49">
        <v>2.77</v>
      </c>
      <c r="G49">
        <v>12.4</v>
      </c>
      <c r="H49">
        <v>138.5</v>
      </c>
      <c r="I49">
        <v>90</v>
      </c>
    </row>
    <row r="50" spans="1:11" x14ac:dyDescent="0.25">
      <c r="A50">
        <v>3.2</v>
      </c>
      <c r="B50">
        <v>6</v>
      </c>
      <c r="C50" s="1">
        <v>45708</v>
      </c>
      <c r="E50">
        <v>3.68</v>
      </c>
      <c r="F50">
        <v>1.62</v>
      </c>
      <c r="G50">
        <v>13.1</v>
      </c>
      <c r="H50">
        <v>139.69999999999999</v>
      </c>
      <c r="I50">
        <v>91</v>
      </c>
    </row>
    <row r="51" spans="1:11" x14ac:dyDescent="0.25">
      <c r="A51">
        <v>3.4</v>
      </c>
      <c r="B51">
        <v>6</v>
      </c>
      <c r="C51" s="1">
        <v>45708</v>
      </c>
      <c r="E51">
        <v>3.71</v>
      </c>
      <c r="F51">
        <v>4.72</v>
      </c>
      <c r="G51">
        <v>12.8</v>
      </c>
      <c r="H51">
        <v>144.80000000000001</v>
      </c>
      <c r="I51">
        <v>94</v>
      </c>
    </row>
    <row r="52" spans="1:11" x14ac:dyDescent="0.25">
      <c r="A52">
        <v>6.1</v>
      </c>
      <c r="B52">
        <v>6</v>
      </c>
      <c r="C52" s="1">
        <v>45708</v>
      </c>
      <c r="E52">
        <v>3.79</v>
      </c>
      <c r="F52">
        <v>4.04</v>
      </c>
      <c r="G52">
        <v>13.3</v>
      </c>
      <c r="H52">
        <v>129.6</v>
      </c>
      <c r="I52">
        <v>84</v>
      </c>
    </row>
    <row r="53" spans="1:11" x14ac:dyDescent="0.25">
      <c r="A53">
        <v>6.2</v>
      </c>
      <c r="B53">
        <v>6</v>
      </c>
      <c r="C53" s="1">
        <v>45708</v>
      </c>
      <c r="E53">
        <v>3.99</v>
      </c>
      <c r="F53">
        <v>4.12</v>
      </c>
      <c r="G53">
        <v>13.9</v>
      </c>
      <c r="H53">
        <v>94.9</v>
      </c>
      <c r="I53">
        <v>62</v>
      </c>
    </row>
    <row r="54" spans="1:11" x14ac:dyDescent="0.25">
      <c r="A54">
        <v>6.3</v>
      </c>
      <c r="B54">
        <v>6</v>
      </c>
      <c r="C54" s="1">
        <v>45708</v>
      </c>
      <c r="E54">
        <v>3.99</v>
      </c>
      <c r="F54">
        <v>4.0599999999999996</v>
      </c>
      <c r="G54">
        <v>13.8</v>
      </c>
      <c r="H54">
        <v>92.4</v>
      </c>
      <c r="I54">
        <v>60</v>
      </c>
    </row>
    <row r="55" spans="1:11" x14ac:dyDescent="0.25">
      <c r="A55" t="s">
        <v>11</v>
      </c>
      <c r="B55">
        <v>9</v>
      </c>
      <c r="C55" s="1">
        <v>45708</v>
      </c>
      <c r="E55">
        <v>6.29</v>
      </c>
      <c r="F55">
        <v>7.93</v>
      </c>
      <c r="G55">
        <v>16.100000000000001</v>
      </c>
      <c r="H55">
        <v>112.5</v>
      </c>
      <c r="I55">
        <v>73</v>
      </c>
    </row>
    <row r="56" spans="1:11" x14ac:dyDescent="0.25">
      <c r="A56">
        <v>9</v>
      </c>
      <c r="B56">
        <v>9</v>
      </c>
      <c r="C56" s="1">
        <v>45708</v>
      </c>
      <c r="E56">
        <v>3.71</v>
      </c>
      <c r="F56">
        <v>7.22</v>
      </c>
      <c r="G56">
        <v>14.4</v>
      </c>
      <c r="H56">
        <v>145.5</v>
      </c>
      <c r="I56">
        <v>94</v>
      </c>
    </row>
    <row r="57" spans="1:11" x14ac:dyDescent="0.25">
      <c r="A57">
        <v>9.4</v>
      </c>
      <c r="B57">
        <v>9</v>
      </c>
      <c r="C57" s="1">
        <v>45708</v>
      </c>
      <c r="E57">
        <v>3.73</v>
      </c>
      <c r="F57">
        <v>4.9000000000000004</v>
      </c>
      <c r="G57">
        <v>15</v>
      </c>
      <c r="H57">
        <v>141.6</v>
      </c>
      <c r="I57">
        <v>92</v>
      </c>
    </row>
    <row r="58" spans="1:11" x14ac:dyDescent="0.25">
      <c r="A58">
        <v>9.3000000000000007</v>
      </c>
      <c r="B58">
        <v>9</v>
      </c>
      <c r="C58" s="1">
        <v>45708</v>
      </c>
      <c r="E58">
        <v>3.86</v>
      </c>
      <c r="F58">
        <v>3.16</v>
      </c>
      <c r="G58">
        <v>14.2</v>
      </c>
      <c r="H58">
        <v>118.4</v>
      </c>
      <c r="I58">
        <v>77</v>
      </c>
    </row>
    <row r="59" spans="1:11" x14ac:dyDescent="0.25">
      <c r="A59">
        <v>9.1999999999999993</v>
      </c>
      <c r="B59">
        <v>9</v>
      </c>
      <c r="C59" s="1">
        <v>45708</v>
      </c>
      <c r="E59">
        <v>3.97</v>
      </c>
      <c r="F59">
        <v>1.52</v>
      </c>
      <c r="G59">
        <v>14.2</v>
      </c>
      <c r="H59">
        <v>115.4</v>
      </c>
      <c r="I59">
        <v>75</v>
      </c>
    </row>
    <row r="60" spans="1:11" x14ac:dyDescent="0.25">
      <c r="A60">
        <v>9.1</v>
      </c>
      <c r="B60">
        <v>9</v>
      </c>
      <c r="C60" s="1">
        <v>45708</v>
      </c>
      <c r="E60">
        <v>5.44</v>
      </c>
      <c r="F60">
        <v>1.1100000000000001</v>
      </c>
      <c r="G60">
        <v>13.3</v>
      </c>
      <c r="H60">
        <v>80</v>
      </c>
      <c r="I60">
        <v>53</v>
      </c>
      <c r="J60">
        <v>29.9089651</v>
      </c>
      <c r="K60">
        <v>-82.27064</v>
      </c>
    </row>
    <row r="61" spans="1:11" x14ac:dyDescent="0.25">
      <c r="A61">
        <v>5.0999999999999996</v>
      </c>
      <c r="B61">
        <v>5</v>
      </c>
      <c r="C61" s="1">
        <v>45708</v>
      </c>
      <c r="E61">
        <v>5.47</v>
      </c>
      <c r="F61">
        <v>5.8</v>
      </c>
      <c r="G61">
        <v>11.1</v>
      </c>
      <c r="H61">
        <v>44</v>
      </c>
      <c r="I61">
        <v>29</v>
      </c>
    </row>
    <row r="62" spans="1:11" x14ac:dyDescent="0.25">
      <c r="A62">
        <v>5.2</v>
      </c>
      <c r="B62">
        <v>5</v>
      </c>
      <c r="C62" s="1">
        <v>45708</v>
      </c>
      <c r="E62">
        <v>3.8</v>
      </c>
      <c r="F62">
        <v>3.68</v>
      </c>
      <c r="G62">
        <v>14.3</v>
      </c>
      <c r="H62">
        <v>126.4</v>
      </c>
      <c r="I62">
        <v>82</v>
      </c>
    </row>
    <row r="63" spans="1:11" x14ac:dyDescent="0.25">
      <c r="A63">
        <v>5.3</v>
      </c>
      <c r="B63">
        <v>5</v>
      </c>
      <c r="C63" s="1">
        <v>45708</v>
      </c>
      <c r="E63">
        <v>4.67</v>
      </c>
      <c r="F63">
        <v>6.04</v>
      </c>
      <c r="G63">
        <v>15.2</v>
      </c>
      <c r="H63">
        <v>76.599999999999994</v>
      </c>
      <c r="I63">
        <v>50</v>
      </c>
    </row>
    <row r="64" spans="1:11" x14ac:dyDescent="0.25">
      <c r="A64">
        <v>5.4</v>
      </c>
      <c r="B64">
        <v>5</v>
      </c>
      <c r="C64" s="1">
        <v>45708</v>
      </c>
      <c r="E64">
        <v>4.72</v>
      </c>
      <c r="F64">
        <v>6.1</v>
      </c>
      <c r="G64">
        <v>16</v>
      </c>
      <c r="H64">
        <v>70.3</v>
      </c>
      <c r="I64">
        <v>46</v>
      </c>
    </row>
    <row r="65" spans="1:9" x14ac:dyDescent="0.25">
      <c r="A65">
        <v>5</v>
      </c>
      <c r="B65">
        <v>5</v>
      </c>
      <c r="C65" s="1">
        <v>45708</v>
      </c>
      <c r="E65">
        <v>5.55</v>
      </c>
      <c r="F65">
        <v>7</v>
      </c>
      <c r="G65">
        <v>15.6</v>
      </c>
      <c r="H65">
        <v>75.900000000000006</v>
      </c>
      <c r="I65">
        <v>49</v>
      </c>
    </row>
    <row r="66" spans="1:9" x14ac:dyDescent="0.25">
      <c r="A66">
        <v>6.3</v>
      </c>
      <c r="B66">
        <v>6</v>
      </c>
      <c r="C66" s="1">
        <v>45727</v>
      </c>
      <c r="E66">
        <v>6.37</v>
      </c>
      <c r="F66">
        <v>2.62</v>
      </c>
      <c r="G66">
        <v>14</v>
      </c>
      <c r="H66">
        <v>120.7</v>
      </c>
      <c r="I66">
        <v>79</v>
      </c>
    </row>
    <row r="67" spans="1:9" x14ac:dyDescent="0.25">
      <c r="A67">
        <v>3.2</v>
      </c>
      <c r="B67">
        <v>6</v>
      </c>
      <c r="C67" s="1">
        <v>45727</v>
      </c>
      <c r="E67">
        <v>3.59</v>
      </c>
      <c r="F67">
        <v>1.89</v>
      </c>
      <c r="G67">
        <v>14.4</v>
      </c>
      <c r="I67">
        <v>90</v>
      </c>
    </row>
    <row r="68" spans="1:9" x14ac:dyDescent="0.25">
      <c r="A68">
        <v>6.1</v>
      </c>
      <c r="B68">
        <v>6</v>
      </c>
      <c r="C68" s="1">
        <v>45727</v>
      </c>
      <c r="E68">
        <v>3.75</v>
      </c>
      <c r="F68">
        <v>4.2699999999999996</v>
      </c>
      <c r="G68">
        <v>14.7</v>
      </c>
      <c r="H68">
        <v>114.2</v>
      </c>
      <c r="I68">
        <v>74</v>
      </c>
    </row>
    <row r="69" spans="1:9" x14ac:dyDescent="0.25">
      <c r="A69">
        <v>6.2</v>
      </c>
      <c r="B69">
        <v>6</v>
      </c>
      <c r="C69" s="1">
        <v>45727</v>
      </c>
      <c r="E69">
        <v>4.04</v>
      </c>
      <c r="F69">
        <v>3.81</v>
      </c>
      <c r="G69">
        <v>14.2</v>
      </c>
      <c r="H69">
        <v>93.5</v>
      </c>
      <c r="I69">
        <v>61</v>
      </c>
    </row>
    <row r="70" spans="1:9" x14ac:dyDescent="0.25">
      <c r="A70">
        <v>3.1</v>
      </c>
      <c r="B70">
        <v>6</v>
      </c>
      <c r="C70" s="1">
        <v>45727</v>
      </c>
      <c r="E70">
        <v>3.57</v>
      </c>
      <c r="F70">
        <v>2.7</v>
      </c>
      <c r="G70">
        <v>13.5</v>
      </c>
      <c r="H70">
        <v>127.8</v>
      </c>
      <c r="I70">
        <v>83</v>
      </c>
    </row>
    <row r="71" spans="1:9" x14ac:dyDescent="0.25">
      <c r="A71" t="s">
        <v>11</v>
      </c>
      <c r="B71">
        <v>9</v>
      </c>
      <c r="C71" s="1">
        <v>45727</v>
      </c>
      <c r="E71">
        <v>6.58</v>
      </c>
      <c r="F71">
        <v>8.69</v>
      </c>
      <c r="G71">
        <v>18</v>
      </c>
      <c r="H71">
        <v>108.8</v>
      </c>
      <c r="I71">
        <v>71</v>
      </c>
    </row>
    <row r="72" spans="1:9" x14ac:dyDescent="0.25">
      <c r="A72">
        <v>9</v>
      </c>
      <c r="B72">
        <v>9</v>
      </c>
      <c r="C72" s="1">
        <v>45727</v>
      </c>
      <c r="E72">
        <v>3.53</v>
      </c>
      <c r="F72">
        <v>6.37</v>
      </c>
      <c r="G72">
        <v>16</v>
      </c>
      <c r="H72">
        <v>130.19999999999999</v>
      </c>
      <c r="I72">
        <v>85</v>
      </c>
    </row>
    <row r="73" spans="1:9" x14ac:dyDescent="0.25">
      <c r="A73">
        <v>9.4</v>
      </c>
      <c r="B73">
        <v>9</v>
      </c>
      <c r="C73" s="1">
        <v>45727</v>
      </c>
      <c r="E73">
        <v>3.54</v>
      </c>
      <c r="F73">
        <v>3.77</v>
      </c>
      <c r="G73">
        <v>15.5</v>
      </c>
      <c r="H73">
        <v>145.5</v>
      </c>
      <c r="I73">
        <v>94</v>
      </c>
    </row>
    <row r="74" spans="1:9" x14ac:dyDescent="0.25">
      <c r="A74">
        <v>9.3000000000000007</v>
      </c>
      <c r="B74">
        <v>9</v>
      </c>
      <c r="C74" s="1">
        <v>45727</v>
      </c>
      <c r="E74">
        <v>3.72</v>
      </c>
      <c r="F74">
        <v>3.04</v>
      </c>
      <c r="G74">
        <v>15.7</v>
      </c>
      <c r="H74">
        <v>114.1</v>
      </c>
      <c r="I74">
        <v>74</v>
      </c>
    </row>
    <row r="75" spans="1:9" x14ac:dyDescent="0.25">
      <c r="A75">
        <v>9.1999999999999993</v>
      </c>
      <c r="B75">
        <v>9</v>
      </c>
      <c r="C75" s="1">
        <v>45727</v>
      </c>
      <c r="E75">
        <v>3.61</v>
      </c>
      <c r="F75">
        <v>1.99</v>
      </c>
      <c r="G75">
        <v>15.4</v>
      </c>
      <c r="H75">
        <v>114.5</v>
      </c>
      <c r="I75">
        <v>74</v>
      </c>
    </row>
    <row r="76" spans="1:9" x14ac:dyDescent="0.25">
      <c r="A76">
        <v>9.1</v>
      </c>
      <c r="B76">
        <v>9</v>
      </c>
      <c r="C76" s="1">
        <v>45727</v>
      </c>
      <c r="E76">
        <v>5.89</v>
      </c>
      <c r="F76">
        <v>8.9</v>
      </c>
      <c r="G76">
        <v>14.8</v>
      </c>
      <c r="H76">
        <v>99.1</v>
      </c>
      <c r="I76">
        <v>64</v>
      </c>
    </row>
    <row r="77" spans="1:9" x14ac:dyDescent="0.25">
      <c r="A77">
        <v>5.0999999999999996</v>
      </c>
      <c r="B77">
        <v>5</v>
      </c>
      <c r="C77" s="1">
        <v>45727</v>
      </c>
      <c r="E77">
        <v>3.72</v>
      </c>
      <c r="F77">
        <v>3.96</v>
      </c>
      <c r="G77">
        <v>16.100000000000001</v>
      </c>
      <c r="H77">
        <v>117.1</v>
      </c>
      <c r="I77">
        <v>76</v>
      </c>
    </row>
    <row r="78" spans="1:9" x14ac:dyDescent="0.25">
      <c r="A78">
        <v>5.2</v>
      </c>
      <c r="B78">
        <v>5</v>
      </c>
      <c r="C78" s="1">
        <v>45727</v>
      </c>
      <c r="E78">
        <v>3.66</v>
      </c>
      <c r="F78">
        <v>3.19</v>
      </c>
      <c r="G78">
        <v>16</v>
      </c>
      <c r="H78">
        <v>124.7</v>
      </c>
      <c r="I78">
        <v>81</v>
      </c>
    </row>
    <row r="79" spans="1:9" x14ac:dyDescent="0.25">
      <c r="A79">
        <v>5.3</v>
      </c>
      <c r="B79">
        <v>5</v>
      </c>
      <c r="C79" s="1">
        <v>45727</v>
      </c>
      <c r="E79">
        <v>4.1500000000000004</v>
      </c>
      <c r="F79">
        <v>6.12</v>
      </c>
      <c r="G79">
        <v>17.100000000000001</v>
      </c>
      <c r="H79">
        <v>81.900000000000006</v>
      </c>
      <c r="I79">
        <v>53</v>
      </c>
    </row>
    <row r="80" spans="1:9" x14ac:dyDescent="0.25">
      <c r="A80">
        <v>5.5</v>
      </c>
      <c r="B80">
        <v>5</v>
      </c>
      <c r="C80" s="1">
        <v>45727</v>
      </c>
      <c r="E80">
        <v>4.28</v>
      </c>
      <c r="F80">
        <v>6.47</v>
      </c>
      <c r="G80">
        <v>17.5</v>
      </c>
      <c r="H80">
        <v>72.900000000000006</v>
      </c>
      <c r="I80">
        <v>47</v>
      </c>
    </row>
    <row r="81" spans="1:9" x14ac:dyDescent="0.25">
      <c r="A81">
        <v>5.0999999999999996</v>
      </c>
      <c r="B81">
        <v>5</v>
      </c>
      <c r="C81" s="1">
        <v>45749</v>
      </c>
      <c r="D81" s="2">
        <v>0.46805555555555556</v>
      </c>
      <c r="E81">
        <v>4.01</v>
      </c>
      <c r="F81">
        <v>1.52</v>
      </c>
      <c r="G81">
        <v>22.8</v>
      </c>
      <c r="H81">
        <v>104.3</v>
      </c>
      <c r="I81">
        <v>68</v>
      </c>
    </row>
    <row r="82" spans="1:9" x14ac:dyDescent="0.25">
      <c r="A82">
        <v>5.2</v>
      </c>
      <c r="B82">
        <v>5</v>
      </c>
      <c r="C82" s="1">
        <v>45749</v>
      </c>
      <c r="D82" s="2">
        <v>0.45555555555555555</v>
      </c>
      <c r="E82">
        <v>3.78</v>
      </c>
      <c r="F82">
        <v>1.65</v>
      </c>
      <c r="G82">
        <v>20.2</v>
      </c>
      <c r="H82">
        <v>125.1</v>
      </c>
      <c r="I82">
        <v>81</v>
      </c>
    </row>
    <row r="83" spans="1:9" x14ac:dyDescent="0.25">
      <c r="A83">
        <v>5.3</v>
      </c>
      <c r="B83">
        <v>5</v>
      </c>
      <c r="C83" s="1">
        <v>45749</v>
      </c>
      <c r="D83" s="2">
        <v>0.53541666666666665</v>
      </c>
      <c r="E83">
        <v>4.17</v>
      </c>
      <c r="F83">
        <v>4.41</v>
      </c>
      <c r="G83">
        <v>21.1</v>
      </c>
      <c r="H83">
        <v>81.599999999999994</v>
      </c>
      <c r="I83">
        <v>53</v>
      </c>
    </row>
    <row r="84" spans="1:9" x14ac:dyDescent="0.25">
      <c r="A84">
        <v>5.4</v>
      </c>
      <c r="B84">
        <v>5</v>
      </c>
      <c r="C84" s="1">
        <v>45749</v>
      </c>
      <c r="D84" s="2">
        <v>6.805555555555555E-2</v>
      </c>
      <c r="E84">
        <v>4.3099999999999996</v>
      </c>
      <c r="F84">
        <v>4.3899999999999997</v>
      </c>
      <c r="G84">
        <v>21.9</v>
      </c>
      <c r="H84">
        <v>72.8</v>
      </c>
      <c r="I84">
        <v>47</v>
      </c>
    </row>
    <row r="85" spans="1:9" x14ac:dyDescent="0.25">
      <c r="A85">
        <v>5.5</v>
      </c>
      <c r="B85">
        <v>5</v>
      </c>
      <c r="C85" s="1">
        <v>45749</v>
      </c>
      <c r="D85" s="2">
        <v>9.0277777777777776E-2</v>
      </c>
      <c r="E85">
        <v>4.22</v>
      </c>
      <c r="F85">
        <v>5.22</v>
      </c>
      <c r="G85">
        <v>21.9</v>
      </c>
      <c r="H85">
        <v>74.5</v>
      </c>
      <c r="I85">
        <v>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91BDA-3D26-40F9-AE7E-DB7C188742A6}">
  <dimension ref="A1:K18"/>
  <sheetViews>
    <sheetView tabSelected="1" workbookViewId="0">
      <selection activeCell="E23" sqref="E23"/>
    </sheetView>
  </sheetViews>
  <sheetFormatPr defaultRowHeight="15" x14ac:dyDescent="0.25"/>
  <cols>
    <col min="2" max="2" width="9.140625" style="3"/>
    <col min="4" max="4" width="11.85546875" bestFit="1" customWidth="1"/>
    <col min="5" max="5" width="12" bestFit="1" customWidth="1"/>
    <col min="9" max="9" width="9.42578125" bestFit="1" customWidth="1"/>
  </cols>
  <sheetData>
    <row r="1" spans="1:11" x14ac:dyDescent="0.25">
      <c r="A1" t="s">
        <v>0</v>
      </c>
      <c r="B1" s="3" t="s">
        <v>1</v>
      </c>
      <c r="C1" t="s">
        <v>13</v>
      </c>
      <c r="D1" t="s">
        <v>16</v>
      </c>
      <c r="E1" t="s">
        <v>17</v>
      </c>
      <c r="F1" t="s">
        <v>15</v>
      </c>
      <c r="G1" t="s">
        <v>14</v>
      </c>
      <c r="H1" s="4" t="s">
        <v>18</v>
      </c>
      <c r="I1" s="4" t="s">
        <v>19</v>
      </c>
      <c r="J1" s="4"/>
      <c r="K1" s="4"/>
    </row>
    <row r="2" spans="1:11" x14ac:dyDescent="0.25">
      <c r="A2">
        <v>5</v>
      </c>
      <c r="B2" s="3">
        <v>5</v>
      </c>
      <c r="C2">
        <v>0</v>
      </c>
      <c r="D2">
        <v>17795000</v>
      </c>
      <c r="E2">
        <f>D2/$D$2</f>
        <v>1</v>
      </c>
      <c r="F2" s="4">
        <v>29.861879999999999</v>
      </c>
      <c r="G2" s="4">
        <v>-82.283659999999998</v>
      </c>
      <c r="I2" s="4"/>
    </row>
    <row r="3" spans="1:11" x14ac:dyDescent="0.25">
      <c r="A3">
        <v>5.4</v>
      </c>
      <c r="B3" s="3">
        <v>5</v>
      </c>
      <c r="C3">
        <v>1267.3699999999999</v>
      </c>
      <c r="D3">
        <v>14519100</v>
      </c>
      <c r="E3">
        <f t="shared" ref="E3:E6" si="0">D3/$D$2</f>
        <v>0.81590896319190787</v>
      </c>
      <c r="F3" s="4">
        <v>29.872119999999999</v>
      </c>
      <c r="G3" s="4">
        <v>-82.283850000000001</v>
      </c>
      <c r="I3" s="4"/>
      <c r="J3" s="4"/>
      <c r="K3" s="4"/>
    </row>
    <row r="4" spans="1:11" x14ac:dyDescent="0.25">
      <c r="A4">
        <v>5.3</v>
      </c>
      <c r="B4" s="3">
        <v>5</v>
      </c>
      <c r="C4">
        <v>2467.91</v>
      </c>
      <c r="D4">
        <v>10249400</v>
      </c>
      <c r="E4">
        <f t="shared" si="0"/>
        <v>0.57597077830851362</v>
      </c>
      <c r="F4" s="4">
        <v>29.8813</v>
      </c>
      <c r="G4" s="4">
        <v>-82.280479999999997</v>
      </c>
      <c r="I4" s="4"/>
    </row>
    <row r="5" spans="1:11" x14ac:dyDescent="0.25">
      <c r="A5">
        <v>5.2</v>
      </c>
      <c r="B5" s="3">
        <v>5</v>
      </c>
      <c r="C5">
        <v>4497.8599999999997</v>
      </c>
      <c r="D5">
        <v>1812340</v>
      </c>
      <c r="E5">
        <f t="shared" si="0"/>
        <v>0.10184546220848553</v>
      </c>
      <c r="F5" s="4">
        <v>29.89631</v>
      </c>
      <c r="G5" s="4">
        <v>-82.273979999999995</v>
      </c>
      <c r="I5" s="4"/>
    </row>
    <row r="6" spans="1:11" x14ac:dyDescent="0.25">
      <c r="A6">
        <v>5.0999999999999996</v>
      </c>
      <c r="B6" s="3">
        <v>5</v>
      </c>
      <c r="C6">
        <v>6130.37</v>
      </c>
      <c r="D6">
        <v>138375</v>
      </c>
      <c r="E6">
        <f t="shared" si="0"/>
        <v>7.7760606912053946E-3</v>
      </c>
      <c r="F6" s="4">
        <v>29.903310000000001</v>
      </c>
      <c r="G6" s="4">
        <v>-82.272649999999999</v>
      </c>
      <c r="I6" s="4"/>
    </row>
    <row r="7" spans="1:11" x14ac:dyDescent="0.25">
      <c r="A7">
        <v>3.1</v>
      </c>
      <c r="B7" s="3">
        <v>6</v>
      </c>
      <c r="C7">
        <v>9149.2199999999993</v>
      </c>
      <c r="D7">
        <v>9204</v>
      </c>
      <c r="E7">
        <f t="shared" ref="E7:E10" si="1">D7/$D$12</f>
        <v>3.4975053104776958E-4</v>
      </c>
      <c r="F7" s="4">
        <v>29.990659999999998</v>
      </c>
      <c r="G7" s="4">
        <v>-82.205830000000006</v>
      </c>
      <c r="I7" s="4"/>
      <c r="J7" s="4"/>
      <c r="K7" s="4"/>
    </row>
    <row r="8" spans="1:11" x14ac:dyDescent="0.25">
      <c r="A8">
        <v>3.2</v>
      </c>
      <c r="B8" s="3">
        <v>6</v>
      </c>
      <c r="C8">
        <v>7836.22</v>
      </c>
      <c r="D8">
        <v>1355500</v>
      </c>
      <c r="E8">
        <f t="shared" si="1"/>
        <v>5.1508783663108612E-2</v>
      </c>
      <c r="F8" s="4">
        <v>29.987069999999999</v>
      </c>
      <c r="G8" s="4">
        <v>-82.2029</v>
      </c>
      <c r="I8" s="4"/>
    </row>
    <row r="9" spans="1:11" x14ac:dyDescent="0.25">
      <c r="A9">
        <v>3.4</v>
      </c>
      <c r="B9" s="3">
        <v>6</v>
      </c>
      <c r="C9">
        <v>5594.22</v>
      </c>
      <c r="D9">
        <v>1139580</v>
      </c>
      <c r="E9">
        <f t="shared" si="1"/>
        <v>4.3303858123795877E-2</v>
      </c>
      <c r="F9" s="4">
        <v>29.975639999999999</v>
      </c>
      <c r="G9" s="4">
        <v>-82.198740000000001</v>
      </c>
      <c r="I9" s="4"/>
    </row>
    <row r="10" spans="1:11" x14ac:dyDescent="0.25">
      <c r="A10">
        <v>6.1</v>
      </c>
      <c r="B10" s="3">
        <v>6</v>
      </c>
      <c r="C10">
        <v>4518.92</v>
      </c>
      <c r="D10">
        <v>3131520</v>
      </c>
      <c r="E10">
        <f t="shared" si="1"/>
        <v>0.11899726021150711</v>
      </c>
      <c r="F10" s="4">
        <v>29.967690000000001</v>
      </c>
      <c r="G10" s="4">
        <v>-82.1999</v>
      </c>
      <c r="I10" s="4"/>
    </row>
    <row r="11" spans="1:11" x14ac:dyDescent="0.25">
      <c r="A11">
        <v>6.2</v>
      </c>
      <c r="B11" s="3">
        <v>6</v>
      </c>
      <c r="C11">
        <v>390.63</v>
      </c>
      <c r="D11">
        <v>26276900</v>
      </c>
      <c r="E11">
        <f>D11/$D$12</f>
        <v>0.99851800622437381</v>
      </c>
      <c r="F11" s="4">
        <v>29.9434</v>
      </c>
      <c r="G11" s="4">
        <v>-82.188500000000005</v>
      </c>
      <c r="I11" s="4"/>
    </row>
    <row r="12" spans="1:11" x14ac:dyDescent="0.25">
      <c r="A12">
        <v>6.3</v>
      </c>
      <c r="B12" s="3">
        <v>6</v>
      </c>
      <c r="C12">
        <v>0</v>
      </c>
      <c r="D12">
        <v>26315900</v>
      </c>
      <c r="E12">
        <f>D12/$D$12</f>
        <v>1</v>
      </c>
      <c r="F12" s="4">
        <v>29.940349999999999</v>
      </c>
      <c r="G12" s="4">
        <v>-82.188969999999998</v>
      </c>
      <c r="I12" s="4"/>
    </row>
    <row r="13" spans="1:11" x14ac:dyDescent="0.25">
      <c r="A13">
        <v>9</v>
      </c>
      <c r="B13" s="3">
        <v>9</v>
      </c>
      <c r="C13">
        <v>0</v>
      </c>
      <c r="D13">
        <v>19864100</v>
      </c>
      <c r="E13">
        <f>D13/$D$13</f>
        <v>1</v>
      </c>
      <c r="F13" s="4">
        <v>29.904579999999999</v>
      </c>
      <c r="G13" s="4">
        <v>-82.220770000000002</v>
      </c>
      <c r="I13" s="4"/>
    </row>
    <row r="14" spans="1:11" x14ac:dyDescent="0.25">
      <c r="A14">
        <v>9.4</v>
      </c>
      <c r="B14" s="3">
        <v>9</v>
      </c>
      <c r="C14">
        <v>904.88</v>
      </c>
      <c r="D14">
        <v>19268200</v>
      </c>
      <c r="E14">
        <f t="shared" ref="E14:E17" si="2">D14/$D$13</f>
        <v>0.97000115786771113</v>
      </c>
      <c r="F14" s="4">
        <v>29.9072</v>
      </c>
      <c r="G14" s="4">
        <v>-82.230220000000003</v>
      </c>
      <c r="I14" s="4"/>
      <c r="J14" s="4"/>
      <c r="K14" s="4"/>
    </row>
    <row r="15" spans="1:11" x14ac:dyDescent="0.25">
      <c r="A15">
        <v>9.3000000000000007</v>
      </c>
      <c r="B15" s="3">
        <v>9</v>
      </c>
      <c r="C15">
        <v>2002.8</v>
      </c>
      <c r="D15">
        <v>5821280</v>
      </c>
      <c r="E15">
        <f t="shared" si="2"/>
        <v>0.29305531083713837</v>
      </c>
      <c r="F15" s="4">
        <v>29.912749999999999</v>
      </c>
      <c r="G15" s="4">
        <v>-82.238290000000006</v>
      </c>
      <c r="I15" s="4"/>
      <c r="J15" s="4"/>
      <c r="K15" s="4"/>
    </row>
    <row r="16" spans="1:11" x14ac:dyDescent="0.25">
      <c r="A16">
        <v>9.1999999999999993</v>
      </c>
      <c r="B16" s="3">
        <v>9</v>
      </c>
      <c r="C16">
        <v>3140.96</v>
      </c>
      <c r="D16">
        <v>1960760</v>
      </c>
      <c r="E16">
        <f t="shared" si="2"/>
        <v>9.8708725791754978E-2</v>
      </c>
      <c r="F16" s="4">
        <v>29.926279999999998</v>
      </c>
      <c r="G16" s="4">
        <v>-82.237170000000006</v>
      </c>
      <c r="I16" s="4"/>
      <c r="J16" s="4"/>
      <c r="K16" s="4"/>
    </row>
    <row r="17" spans="1:11" x14ac:dyDescent="0.25">
      <c r="A17">
        <v>9.1</v>
      </c>
      <c r="B17" s="3">
        <v>9</v>
      </c>
      <c r="C17">
        <v>8475.9599999999991</v>
      </c>
      <c r="D17">
        <v>262193</v>
      </c>
      <c r="E17">
        <f t="shared" si="2"/>
        <v>1.319933951198393E-2</v>
      </c>
      <c r="F17" s="4">
        <v>29.940439999999999</v>
      </c>
      <c r="G17" s="4">
        <v>-82.23903</v>
      </c>
      <c r="I17" s="4"/>
      <c r="J17" s="4"/>
      <c r="K17" s="4"/>
    </row>
    <row r="18" spans="1:11" x14ac:dyDescent="0.25">
      <c r="I18" s="4"/>
      <c r="J18" s="4"/>
      <c r="K18" s="4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Long. Log</vt:lpstr>
      <vt:lpstr>dims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Howley,Samantha T</cp:lastModifiedBy>
  <dcterms:created xsi:type="dcterms:W3CDTF">2025-06-30T16:57:01Z</dcterms:created>
  <dcterms:modified xsi:type="dcterms:W3CDTF">2025-07-09T17:21:09Z</dcterms:modified>
</cp:coreProperties>
</file>